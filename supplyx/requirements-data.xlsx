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ivotTables/pivotTable1.xml" ContentType="application/vnd.openxmlformats-officedocument.spreadsheetml.pivotTable+xml"/>
  <Override PartName="/xl/drawings/drawing2.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lenovo.sharepoint.com/sites/SupplyX_/Shared Documents/02 Budget &amp; Cost/"/>
    </mc:Choice>
  </mc:AlternateContent>
  <xr:revisionPtr revIDLastSave="2" documentId="8_{946FDE07-A10E-421B-92D6-BD14FD529531}" xr6:coauthVersionLast="47" xr6:coauthVersionMax="47" xr10:uidLastSave="{759BA965-734A-40DF-92C0-7FF1704196D1}"/>
  <bookViews>
    <workbookView xWindow="-98" yWindow="-98" windowWidth="21795" windowHeight="12975" tabRatio="743" xr2:uid="{19557E2E-B7F4-4A58-99A8-430186D5247B}"/>
  </bookViews>
  <sheets>
    <sheet name="需求评估" sheetId="6" r:id="rId1"/>
    <sheet name="2425财年需求时间安排" sheetId="14" r:id="rId2"/>
    <sheet name="Pivot" sheetId="10" r:id="rId3"/>
    <sheet name="Sheet1" sheetId="20" r:id="rId4"/>
    <sheet name="Cost" sheetId="18" r:id="rId5"/>
    <sheet name="Link" sheetId="19" r:id="rId6"/>
  </sheets>
  <externalReferences>
    <externalReference r:id="rId7"/>
  </externalReferences>
  <definedNames>
    <definedName name="_xlnm._FilterDatabase" localSheetId="2" hidden="1">Pivot!$B$138:$K$138</definedName>
    <definedName name="_xlnm._FilterDatabase" localSheetId="0" hidden="1">需求评估!$A$1:$U$52</definedName>
  </definedNames>
  <calcPr calcId="191029"/>
  <pivotCaches>
    <pivotCache cacheId="0"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37" i="6" l="1"/>
  <c r="N24" i="6"/>
  <c r="O24" i="6" s="1"/>
  <c r="R24" i="6" s="1"/>
  <c r="N25" i="6"/>
  <c r="O25" i="6"/>
  <c r="R25" i="6" s="1"/>
  <c r="Q25" i="6"/>
  <c r="AB25" i="6" s="1"/>
  <c r="AH25" i="6" s="1"/>
  <c r="S25" i="6"/>
  <c r="U25" i="6"/>
  <c r="M25" i="6" s="1"/>
  <c r="N26" i="6"/>
  <c r="O26" i="6" s="1"/>
  <c r="R26" i="6" s="1"/>
  <c r="Q26" i="6"/>
  <c r="AB26" i="6" s="1"/>
  <c r="AH26" i="6" s="1"/>
  <c r="S26" i="6"/>
  <c r="U26" i="6"/>
  <c r="X26" i="6" s="1"/>
  <c r="N27" i="6"/>
  <c r="O27" i="6" s="1"/>
  <c r="R27" i="6" s="1"/>
  <c r="S27" i="6"/>
  <c r="U27" i="6"/>
  <c r="M27" i="6" s="1"/>
  <c r="N28" i="6"/>
  <c r="Q28" i="6" s="1"/>
  <c r="AB28" i="6" s="1"/>
  <c r="AH28" i="6" s="1"/>
  <c r="O28" i="6"/>
  <c r="R28" i="6" s="1"/>
  <c r="S28" i="6"/>
  <c r="U28" i="6"/>
  <c r="X28" i="6" s="1"/>
  <c r="N29" i="6"/>
  <c r="Q29" i="6" s="1"/>
  <c r="AH29" i="6" s="1"/>
  <c r="S29" i="6"/>
  <c r="U29" i="6"/>
  <c r="X29" i="6" s="1"/>
  <c r="AF29" i="6"/>
  <c r="M30" i="6"/>
  <c r="N30" i="6"/>
  <c r="O30" i="6"/>
  <c r="R30" i="6" s="1"/>
  <c r="Q30" i="6"/>
  <c r="AH30" i="6" s="1"/>
  <c r="S30" i="6"/>
  <c r="X30" i="6"/>
  <c r="N31" i="6"/>
  <c r="O31" i="6" s="1"/>
  <c r="R31" i="6" s="1"/>
  <c r="S31" i="6"/>
  <c r="U31" i="6"/>
  <c r="X31" i="6" s="1"/>
  <c r="N32" i="6"/>
  <c r="Q32" i="6" s="1"/>
  <c r="AB32" i="6" s="1"/>
  <c r="AH32" i="6" s="1"/>
  <c r="S32" i="6"/>
  <c r="U32" i="6"/>
  <c r="M32" i="6" s="1"/>
  <c r="N33" i="6"/>
  <c r="O33" i="6"/>
  <c r="Q33" i="6"/>
  <c r="AH33" i="6" s="1"/>
  <c r="R33" i="6"/>
  <c r="S33" i="6"/>
  <c r="U33" i="6"/>
  <c r="X33" i="6" s="1"/>
  <c r="N34" i="6"/>
  <c r="S34" i="6"/>
  <c r="AF34" i="6"/>
  <c r="N35" i="6"/>
  <c r="O35" i="6"/>
  <c r="R35" i="6" s="1"/>
  <c r="Q35" i="6"/>
  <c r="S35" i="6"/>
  <c r="U35" i="6"/>
  <c r="X35" i="6" s="1"/>
  <c r="AH35" i="6"/>
  <c r="N36" i="6"/>
  <c r="Q36" i="6" s="1"/>
  <c r="AH36" i="6" s="1"/>
  <c r="S36" i="6"/>
  <c r="U36" i="6"/>
  <c r="X36" i="6" s="1"/>
  <c r="AB36" i="6"/>
  <c r="N39" i="6"/>
  <c r="Q39" i="6" s="1"/>
  <c r="AH39" i="6" s="1"/>
  <c r="O39" i="6"/>
  <c r="R39" i="6" s="1"/>
  <c r="S39" i="6"/>
  <c r="U39" i="6"/>
  <c r="M39" i="6" s="1"/>
  <c r="M40" i="6"/>
  <c r="N40" i="6"/>
  <c r="O40" i="6" s="1"/>
  <c r="R40" i="6" s="1"/>
  <c r="S40" i="6"/>
  <c r="X40" i="6"/>
  <c r="AA40" i="6"/>
  <c r="N37" i="6"/>
  <c r="O37" i="6" s="1"/>
  <c r="R37" i="6" s="1"/>
  <c r="S37" i="6"/>
  <c r="N41" i="6"/>
  <c r="Q41" i="6" s="1"/>
  <c r="AH41" i="6" s="1"/>
  <c r="S41" i="6"/>
  <c r="U41" i="6"/>
  <c r="X41" i="6" s="1"/>
  <c r="N42" i="6"/>
  <c r="Q42" i="6" s="1"/>
  <c r="AH42" i="6" s="1"/>
  <c r="S42" i="6"/>
  <c r="U42" i="6"/>
  <c r="M42" i="6" s="1"/>
  <c r="M43" i="6"/>
  <c r="N43" i="6"/>
  <c r="Q43" i="6" s="1"/>
  <c r="AH43" i="6" s="1"/>
  <c r="O43" i="6"/>
  <c r="R43" i="6"/>
  <c r="S43" i="6"/>
  <c r="X43" i="6"/>
  <c r="M44" i="6"/>
  <c r="N44" i="6"/>
  <c r="Q44" i="6" s="1"/>
  <c r="AH44" i="6" s="1"/>
  <c r="O44" i="6"/>
  <c r="R44" i="6"/>
  <c r="S44" i="6"/>
  <c r="X44" i="6"/>
  <c r="M45" i="6"/>
  <c r="N45" i="6"/>
  <c r="O45" i="6"/>
  <c r="R45" i="6" s="1"/>
  <c r="Q45" i="6"/>
  <c r="AB45" i="6" s="1"/>
  <c r="AH45" i="6" s="1"/>
  <c r="S45" i="6"/>
  <c r="X45" i="6"/>
  <c r="N46" i="6"/>
  <c r="O46" i="6"/>
  <c r="Q46" i="6"/>
  <c r="AH46" i="6" s="1"/>
  <c r="R46" i="6"/>
  <c r="S46" i="6"/>
  <c r="W46" i="6"/>
  <c r="AA46" i="6"/>
  <c r="AC46" i="6"/>
  <c r="M47" i="6"/>
  <c r="X47" i="6"/>
  <c r="AH47" i="6"/>
  <c r="N48" i="6"/>
  <c r="O48" i="6" s="1"/>
  <c r="R48" i="6" s="1"/>
  <c r="S48" i="6"/>
  <c r="U48" i="6"/>
  <c r="X48" i="6" s="1"/>
  <c r="N49" i="6"/>
  <c r="Q49" i="6" s="1"/>
  <c r="S49" i="6"/>
  <c r="X49" i="6"/>
  <c r="M50" i="6"/>
  <c r="N50" i="6"/>
  <c r="O50" i="6" s="1"/>
  <c r="R50" i="6" s="1"/>
  <c r="S50" i="6"/>
  <c r="X50" i="6"/>
  <c r="N51" i="6"/>
  <c r="O51" i="6" s="1"/>
  <c r="R51" i="6" s="1"/>
  <c r="S51" i="6"/>
  <c r="N52" i="6"/>
  <c r="Q52" i="6" s="1"/>
  <c r="AB52" i="6" s="1"/>
  <c r="AH52" i="6" s="1"/>
  <c r="O52" i="6"/>
  <c r="R52" i="6" s="1"/>
  <c r="P52" i="6"/>
  <c r="S52" i="6"/>
  <c r="U52" i="6"/>
  <c r="X52" i="6" s="1"/>
  <c r="N38" i="6"/>
  <c r="Q38" i="6" s="1"/>
  <c r="AB38" i="6" s="1"/>
  <c r="S38" i="6"/>
  <c r="S24" i="6"/>
  <c r="AD54" i="6"/>
  <c r="L54" i="6"/>
  <c r="Q50" i="6" l="1"/>
  <c r="AH50" i="6" s="1"/>
  <c r="O49" i="6"/>
  <c r="R49" i="6" s="1"/>
  <c r="O41" i="6"/>
  <c r="R41" i="6" s="1"/>
  <c r="O36" i="6"/>
  <c r="R36" i="6" s="1"/>
  <c r="O32" i="6"/>
  <c r="R32" i="6" s="1"/>
  <c r="O29" i="6"/>
  <c r="R29" i="6" s="1"/>
  <c r="O42" i="6"/>
  <c r="R42" i="6" s="1"/>
  <c r="O38" i="6"/>
  <c r="R38" i="6" s="1"/>
  <c r="X32" i="6"/>
  <c r="Q31" i="6"/>
  <c r="AH31" i="6" s="1"/>
  <c r="Q37" i="6"/>
  <c r="AB37" i="6" s="1"/>
  <c r="AH37" i="6" s="1"/>
  <c r="Q24" i="6"/>
  <c r="AB24" i="6" s="1"/>
  <c r="AH24" i="6" s="1"/>
  <c r="Q40" i="6"/>
  <c r="AB40" i="6" s="1"/>
  <c r="AH40" i="6" s="1"/>
  <c r="Q27" i="6"/>
  <c r="AH27" i="6" s="1"/>
  <c r="AH38" i="6"/>
  <c r="M36" i="6"/>
  <c r="M26" i="6"/>
  <c r="X42" i="6"/>
  <c r="M31" i="6"/>
  <c r="X25" i="6"/>
  <c r="X27" i="6"/>
  <c r="O34" i="6"/>
  <c r="R34" i="6" s="1"/>
  <c r="Q34" i="6"/>
  <c r="M33" i="6"/>
  <c r="X39" i="6"/>
  <c r="M41" i="6"/>
  <c r="M52" i="6"/>
  <c r="M35" i="6"/>
  <c r="M28" i="6"/>
  <c r="Q51" i="6"/>
  <c r="AB51" i="6" s="1"/>
  <c r="AH51" i="6" s="1"/>
  <c r="Q48" i="6"/>
  <c r="AH48" i="6" s="1"/>
  <c r="M139" i="10"/>
  <c r="M140" i="10"/>
  <c r="M141" i="10"/>
  <c r="M142" i="10"/>
  <c r="M143" i="10"/>
  <c r="M144" i="10"/>
  <c r="M145" i="10"/>
  <c r="M146" i="10"/>
  <c r="M147" i="10"/>
  <c r="M148" i="10"/>
  <c r="M149" i="10"/>
  <c r="M150" i="10"/>
  <c r="M151" i="10"/>
  <c r="M152" i="10"/>
  <c r="M153" i="10"/>
  <c r="M154" i="10"/>
  <c r="M155" i="10"/>
  <c r="M156" i="10"/>
  <c r="M157" i="10"/>
  <c r="M158" i="10"/>
  <c r="M159" i="10"/>
  <c r="M160" i="10"/>
  <c r="M161" i="10"/>
  <c r="M162" i="10"/>
  <c r="M163" i="10"/>
  <c r="M164" i="10"/>
  <c r="M165" i="10"/>
  <c r="M166" i="10"/>
  <c r="M167" i="10"/>
  <c r="M168" i="10"/>
  <c r="M138" i="10"/>
  <c r="X8" i="6"/>
  <c r="X23" i="6"/>
  <c r="S10" i="6"/>
  <c r="U2" i="6"/>
  <c r="U15" i="6"/>
  <c r="U10" i="6"/>
  <c r="X10" i="6" s="1"/>
  <c r="AB34" i="6" l="1"/>
  <c r="AH34" i="6" s="1"/>
  <c r="I197" i="10"/>
  <c r="I198" i="10"/>
  <c r="I189" i="10"/>
  <c r="I188" i="10"/>
  <c r="O216" i="10"/>
  <c r="P198" i="10"/>
  <c r="P196" i="10"/>
  <c r="O197" i="10"/>
  <c r="P195" i="10"/>
  <c r="N197" i="10"/>
  <c r="I214" i="10"/>
  <c r="H214" i="10"/>
  <c r="E214" i="10"/>
  <c r="G214" i="10"/>
  <c r="I215" i="10"/>
  <c r="H215" i="10"/>
  <c r="E215" i="10"/>
  <c r="C215" i="10"/>
  <c r="G215" i="10" s="1"/>
  <c r="C188" i="10"/>
  <c r="G188" i="10" s="1"/>
  <c r="H188" i="10"/>
  <c r="E188" i="10"/>
  <c r="I221" i="10"/>
  <c r="I220" i="10"/>
  <c r="I219" i="10"/>
  <c r="I218" i="10"/>
  <c r="I217" i="10"/>
  <c r="I216" i="10"/>
  <c r="I213" i="10"/>
  <c r="I212" i="10"/>
  <c r="I211" i="10"/>
  <c r="I210" i="10"/>
  <c r="I209" i="10"/>
  <c r="I208" i="10"/>
  <c r="I207" i="10"/>
  <c r="I206" i="10"/>
  <c r="I205" i="10"/>
  <c r="I204" i="10"/>
  <c r="I203" i="10"/>
  <c r="I202" i="10"/>
  <c r="I201" i="10"/>
  <c r="I200" i="10"/>
  <c r="I199" i="10"/>
  <c r="I196" i="10"/>
  <c r="I195" i="10"/>
  <c r="I194" i="10"/>
  <c r="I193" i="10"/>
  <c r="I192" i="10"/>
  <c r="I191" i="10"/>
  <c r="I190" i="10"/>
  <c r="I187" i="10"/>
  <c r="I186" i="10"/>
  <c r="I185" i="10"/>
  <c r="I184" i="10"/>
  <c r="H221" i="10"/>
  <c r="E221" i="10"/>
  <c r="H220" i="10"/>
  <c r="E220" i="10"/>
  <c r="H219" i="10"/>
  <c r="E219" i="10"/>
  <c r="H218" i="10"/>
  <c r="E218" i="10"/>
  <c r="H217" i="10"/>
  <c r="E217" i="10"/>
  <c r="H216" i="10"/>
  <c r="E216" i="10"/>
  <c r="H213" i="10"/>
  <c r="E213" i="10"/>
  <c r="H212" i="10"/>
  <c r="E212" i="10"/>
  <c r="H211" i="10"/>
  <c r="E211" i="10"/>
  <c r="H210" i="10"/>
  <c r="E210" i="10"/>
  <c r="H209" i="10"/>
  <c r="E209" i="10"/>
  <c r="H208" i="10"/>
  <c r="E208" i="10"/>
  <c r="H207" i="10"/>
  <c r="E207" i="10"/>
  <c r="H206" i="10"/>
  <c r="E206" i="10"/>
  <c r="H205" i="10"/>
  <c r="E205" i="10"/>
  <c r="H204" i="10"/>
  <c r="E204" i="10"/>
  <c r="H203" i="10"/>
  <c r="E203" i="10"/>
  <c r="H202" i="10"/>
  <c r="E202" i="10"/>
  <c r="H201" i="10"/>
  <c r="E201" i="10"/>
  <c r="H200" i="10"/>
  <c r="E200" i="10"/>
  <c r="H199" i="10"/>
  <c r="E199" i="10"/>
  <c r="H198" i="10"/>
  <c r="E198" i="10"/>
  <c r="H197" i="10"/>
  <c r="E197" i="10"/>
  <c r="H196" i="10"/>
  <c r="E196" i="10"/>
  <c r="H195" i="10"/>
  <c r="E195" i="10"/>
  <c r="H194" i="10"/>
  <c r="E194" i="10"/>
  <c r="H193" i="10"/>
  <c r="E193" i="10"/>
  <c r="H192" i="10"/>
  <c r="E192" i="10"/>
  <c r="H191" i="10"/>
  <c r="E191" i="10"/>
  <c r="H190" i="10"/>
  <c r="E190" i="10"/>
  <c r="H189" i="10"/>
  <c r="E189" i="10"/>
  <c r="H187" i="10"/>
  <c r="E187" i="10"/>
  <c r="H186" i="10"/>
  <c r="E186" i="10"/>
  <c r="H185" i="10"/>
  <c r="E185" i="10"/>
  <c r="E184" i="10"/>
  <c r="C202" i="10"/>
  <c r="G202" i="10" s="1"/>
  <c r="C212" i="10"/>
  <c r="G212" i="10" s="1"/>
  <c r="C221" i="10"/>
  <c r="G221" i="10" s="1"/>
  <c r="C220" i="10"/>
  <c r="G220" i="10" s="1"/>
  <c r="C219" i="10"/>
  <c r="G219" i="10" s="1"/>
  <c r="C218" i="10"/>
  <c r="G218" i="10" s="1"/>
  <c r="C217" i="10"/>
  <c r="G217" i="10" s="1"/>
  <c r="C216" i="10"/>
  <c r="G216" i="10" s="1"/>
  <c r="C213" i="10"/>
  <c r="G213" i="10" s="1"/>
  <c r="C211" i="10"/>
  <c r="G211" i="10" s="1"/>
  <c r="C210" i="10"/>
  <c r="G210" i="10" s="1"/>
  <c r="C209" i="10"/>
  <c r="G209" i="10" s="1"/>
  <c r="C208" i="10"/>
  <c r="G208" i="10" s="1"/>
  <c r="C207" i="10"/>
  <c r="G207" i="10" s="1"/>
  <c r="C206" i="10"/>
  <c r="G206" i="10" s="1"/>
  <c r="C205" i="10"/>
  <c r="G205" i="10" s="1"/>
  <c r="C204" i="10"/>
  <c r="G204" i="10" s="1"/>
  <c r="C203" i="10"/>
  <c r="G203" i="10" s="1"/>
  <c r="C201" i="10"/>
  <c r="G201" i="10" s="1"/>
  <c r="C200" i="10"/>
  <c r="G200" i="10" s="1"/>
  <c r="C199" i="10"/>
  <c r="G199" i="10" s="1"/>
  <c r="C198" i="10"/>
  <c r="G198" i="10" s="1"/>
  <c r="C197" i="10"/>
  <c r="G197" i="10" s="1"/>
  <c r="C196" i="10"/>
  <c r="G196" i="10" s="1"/>
  <c r="C195" i="10"/>
  <c r="G195" i="10" s="1"/>
  <c r="C194" i="10"/>
  <c r="G194" i="10" s="1"/>
  <c r="C193" i="10"/>
  <c r="G193" i="10" s="1"/>
  <c r="C192" i="10"/>
  <c r="G192" i="10" s="1"/>
  <c r="C191" i="10"/>
  <c r="F191" i="10" s="1"/>
  <c r="C190" i="10"/>
  <c r="G190" i="10" s="1"/>
  <c r="C189" i="10"/>
  <c r="G189" i="10" s="1"/>
  <c r="C187" i="10"/>
  <c r="G187" i="10" s="1"/>
  <c r="C186" i="10"/>
  <c r="G186" i="10" s="1"/>
  <c r="C185" i="10"/>
  <c r="G185" i="10" s="1"/>
  <c r="C184" i="10"/>
  <c r="G184" i="10" s="1"/>
  <c r="C176" i="10"/>
  <c r="F176" i="10" s="1"/>
  <c r="C175" i="10"/>
  <c r="F175" i="10" s="1"/>
  <c r="C174" i="10"/>
  <c r="F174" i="10" s="1"/>
  <c r="C173" i="10"/>
  <c r="F173" i="10" s="1"/>
  <c r="C172" i="10"/>
  <c r="F172" i="10" s="1"/>
  <c r="C171" i="10"/>
  <c r="F171" i="10" s="1"/>
  <c r="C170" i="10"/>
  <c r="F170" i="10" s="1"/>
  <c r="C169" i="10"/>
  <c r="F169" i="10" s="1"/>
  <c r="C168" i="10"/>
  <c r="F168" i="10" s="1"/>
  <c r="C167" i="10"/>
  <c r="F167" i="10" s="1"/>
  <c r="C166" i="10"/>
  <c r="F166" i="10" s="1"/>
  <c r="C165" i="10"/>
  <c r="F165" i="10" s="1"/>
  <c r="C164" i="10"/>
  <c r="F164" i="10" s="1"/>
  <c r="C163" i="10"/>
  <c r="F163" i="10" s="1"/>
  <c r="C162" i="10"/>
  <c r="F162" i="10" s="1"/>
  <c r="C161" i="10"/>
  <c r="F161" i="10" s="1"/>
  <c r="C160" i="10"/>
  <c r="F160" i="10" s="1"/>
  <c r="C159" i="10"/>
  <c r="F159" i="10" s="1"/>
  <c r="C158" i="10"/>
  <c r="F158" i="10" s="1"/>
  <c r="C157" i="10"/>
  <c r="F157" i="10" s="1"/>
  <c r="C156" i="10"/>
  <c r="F156" i="10" s="1"/>
  <c r="C155" i="10"/>
  <c r="G155" i="10" s="1"/>
  <c r="C154" i="10"/>
  <c r="F154" i="10" s="1"/>
  <c r="C153" i="10"/>
  <c r="F153" i="10" s="1"/>
  <c r="C152" i="10"/>
  <c r="F152" i="10" s="1"/>
  <c r="C151" i="10"/>
  <c r="F151" i="10" s="1"/>
  <c r="C150" i="10"/>
  <c r="F150" i="10" s="1"/>
  <c r="C149" i="10"/>
  <c r="F149" i="10" s="1"/>
  <c r="C148" i="10"/>
  <c r="F148" i="10" s="1"/>
  <c r="C147" i="10"/>
  <c r="F147" i="10" s="1"/>
  <c r="C146" i="10"/>
  <c r="F146" i="10" s="1"/>
  <c r="C145" i="10"/>
  <c r="F145" i="10" s="1"/>
  <c r="C144" i="10"/>
  <c r="F144" i="10" s="1"/>
  <c r="C143" i="10"/>
  <c r="F143" i="10" s="1"/>
  <c r="C142" i="10"/>
  <c r="F142" i="10" s="1"/>
  <c r="C141" i="10"/>
  <c r="F141" i="10" s="1"/>
  <c r="C140" i="10"/>
  <c r="F140" i="10" s="1"/>
  <c r="C139" i="10"/>
  <c r="E155" i="10"/>
  <c r="H155" i="10"/>
  <c r="I155" i="10"/>
  <c r="J155" i="10"/>
  <c r="J170" i="10"/>
  <c r="I170" i="10"/>
  <c r="H170" i="10"/>
  <c r="E170" i="10"/>
  <c r="J147" i="10"/>
  <c r="I147" i="10"/>
  <c r="H147" i="10"/>
  <c r="E147" i="10"/>
  <c r="N10" i="6"/>
  <c r="G191" i="10" l="1"/>
  <c r="F203" i="10"/>
  <c r="G147" i="10"/>
  <c r="F208" i="10"/>
  <c r="F195" i="10"/>
  <c r="P194" i="10"/>
  <c r="P197" i="10" s="1"/>
  <c r="F214" i="10"/>
  <c r="F215" i="10"/>
  <c r="F211" i="10"/>
  <c r="F199" i="10"/>
  <c r="F204" i="10"/>
  <c r="F186" i="10"/>
  <c r="F219" i="10"/>
  <c r="F207" i="10"/>
  <c r="F188" i="10"/>
  <c r="F187" i="10"/>
  <c r="F192" i="10"/>
  <c r="F196" i="10"/>
  <c r="F200" i="10"/>
  <c r="F212" i="10"/>
  <c r="F216" i="10"/>
  <c r="F220" i="10"/>
  <c r="F189" i="10"/>
  <c r="F193" i="10"/>
  <c r="F197" i="10"/>
  <c r="F201" i="10"/>
  <c r="F205" i="10"/>
  <c r="F209" i="10"/>
  <c r="F213" i="10"/>
  <c r="F217" i="10"/>
  <c r="F221" i="10"/>
  <c r="F184" i="10"/>
  <c r="F185" i="10"/>
  <c r="F190" i="10"/>
  <c r="F194" i="10"/>
  <c r="F198" i="10"/>
  <c r="F202" i="10"/>
  <c r="F206" i="10"/>
  <c r="F210" i="10"/>
  <c r="F218" i="10"/>
  <c r="G170" i="10"/>
  <c r="F155" i="10"/>
  <c r="A34" i="19"/>
  <c r="C34" i="19"/>
  <c r="M10" i="6" l="1"/>
  <c r="M9" i="6"/>
  <c r="AC14" i="6" l="1"/>
  <c r="X14" i="6"/>
  <c r="X13" i="6"/>
  <c r="X12" i="6"/>
  <c r="AC13" i="6"/>
  <c r="AB65" i="6" s="1"/>
  <c r="J142" i="10"/>
  <c r="E166" i="10"/>
  <c r="G166" i="10"/>
  <c r="H166" i="10"/>
  <c r="I166" i="10"/>
  <c r="C7" i="19"/>
  <c r="C8" i="19"/>
  <c r="C9" i="19"/>
  <c r="C10" i="19"/>
  <c r="C11" i="19"/>
  <c r="C12" i="19"/>
  <c r="C13" i="19"/>
  <c r="C14" i="19"/>
  <c r="C15" i="19"/>
  <c r="C16" i="19"/>
  <c r="C17" i="19"/>
  <c r="C18" i="19"/>
  <c r="C19" i="19"/>
  <c r="C20" i="19"/>
  <c r="C21" i="19"/>
  <c r="C22" i="19"/>
  <c r="C23" i="19"/>
  <c r="C24" i="19"/>
  <c r="C25" i="19"/>
  <c r="C26" i="19"/>
  <c r="C27" i="19"/>
  <c r="C28" i="19"/>
  <c r="C29" i="19"/>
  <c r="C30" i="19"/>
  <c r="C31" i="19"/>
  <c r="C32" i="19"/>
  <c r="C33" i="19"/>
  <c r="C2" i="19"/>
  <c r="C35" i="19"/>
  <c r="C36" i="19"/>
  <c r="C3" i="19"/>
  <c r="C37" i="19"/>
  <c r="C38" i="19"/>
  <c r="C39" i="19"/>
  <c r="C40" i="19"/>
  <c r="C41" i="19"/>
  <c r="C42" i="19"/>
  <c r="C43" i="19"/>
  <c r="C4" i="19"/>
  <c r="C5" i="19"/>
  <c r="C6" i="19"/>
  <c r="AB64" i="6" l="1"/>
  <c r="X16" i="6"/>
  <c r="X17" i="6"/>
  <c r="X18" i="6"/>
  <c r="X19" i="6"/>
  <c r="X20" i="6"/>
  <c r="X2" i="6"/>
  <c r="X4" i="6"/>
  <c r="X3" i="6"/>
  <c r="X5" i="6"/>
  <c r="X21" i="6"/>
  <c r="X22" i="6"/>
  <c r="X6" i="6"/>
  <c r="X7" i="6"/>
  <c r="X9" i="6"/>
  <c r="X15" i="6"/>
  <c r="X11" i="6"/>
  <c r="A7" i="19"/>
  <c r="A8" i="19"/>
  <c r="A9" i="19"/>
  <c r="A10" i="19"/>
  <c r="A11" i="19"/>
  <c r="A12" i="19"/>
  <c r="A13" i="19"/>
  <c r="A14" i="19"/>
  <c r="A15" i="19"/>
  <c r="A16" i="19"/>
  <c r="A17" i="19"/>
  <c r="A18" i="19"/>
  <c r="A19" i="19"/>
  <c r="A20" i="19"/>
  <c r="A21" i="19"/>
  <c r="A22" i="19"/>
  <c r="A23" i="19"/>
  <c r="A24" i="19"/>
  <c r="A26" i="19"/>
  <c r="A27" i="19"/>
  <c r="A28" i="19"/>
  <c r="A29" i="19"/>
  <c r="A30" i="19"/>
  <c r="A31" i="19"/>
  <c r="A32" i="19"/>
  <c r="A33" i="19"/>
  <c r="A2" i="19"/>
  <c r="A35" i="19"/>
  <c r="A36" i="19"/>
  <c r="A3" i="19"/>
  <c r="A37" i="19"/>
  <c r="A38" i="19"/>
  <c r="A39" i="19"/>
  <c r="A40" i="19"/>
  <c r="A41" i="19"/>
  <c r="A42" i="19"/>
  <c r="A43" i="19"/>
  <c r="A4" i="19"/>
  <c r="A5" i="19"/>
  <c r="A6" i="19"/>
  <c r="E139" i="10" l="1"/>
  <c r="U43" i="10" l="1"/>
  <c r="U44" i="10"/>
  <c r="U45" i="10"/>
  <c r="U46" i="10"/>
  <c r="U47" i="10"/>
  <c r="U48" i="10"/>
  <c r="U49" i="10"/>
  <c r="U50" i="10"/>
  <c r="U51" i="10"/>
  <c r="U52" i="10"/>
  <c r="U53" i="10"/>
  <c r="U54" i="10"/>
  <c r="U55" i="10"/>
  <c r="U56" i="10"/>
  <c r="U57" i="10"/>
  <c r="U58" i="10"/>
  <c r="U59" i="10"/>
  <c r="U60" i="10"/>
  <c r="U61" i="10"/>
  <c r="U62" i="10"/>
  <c r="U63" i="10"/>
  <c r="U64" i="10"/>
  <c r="U65" i="10"/>
  <c r="U66" i="10"/>
  <c r="U67" i="10"/>
  <c r="U68" i="10"/>
  <c r="U69" i="10"/>
  <c r="U70" i="10"/>
  <c r="U71" i="10"/>
  <c r="U72" i="10"/>
  <c r="U73" i="10"/>
  <c r="U74" i="10"/>
  <c r="U42" i="10"/>
  <c r="E169" i="10"/>
  <c r="G169" i="10"/>
  <c r="H169" i="10"/>
  <c r="I169" i="10"/>
  <c r="J169" i="10"/>
  <c r="F139" i="10"/>
  <c r="E154" i="10"/>
  <c r="G154" i="10"/>
  <c r="H154" i="10"/>
  <c r="I154" i="10"/>
  <c r="J154" i="10"/>
  <c r="AB11" i="6" l="1"/>
  <c r="M12" i="6" l="1"/>
  <c r="M11" i="6"/>
  <c r="Q12" i="6" l="1"/>
  <c r="AH12" i="6" s="1"/>
  <c r="R12" i="6"/>
  <c r="S12" i="6"/>
  <c r="Q11" i="6"/>
  <c r="R11" i="6"/>
  <c r="S11" i="6"/>
  <c r="E173" i="10"/>
  <c r="E172" i="10"/>
  <c r="E171" i="10"/>
  <c r="E167" i="10"/>
  <c r="E164" i="10"/>
  <c r="E157" i="10"/>
  <c r="E165" i="10"/>
  <c r="E163" i="10"/>
  <c r="E160" i="10"/>
  <c r="E159" i="10"/>
  <c r="E149" i="10"/>
  <c r="E168" i="10"/>
  <c r="E162" i="10"/>
  <c r="E158" i="10"/>
  <c r="E156" i="10"/>
  <c r="E151" i="10"/>
  <c r="E161" i="10"/>
  <c r="E150" i="10"/>
  <c r="E148" i="10"/>
  <c r="E145" i="10"/>
  <c r="E143" i="10"/>
  <c r="E142" i="10"/>
  <c r="E140" i="10"/>
  <c r="AH11" i="6" l="1"/>
  <c r="F26" i="14" a="1"/>
  <c r="F26" i="14" s="1"/>
  <c r="J176" i="10" l="1"/>
  <c r="J175" i="10"/>
  <c r="J174" i="10"/>
  <c r="J173" i="10"/>
  <c r="J172" i="10"/>
  <c r="J171" i="10"/>
  <c r="J167" i="10"/>
  <c r="J164" i="10"/>
  <c r="J157" i="10"/>
  <c r="J165" i="10"/>
  <c r="J163" i="10"/>
  <c r="J160" i="10"/>
  <c r="J159" i="10"/>
  <c r="J149" i="10"/>
  <c r="J168" i="10"/>
  <c r="J162" i="10"/>
  <c r="J158" i="10"/>
  <c r="J156" i="10"/>
  <c r="J151" i="10"/>
  <c r="J161" i="10"/>
  <c r="J150" i="10"/>
  <c r="J148" i="10"/>
  <c r="J145" i="10"/>
  <c r="J143" i="10"/>
  <c r="J140" i="10"/>
  <c r="J141" i="10"/>
  <c r="J139" i="10"/>
  <c r="I143" i="10"/>
  <c r="I145" i="10"/>
  <c r="I148" i="10"/>
  <c r="I150" i="10"/>
  <c r="I161" i="10"/>
  <c r="I151" i="10"/>
  <c r="I156" i="10"/>
  <c r="I158" i="10"/>
  <c r="I162" i="10"/>
  <c r="I168" i="10"/>
  <c r="I149" i="10"/>
  <c r="I159" i="10"/>
  <c r="I160" i="10"/>
  <c r="I163" i="10"/>
  <c r="I165" i="10"/>
  <c r="I157" i="10"/>
  <c r="I164" i="10"/>
  <c r="I167" i="10"/>
  <c r="I171" i="10"/>
  <c r="I172" i="10"/>
  <c r="I173" i="10"/>
  <c r="I174" i="10"/>
  <c r="I175" i="10"/>
  <c r="I176" i="10"/>
  <c r="I142" i="10"/>
  <c r="I140" i="10"/>
  <c r="I141" i="10"/>
  <c r="I139" i="10"/>
  <c r="H139" i="10"/>
  <c r="H141" i="10"/>
  <c r="H140" i="10"/>
  <c r="H142" i="10"/>
  <c r="H143" i="10"/>
  <c r="H145" i="10"/>
  <c r="H148" i="10"/>
  <c r="H150" i="10"/>
  <c r="H161" i="10"/>
  <c r="H151" i="10"/>
  <c r="H156" i="10"/>
  <c r="H158" i="10"/>
  <c r="H162" i="10"/>
  <c r="H168" i="10"/>
  <c r="H149" i="10"/>
  <c r="H159" i="10"/>
  <c r="H160" i="10"/>
  <c r="H163" i="10"/>
  <c r="H165" i="10"/>
  <c r="H157" i="10"/>
  <c r="H164" i="10"/>
  <c r="H167" i="10"/>
  <c r="H171" i="10"/>
  <c r="H172" i="10"/>
  <c r="H173" i="10"/>
  <c r="H174" i="10"/>
  <c r="H175" i="10"/>
  <c r="H176" i="10"/>
  <c r="G18" i="14" l="1"/>
  <c r="G19" i="14"/>
  <c r="G20" i="14"/>
  <c r="G21" i="14"/>
  <c r="G22" i="14"/>
  <c r="G23" i="14"/>
  <c r="G24" i="14"/>
  <c r="G25" i="14"/>
  <c r="G26" i="14"/>
  <c r="G27" i="14"/>
  <c r="G28" i="14"/>
  <c r="G17" i="14"/>
  <c r="F18" i="14"/>
  <c r="F19" i="14"/>
  <c r="F20" i="14"/>
  <c r="F21" i="14"/>
  <c r="F22" i="14"/>
  <c r="F23" i="14"/>
  <c r="F24" i="14"/>
  <c r="F25" i="14"/>
  <c r="F27" i="14"/>
  <c r="F28" i="14"/>
  <c r="F17" i="14"/>
  <c r="M16" i="6"/>
  <c r="M17" i="6"/>
  <c r="M18" i="6"/>
  <c r="M19" i="6"/>
  <c r="M20" i="6"/>
  <c r="M2" i="6"/>
  <c r="M4" i="6"/>
  <c r="M3" i="6"/>
  <c r="M5" i="6"/>
  <c r="M21" i="6"/>
  <c r="M22" i="6"/>
  <c r="M13" i="6"/>
  <c r="M6" i="6"/>
  <c r="M7" i="6"/>
  <c r="M14" i="6"/>
  <c r="M8" i="6"/>
  <c r="M23" i="6"/>
  <c r="M15" i="6"/>
  <c r="G176" i="10"/>
  <c r="G175" i="10"/>
  <c r="G174" i="10"/>
  <c r="G173" i="10"/>
  <c r="G172" i="10"/>
  <c r="G171" i="10"/>
  <c r="G167" i="10"/>
  <c r="G168" i="10"/>
  <c r="G165" i="10"/>
  <c r="G164" i="10"/>
  <c r="G163" i="10"/>
  <c r="G162" i="10"/>
  <c r="G161" i="10"/>
  <c r="G160" i="10"/>
  <c r="G159" i="10"/>
  <c r="G157" i="10"/>
  <c r="G153" i="10"/>
  <c r="G152" i="10"/>
  <c r="G151" i="10"/>
  <c r="G150" i="10"/>
  <c r="G149" i="10"/>
  <c r="G148" i="10"/>
  <c r="G146" i="10"/>
  <c r="G145" i="10"/>
  <c r="G144" i="10"/>
  <c r="G158" i="10"/>
  <c r="G156" i="10"/>
  <c r="G143" i="10"/>
  <c r="G142" i="10"/>
  <c r="G141" i="10"/>
  <c r="G140" i="10"/>
  <c r="G139" i="10"/>
  <c r="H184" i="10" l="1"/>
  <c r="Q5" i="14" l="1"/>
  <c r="O5" i="14"/>
  <c r="H8" i="14"/>
  <c r="G8" i="14"/>
  <c r="N16" i="6"/>
  <c r="Q16" i="6" s="1"/>
  <c r="AB62" i="6" l="1"/>
  <c r="P12" i="14"/>
  <c r="AB63" i="6" l="1"/>
  <c r="F4" i="18" l="1"/>
  <c r="H4" i="18" s="1"/>
  <c r="F5" i="18"/>
  <c r="H5" i="18" s="1"/>
  <c r="H6" i="18"/>
  <c r="G7" i="18"/>
  <c r="H8" i="18"/>
  <c r="F7" i="18" l="1"/>
  <c r="H7" i="18"/>
  <c r="E11" i="14"/>
  <c r="E141" i="10"/>
  <c r="E3" i="14"/>
  <c r="E4" i="14"/>
  <c r="E5" i="14"/>
  <c r="E6" i="14"/>
  <c r="E7" i="14"/>
  <c r="E8" i="14"/>
  <c r="E9" i="14"/>
  <c r="E10" i="14"/>
  <c r="E2" i="14"/>
  <c r="M12" i="14" l="1"/>
  <c r="O15" i="14" s="1"/>
  <c r="H3" i="14" l="1"/>
  <c r="H4" i="14"/>
  <c r="H6" i="14"/>
  <c r="H7" i="14"/>
  <c r="H9" i="14"/>
  <c r="H10" i="14"/>
  <c r="H11" i="14"/>
  <c r="H2" i="14"/>
  <c r="G3" i="14"/>
  <c r="G4" i="14"/>
  <c r="G6" i="14"/>
  <c r="G7" i="14"/>
  <c r="G9" i="14"/>
  <c r="G10" i="14"/>
  <c r="G11" i="14"/>
  <c r="G2" i="14"/>
  <c r="N6" i="6" l="1"/>
  <c r="Q6" i="6" s="1"/>
  <c r="N21" i="6"/>
  <c r="Q21" i="6" s="1"/>
  <c r="N22" i="6"/>
  <c r="Q22" i="6" s="1"/>
  <c r="N13" i="6"/>
  <c r="N7" i="6"/>
  <c r="Q7" i="6" s="1"/>
  <c r="N14" i="6"/>
  <c r="N8" i="6"/>
  <c r="Q8" i="6" s="1"/>
  <c r="N3" i="6"/>
  <c r="N5" i="6"/>
  <c r="Q5" i="6" s="1"/>
  <c r="N4" i="6"/>
  <c r="Q4" i="6" s="1"/>
  <c r="N18" i="6"/>
  <c r="Q18" i="6" s="1"/>
  <c r="N19" i="6"/>
  <c r="Q19" i="6" s="1"/>
  <c r="N20" i="6"/>
  <c r="Q20" i="6" s="1"/>
  <c r="N17" i="6"/>
  <c r="Q17" i="6" s="1"/>
  <c r="O15" i="6"/>
  <c r="R15" i="6" s="1"/>
  <c r="N15" i="6"/>
  <c r="Q15" i="6" s="1"/>
  <c r="J6" i="14"/>
  <c r="AB15" i="6" l="1"/>
  <c r="AH15" i="6" s="1"/>
  <c r="O6" i="14"/>
  <c r="Q6" i="14"/>
  <c r="AB60" i="6"/>
  <c r="J11" i="14" l="1"/>
  <c r="O11" i="14" s="1"/>
  <c r="P15" i="6"/>
  <c r="P54" i="6" s="1"/>
  <c r="N9" i="6"/>
  <c r="O9" i="6" s="1"/>
  <c r="R9" i="6" s="1"/>
  <c r="N23" i="6"/>
  <c r="Q23" i="6" s="1"/>
  <c r="AH23" i="6" s="1"/>
  <c r="Q10" i="6" l="1"/>
  <c r="S63" i="6"/>
  <c r="S15" i="6"/>
  <c r="P55" i="6"/>
  <c r="Q11" i="14"/>
  <c r="Q9" i="6"/>
  <c r="O23" i="6"/>
  <c r="R23" i="6" s="1"/>
  <c r="O10" i="6"/>
  <c r="R10" i="6" s="1"/>
  <c r="R63" i="6" l="1"/>
  <c r="T63" i="6" s="1"/>
  <c r="AH10" i="6"/>
  <c r="Q63" i="6"/>
  <c r="AH9" i="6"/>
  <c r="G126" i="10" l="1"/>
  <c r="H126" i="10"/>
  <c r="F126" i="10"/>
  <c r="H110" i="10" l="1"/>
  <c r="G110" i="10"/>
  <c r="F110" i="10"/>
  <c r="G99" i="10"/>
  <c r="H99" i="10"/>
  <c r="F99" i="10"/>
  <c r="S16" i="6"/>
  <c r="S17" i="6"/>
  <c r="S18" i="6"/>
  <c r="S19" i="6"/>
  <c r="S20" i="6"/>
  <c r="S2" i="6"/>
  <c r="S4" i="6"/>
  <c r="S3" i="6"/>
  <c r="S5" i="6"/>
  <c r="S21" i="6"/>
  <c r="S22" i="6"/>
  <c r="S13" i="6"/>
  <c r="S6" i="6"/>
  <c r="S7" i="6"/>
  <c r="S14" i="6"/>
  <c r="S8" i="6"/>
  <c r="S59" i="6" l="1"/>
  <c r="Q186" i="10" s="1"/>
  <c r="S61" i="6"/>
  <c r="Q188" i="10" s="1"/>
  <c r="S60" i="6"/>
  <c r="Q187" i="10" s="1"/>
  <c r="M97" i="10"/>
  <c r="M99" i="10"/>
  <c r="N2" i="6"/>
  <c r="Q2" i="6" l="1"/>
  <c r="N54" i="6"/>
  <c r="N55" i="6" s="1"/>
  <c r="S66" i="6"/>
  <c r="M98" i="10"/>
  <c r="M100" i="10" s="1"/>
  <c r="O4" i="6"/>
  <c r="R4" i="6" s="1"/>
  <c r="AH4" i="6"/>
  <c r="O7" i="6"/>
  <c r="R7" i="6" s="1"/>
  <c r="O19" i="6"/>
  <c r="R19" i="6" s="1"/>
  <c r="AH19" i="6"/>
  <c r="O13" i="6"/>
  <c r="R13" i="6" s="1"/>
  <c r="Q13" i="6"/>
  <c r="O17" i="6"/>
  <c r="R17" i="6" s="1"/>
  <c r="O21" i="6"/>
  <c r="R21" i="6" s="1"/>
  <c r="AH21" i="6"/>
  <c r="O5" i="6"/>
  <c r="R5" i="6" s="1"/>
  <c r="AH5" i="6"/>
  <c r="O3" i="6"/>
  <c r="R3" i="6" s="1"/>
  <c r="Q3" i="6"/>
  <c r="O8" i="6"/>
  <c r="R8" i="6" s="1"/>
  <c r="O2" i="6"/>
  <c r="O22" i="6"/>
  <c r="R22" i="6" s="1"/>
  <c r="AH22" i="6"/>
  <c r="O16" i="6"/>
  <c r="R16" i="6" s="1"/>
  <c r="AH16" i="6"/>
  <c r="O14" i="6"/>
  <c r="R14" i="6" s="1"/>
  <c r="Q14" i="6"/>
  <c r="O20" i="6"/>
  <c r="R20" i="6" s="1"/>
  <c r="AH20" i="6"/>
  <c r="O6" i="6"/>
  <c r="R6" i="6" s="1"/>
  <c r="O18" i="6"/>
  <c r="R18" i="6" s="1"/>
  <c r="AH18" i="6"/>
  <c r="R2" i="6" l="1"/>
  <c r="R54" i="6" s="1" a="1"/>
  <c r="R54" i="6" s="1"/>
  <c r="O54" i="6"/>
  <c r="O55" i="6" s="1"/>
  <c r="S54" i="6" a="1"/>
  <c r="S54" i="6" s="1"/>
  <c r="Q54" i="6" a="1"/>
  <c r="Q54" i="6" s="1"/>
  <c r="AB61" i="6"/>
  <c r="AH14" i="6"/>
  <c r="AH13" i="6"/>
  <c r="AH6" i="6"/>
  <c r="AH17" i="6"/>
  <c r="Q61" i="6"/>
  <c r="O188" i="10" s="1"/>
  <c r="AH8" i="6"/>
  <c r="AH7" i="6"/>
  <c r="AH2" i="6"/>
  <c r="R61" i="6"/>
  <c r="AB3" i="6"/>
  <c r="AB54" i="6" s="1"/>
  <c r="J8" i="14"/>
  <c r="Q59" i="6"/>
  <c r="O186" i="10" s="1"/>
  <c r="AB59" i="6"/>
  <c r="Q60" i="6"/>
  <c r="O187" i="10" s="1"/>
  <c r="N59" i="10"/>
  <c r="P59" i="10" s="1"/>
  <c r="N61" i="10"/>
  <c r="K99" i="10" s="1"/>
  <c r="J5" i="14"/>
  <c r="N60" i="10"/>
  <c r="J9" i="14"/>
  <c r="J7" i="14"/>
  <c r="J4" i="14"/>
  <c r="J3" i="14"/>
  <c r="J10" i="14"/>
  <c r="J2" i="14"/>
  <c r="AH3" i="6" l="1"/>
  <c r="O60" i="10"/>
  <c r="L98" i="10" s="1"/>
  <c r="R59" i="6"/>
  <c r="P186" i="10" s="1"/>
  <c r="AJ59" i="6"/>
  <c r="N15" i="14"/>
  <c r="O61" i="10"/>
  <c r="P61" i="10" s="1"/>
  <c r="O62" i="10"/>
  <c r="P62" i="10" s="1"/>
  <c r="R60" i="6"/>
  <c r="T60" i="6" s="1"/>
  <c r="R187" i="10" s="1"/>
  <c r="K97" i="10"/>
  <c r="K98" i="10"/>
  <c r="N64" i="10"/>
  <c r="J12" i="14"/>
  <c r="O9" i="14"/>
  <c r="Q9" i="14"/>
  <c r="O10" i="14"/>
  <c r="Q10" i="14"/>
  <c r="O2" i="14"/>
  <c r="Q2" i="14"/>
  <c r="O8" i="14"/>
  <c r="Q8" i="14"/>
  <c r="O4" i="14"/>
  <c r="Q4" i="14"/>
  <c r="O3" i="14"/>
  <c r="Q3" i="14"/>
  <c r="O7" i="14"/>
  <c r="Q7" i="14"/>
  <c r="T61" i="6"/>
  <c r="P188" i="10"/>
  <c r="Q66" i="6"/>
  <c r="P60" i="10" l="1"/>
  <c r="P64" i="10" s="1"/>
  <c r="T59" i="6"/>
  <c r="J214" i="10" s="1" a="1"/>
  <c r="J214" i="10" s="1"/>
  <c r="N206" i="10" s="1"/>
  <c r="N218" i="10" s="1"/>
  <c r="A25" i="19"/>
  <c r="E144" i="10"/>
  <c r="I144" i="10"/>
  <c r="J144" i="10"/>
  <c r="H144" i="10"/>
  <c r="E146" i="10"/>
  <c r="J146" i="10"/>
  <c r="I146" i="10"/>
  <c r="H146" i="10"/>
  <c r="L99" i="10"/>
  <c r="L100" i="10" s="1"/>
  <c r="O64" i="10"/>
  <c r="L101" i="10"/>
  <c r="M101" i="10" s="1"/>
  <c r="E153" i="10"/>
  <c r="E152" i="10"/>
  <c r="J153" i="10"/>
  <c r="I153" i="10"/>
  <c r="J152" i="10"/>
  <c r="I152" i="10"/>
  <c r="H153" i="10"/>
  <c r="H152" i="10"/>
  <c r="R66" i="6"/>
  <c r="P187" i="10"/>
  <c r="K100" i="10"/>
  <c r="O12" i="14"/>
  <c r="Q12" i="14"/>
  <c r="Q14" i="14" s="1"/>
  <c r="R14" i="14" s="1"/>
  <c r="R188" i="10"/>
  <c r="J184" i="10" l="1" a="1"/>
  <c r="J184" i="10" s="1"/>
  <c r="N204" i="10" s="1"/>
  <c r="P204" i="10" s="1"/>
  <c r="J191" i="10" a="1"/>
  <c r="J191" i="10" s="1"/>
  <c r="N205" i="10" s="1"/>
  <c r="N217" i="10" s="1"/>
  <c r="J217" i="10" a="1"/>
  <c r="J217" i="10" s="1"/>
  <c r="J187" i="10" a="1"/>
  <c r="J187" i="10" s="1"/>
  <c r="O205" i="10" s="1"/>
  <c r="J194" i="10" a="1"/>
  <c r="J194" i="10" s="1"/>
  <c r="O206" i="10" s="1"/>
  <c r="O218" i="10" s="1"/>
  <c r="P218" i="10" s="1"/>
  <c r="R186" i="10"/>
  <c r="K211" i="10"/>
  <c r="K199" i="10"/>
  <c r="K187" i="10"/>
  <c r="K196" i="10"/>
  <c r="K194" i="10"/>
  <c r="K193" i="10"/>
  <c r="K203" i="10"/>
  <c r="K200" i="10"/>
  <c r="K208" i="10"/>
  <c r="K202" i="10"/>
  <c r="K205" i="10"/>
  <c r="K204" i="10"/>
  <c r="K210" i="10"/>
  <c r="K209" i="10"/>
  <c r="K213" i="10"/>
  <c r="K201" i="10"/>
  <c r="K206" i="10"/>
  <c r="K190" i="10"/>
  <c r="K212" i="10"/>
  <c r="K215" i="10"/>
  <c r="K207" i="10"/>
  <c r="K217" i="10"/>
  <c r="K214" i="10"/>
  <c r="K188" i="10"/>
  <c r="K192" i="10"/>
  <c r="K185" i="10"/>
  <c r="K216" i="10"/>
  <c r="K197" i="10"/>
  <c r="K191" i="10"/>
  <c r="K186" i="10"/>
  <c r="K198" i="10"/>
  <c r="K189" i="10"/>
  <c r="K218" i="10"/>
  <c r="K184" i="10"/>
  <c r="K195" i="10"/>
  <c r="N216" i="10" l="1"/>
  <c r="P216" i="10" s="1"/>
  <c r="N207" i="10"/>
  <c r="P206" i="10"/>
  <c r="O208" i="10"/>
  <c r="P208" i="10" s="1"/>
  <c r="O207" i="10"/>
  <c r="O217" i="10"/>
  <c r="P205" i="10"/>
  <c r="N219" i="10" l="1"/>
  <c r="P207" i="10"/>
  <c r="N104" i="10" s="1"/>
  <c r="O220" i="10"/>
  <c r="P220" i="10" s="1"/>
  <c r="P217" i="10"/>
  <c r="P219" i="10" s="1"/>
  <c r="O219"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tc={8A4814EA-CF81-4F71-8098-AFB457B40249}</author>
    <author>tc={0A17B669-7FAB-48AA-B91D-276A30D51A32}</author>
    <author>tc={B83B583A-1F64-4617-B6B5-03493B9FADAC}</author>
    <author>tc={1EF1FD25-66B5-44AF-A066-FA32851FA2F2}</author>
    <author>tc={E0B6C612-F9F3-42A1-8ABF-F007EA2F8A92}</author>
    <author>tc={2EC52A97-9416-4D6A-93E5-6D6675BF9751}</author>
    <author>tc={767E6928-4609-4ABC-B514-A9CC9BD761A2}</author>
    <author>tc={A37A4E1A-89E9-4983-BBE4-7AB51A6DAAE2}</author>
    <author>tc={B2AA5847-ECA9-40BC-9B0F-076C89A3014B}</author>
    <author>tc={4B767E89-821A-487C-87A5-31D500B441BB}</author>
    <author>tc={41B77EE1-2DD7-4BF5-A780-C9313E4260DD}</author>
    <author>tc={AFA25C99-FF43-4389-A02A-9AA498E0124D}</author>
    <author>tc={76FFC105-3C64-4BEE-8585-9625BBA695C4}</author>
    <author>tc={5717D7BD-4EC9-4824-85A2-7F319CCEBC08}</author>
    <author>tc={7BB65B25-523D-4CFA-8C09-741DDAA50488}</author>
    <author>tc={389E496D-6A94-4105-A816-6F9CD86796FD}</author>
    <author>tc={AE2D95EF-10C7-4D4D-9705-A646AC16E6B7}</author>
    <author>tc={3636DA4A-F907-4994-842E-5E9744E07EF6}</author>
    <author>tc={77443DCA-5A83-489D-8D69-24327E403D04}</author>
    <author>tc={9B9E81E0-DE24-4032-99FF-6E01770B26EE}</author>
    <author>tc={11B1E1B1-73B0-474F-A59F-9229D5809342}</author>
    <author>tc={5551E44B-537A-4187-BB2D-D7690A7558CF}</author>
    <author>tc={E3395C20-6D4E-4D2C-9C28-ABF51A26F628}</author>
    <author>tc={E872B808-BD36-4EF5-B5F5-1022E5211E1B}</author>
  </authors>
  <commentList>
    <comment ref="Q1" authorId="0" shapeId="0" xr:uid="{8A4814EA-CF81-4F71-8098-AFB457B40249}">
      <text>
        <t>[线程批注]
你的Excel版本可读取此线程批注; 但如果在更新版本的Excel中打开文件，则对批注所作的任何改动都将被删除。了解详细信息: https://go.microsoft.com/fwlink/?linkid=870924
注释:
    2025/6/19: projects that have not yet been paid after this date will not have 30% discount applied</t>
      </text>
    </comment>
    <comment ref="Q2" authorId="1" shapeId="0" xr:uid="{0A17B669-7FAB-48AA-B91D-276A30D51A32}">
      <text>
        <t>[线程批注]
你的Excel版本可读取此线程批注; 但如果在更新版本的Excel中打开文件，则对批注所作的任何改动都将被删除。了解详细信息: https://go.microsoft.com/fwlink/?linkid=870924
注释:
    2025/6/27 30%discount removed</t>
      </text>
    </comment>
    <comment ref="Q4" authorId="2" shapeId="0" xr:uid="{B83B583A-1F64-4617-B6B5-03493B9FADAC}">
      <text>
        <t>[线程批注]
你的Excel版本可读取此线程批注; 但如果在更新版本的Excel中打开文件，则对批注所作的任何改动都将被删除。了解详细信息: https://go.microsoft.com/fwlink/?linkid=870924
注释:
    2025/6/27 30%discount removed</t>
      </text>
    </comment>
    <comment ref="Q5" authorId="3" shapeId="0" xr:uid="{1EF1FD25-66B5-44AF-A066-FA32851FA2F2}">
      <text>
        <t>[线程批注]
你的Excel版本可读取此线程批注; 但如果在更新版本的Excel中打开文件，则对批注所作的任何改动都将被删除。了解详细信息: https://go.microsoft.com/fwlink/?linkid=870924
注释:
    2025/6/27 30%discount removed</t>
      </text>
    </comment>
    <comment ref="Q6" authorId="4" shapeId="0" xr:uid="{E0B6C612-F9F3-42A1-8ABF-F007EA2F8A92}">
      <text>
        <t>[线程批注]
你的Excel版本可读取此线程批注; 但如果在更新版本的Excel中打开文件，则对批注所作的任何改动都将被删除。了解详细信息: https://go.microsoft.com/fwlink/?linkid=870924
注释:
    2025/6/27 30%discount removed</t>
      </text>
    </comment>
    <comment ref="Q7" authorId="5" shapeId="0" xr:uid="{2EC52A97-9416-4D6A-93E5-6D6675BF9751}">
      <text>
        <t>[线程批注]
你的Excel版本可读取此线程批注; 但如果在更新版本的Excel中打开文件，则对批注所作的任何改动都将被删除。了解详细信息: https://go.microsoft.com/fwlink/?linkid=870924
注释:
    2025/6/27 30%discount removed</t>
      </text>
    </comment>
    <comment ref="Q8" authorId="6" shapeId="0" xr:uid="{767E6928-4609-4ABC-B514-A9CC9BD761A2}">
      <text>
        <t>[线程批注]
你的Excel版本可读取此线程批注; 但如果在更新版本的Excel中打开文件，则对批注所作的任何改动都将被删除。了解详细信息: https://go.microsoft.com/fwlink/?linkid=870924
注释:
    2025/6/27 30%discount removed</t>
      </text>
    </comment>
    <comment ref="Q10" authorId="7" shapeId="0" xr:uid="{A37A4E1A-89E9-4983-BBE4-7AB51A6DAAE2}">
      <text>
        <t xml:space="preserve">[线程批注]
你的Excel版本可读取此线程批注; 但如果在更新版本的Excel中打开文件，则对批注所作的任何改动都将被删除。了解详细信息: https://go.microsoft.com/fwlink/?linkid=870924
注释:
    2025/6/27 30%discount removed
</t>
      </text>
    </comment>
    <comment ref="Q16" authorId="8" shapeId="0" xr:uid="{B2AA5847-ECA9-40BC-9B0F-076C89A3014B}">
      <text>
        <t>[线程批注]
你的Excel版本可读取此线程批注; 但如果在更新版本的Excel中打开文件，则对批注所作的任何改动都将被删除。了解详细信息: https://go.microsoft.com/fwlink/?linkid=870924
注释:
    2025/6/27 30%discount removed</t>
      </text>
    </comment>
    <comment ref="Q17" authorId="9" shapeId="0" xr:uid="{4B767E89-821A-487C-87A5-31D500B441BB}">
      <text>
        <t>[线程批注]
你的Excel版本可读取此线程批注; 但如果在更新版本的Excel中打开文件，则对批注所作的任何改动都将被删除。了解详细信息: https://go.microsoft.com/fwlink/?linkid=870924
注释:
    2025/6/27 30%discount removed</t>
      </text>
    </comment>
    <comment ref="Q18" authorId="10" shapeId="0" xr:uid="{41B77EE1-2DD7-4BF5-A780-C9313E4260DD}">
      <text>
        <t>[线程批注]
你的Excel版本可读取此线程批注; 但如果在更新版本的Excel中打开文件，则对批注所作的任何改动都将被删除。了解详细信息: https://go.microsoft.com/fwlink/?linkid=870924
注释:
    2025/6/27 30%discount removed</t>
      </text>
    </comment>
    <comment ref="Q19" authorId="11" shapeId="0" xr:uid="{AFA25C99-FF43-4389-A02A-9AA498E0124D}">
      <text>
        <t>[线程批注]
你的Excel版本可读取此线程批注; 但如果在更新版本的Excel中打开文件，则对批注所作的任何改动都将被删除。了解详细信息: https://go.microsoft.com/fwlink/?linkid=870924
注释:
    2025/6/27 30%discount removed</t>
      </text>
    </comment>
    <comment ref="Q20" authorId="12" shapeId="0" xr:uid="{76FFC105-3C64-4BEE-8585-9625BBA695C4}">
      <text>
        <t>[线程批注]
你的Excel版本可读取此线程批注; 但如果在更新版本的Excel中打开文件，则对批注所作的任何改动都将被删除。了解详细信息: https://go.microsoft.com/fwlink/?linkid=870924
注释:
    2025/6/27 30%discount removed</t>
      </text>
    </comment>
    <comment ref="Q21" authorId="13" shapeId="0" xr:uid="{5717D7BD-4EC9-4824-85A2-7F319CCEBC08}">
      <text>
        <t>[线程批注]
你的Excel版本可读取此线程批注; 但如果在更新版本的Excel中打开文件，则对批注所作的任何改动都将被删除。了解详细信息: https://go.microsoft.com/fwlink/?linkid=870924
注释:
    2025/6/27 30%discount removed</t>
      </text>
    </comment>
    <comment ref="Q22" authorId="14" shapeId="0" xr:uid="{7BB65B25-523D-4CFA-8C09-741DDAA50488}">
      <text>
        <t>[线程批注]
你的Excel版本可读取此线程批注; 但如果在更新版本的Excel中打开文件，则对批注所作的任何改动都将被删除。了解详细信息: https://go.microsoft.com/fwlink/?linkid=870924
注释:
    2025/6/27 30%discount removed</t>
      </text>
    </comment>
    <comment ref="Q30" authorId="15" shapeId="0" xr:uid="{389E496D-6A94-4105-A816-6F9CD86796FD}">
      <text>
        <t xml:space="preserve">[线程批注]
你的Excel版本可读取此线程批注; 但如果在更新版本的Excel中打开文件，则对批注所作的任何改动都将被删除。了解详细信息: https://go.microsoft.com/fwlink/?linkid=870924
注释:
    2025/6/27 30%discount removed
</t>
      </text>
    </comment>
    <comment ref="L34" authorId="16" shapeId="0" xr:uid="{AE2D95EF-10C7-4D4D-9705-A646AC16E6B7}">
      <text>
        <t>[线程批注]
你的Excel版本可读取此线程批注; 但如果在更新版本的Excel中打开文件，则对批注所作的任何改动都将被删除。了解详细信息: https://go.microsoft.com/fwlink/?linkid=870924
注释:
    2025/2/17 increased from 62 MD to 87 MD, due to DT fee(shiqiang fee)
2025/6/9 increased from 87 MD to 180 MD due to additional functions （if need to expand to other teams under Steven, cost increase by 100 MD, hence 280MD)</t>
      </text>
    </comment>
    <comment ref="L35" authorId="17" shapeId="0" xr:uid="{3636DA4A-F907-4994-842E-5E9744E07EF6}">
      <text>
        <t>[线程批注]
你的Excel版本可读取此线程批注; 但如果在更新版本的Excel中打开文件，则对批注所作的任何改动都将被删除。了解详细信息: https://go.microsoft.com/fwlink/?linkid=870924
注释:
    2025/2/17 increased from 62 MD to 87 MD, due to DT fee(shiqiang fee)
2025/6/9 increased from 87 MD to 180 MD due to additional functions （if need to expand to other teams under Steven, cost increase by 100 MD, hence 280MD)</t>
      </text>
    </comment>
    <comment ref="Q36" authorId="18" shapeId="0" xr:uid="{77443DCA-5A83-489D-8D69-24327E403D04}">
      <text>
        <t>[线程批注]
你的Excel版本可读取此线程批注; 但如果在更新版本的Excel中打开文件，则对批注所作的任何改动都将被删除。了解详细信息: https://go.microsoft.com/fwlink/?linkid=870924
注释:
    25/3/19：开发费用Q列加入28K的硬件费</t>
      </text>
    </comment>
    <comment ref="L37" authorId="19" shapeId="0" xr:uid="{9B9E81E0-DE24-4032-99FF-6E01770B26EE}">
      <text>
        <t>[线程批注]
你的Excel版本可读取此线程批注; 但如果在更新版本的Excel中打开文件，则对批注所作的任何改动都将被删除。了解详细信息: https://go.microsoft.com/fwlink/?linkid=870924
注释:
    2025/2/17 increased from 62 MD to 87 MD, due to DT fee(shiqiang fee)
2025/6/9 increased from 87 MD to 180 MD due to additional functions （if need to expand to other teams under Steven, cost increase by 100 MD, hence 280MD)</t>
      </text>
    </comment>
    <comment ref="Q43" authorId="20" shapeId="0" xr:uid="{11B1E1B1-73B0-474F-A59F-9229D5809342}">
      <text>
        <t>[线程批注]
你的Excel版本可读取此线程批注; 但如果在更新版本的Excel中打开文件，则对批注所作的任何改动都将被删除。了解详细信息: https://go.microsoft.com/fwlink/?linkid=870924
注释:
    2025/6/27 30%discount removed</t>
      </text>
    </comment>
    <comment ref="Q44" authorId="21" shapeId="0" xr:uid="{5551E44B-537A-4187-BB2D-D7690A7558CF}">
      <text>
        <t>[线程批注]
你的Excel版本可读取此线程批注; 但如果在更新版本的Excel中打开文件，则对批注所作的任何改动都将被删除。了解详细信息: https://go.microsoft.com/fwlink/?linkid=870924
注释:
    2025/6/27 30%discount removed</t>
      </text>
    </comment>
    <comment ref="Q50" authorId="22" shapeId="0" xr:uid="{E3395C20-6D4E-4D2C-9C28-ABF51A26F628}">
      <text>
        <t>[线程批注]
你的Excel版本可读取此线程批注; 但如果在更新版本的Excel中打开文件，则对批注所作的任何改动都将被删除。了解详细信息: https://go.microsoft.com/fwlink/?linkid=870924
注释:
    2025/6/27 30%discount removed</t>
      </text>
    </comment>
    <comment ref="N52" authorId="23" shapeId="0" xr:uid="{E872B808-BD36-4EF5-B5F5-1022E5211E1B}">
      <text>
        <t xml:space="preserve">[线程批注]
你的Excel版本可读取此线程批注; 但如果在更新版本的Excel中打开文件，则对批注所作的任何改动都将被删除。了解详细信息: https://go.microsoft.com/fwlink/?linkid=870924
注释:
    762.24 服务器 （半年）
2008.94 数据库 （半年）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tc={F28BD578-7A45-4186-9DC3-0DF385FD5E77}</author>
    <author>tc={57855708-4108-4D33-AD1E-C3A659226ECC}</author>
  </authors>
  <commentList>
    <comment ref="P11" authorId="0" shapeId="0" xr:uid="{F28BD578-7A45-4186-9DC3-0DF385FD5E77}">
      <text>
        <t>[线程批注]
你的Excel版本可读取此线程批注; 但如果在更新版本的Excel中打开文件，则对批注所作的任何改动都将被删除。了解详细信息: https://go.microsoft.com/fwlink/?linkid=870924
注释:
    2025年1月22日划账
Ref Document Number  6000096409</t>
      </text>
    </comment>
    <comment ref="M12" authorId="1" shapeId="0" xr:uid="{57855708-4108-4D33-AD1E-C3A659226ECC}">
      <text>
        <t>[线程批注]
你的Excel版本可读取此线程批注; 但如果在更新版本的Excel中打开文件，则对批注所作的任何改动都将被删除。了解详细信息: https://go.microsoft.com/fwlink/?linkid=870924
注释:
    2024/09/27 划账
Ref Document Number  6000068807</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tc={A2124A51-01F5-4F7C-9488-566BB3445668}</author>
    <author>tc={E6717DBC-264B-4DD9-8E5B-21F476DF568A}</author>
    <author>tc={F985B123-98AB-42E8-8226-9788AC459A59}</author>
    <author>tc={026A7EF4-E7B2-4F6C-B0F5-5B8927746272}</author>
    <author>tc={0C83A33E-C0A3-45CB-9526-05FA5396489C}</author>
    <author>tc={41EEE211-2BA8-4213-B37B-74034EA19FC4}</author>
  </authors>
  <commentList>
    <comment ref="F4" authorId="0" shapeId="0" xr:uid="{A2124A51-01F5-4F7C-9488-566BB3445668}">
      <text>
        <t>[线程批注]
你的Excel版本可读取此线程批注; 但如果在更新版本的Excel中打开文件，则对批注所作的任何改动都将被删除。了解详细信息: https://go.microsoft.com/fwlink/?linkid=870924
注释:
    500k buffer</t>
      </text>
    </comment>
    <comment ref="F5" authorId="1" shapeId="0" xr:uid="{E6717DBC-264B-4DD9-8E5B-21F476DF568A}">
      <text>
        <t>[线程批注]
你的Excel版本可读取此线程批注; 但如果在更新版本的Excel中打开文件，则对批注所作的任何改动都将被删除。了解详细信息: https://go.microsoft.com/fwlink/?linkid=870924
注释:
    300k buffer</t>
      </text>
    </comment>
    <comment ref="G5" authorId="2" shapeId="0" xr:uid="{F985B123-98AB-42E8-8226-9788AC459A59}">
      <text>
        <t>[线程批注]
你的Excel版本可读取此线程批注; 但如果在更新版本的Excel中打开文件，则对批注所作的任何改动都将被删除。了解详细信息: https://go.microsoft.com/fwlink/?linkid=870924
注释:
    100k buffer</t>
      </text>
    </comment>
    <comment ref="F6" authorId="3" shapeId="0" xr:uid="{026A7EF4-E7B2-4F6C-B0F5-5B8927746272}">
      <text>
        <t>[线程批注]
你的Excel版本可读取此线程批注; 但如果在更新版本的Excel中打开文件，则对批注所作的任何改动都将被删除。了解详细信息: https://go.microsoft.com/fwlink/?linkid=870924
注释:
    300k buffer</t>
      </text>
    </comment>
    <comment ref="G6" authorId="4" shapeId="0" xr:uid="{0C83A33E-C0A3-45CB-9526-05FA5396489C}">
      <text>
        <t xml:space="preserve">[线程批注]
你的Excel版本可读取此线程批注; 但如果在更新版本的Excel中打开文件，则对批注所作的任何改动都将被删除。了解详细信息: https://go.microsoft.com/fwlink/?linkid=870924
注释:
    100k buffer
</t>
      </text>
    </comment>
    <comment ref="G8" authorId="5" shapeId="0" xr:uid="{41EEE211-2BA8-4213-B37B-74034EA19FC4}">
      <text>
        <t>[线程批注]
你的Excel版本可读取此线程批注; 但如果在更新版本的Excel中打开文件，则对批注所作的任何改动都将被删除。了解详细信息: https://go.microsoft.com/fwlink/?linkid=870924
注释:
    100k buffer</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<sst xmlns="http://schemas.openxmlformats.org/spreadsheetml/2006/main" count="1529" uniqueCount="638">
  <si>
    <t>ID</t>
  </si>
  <si>
    <t>Function</t>
  </si>
  <si>
    <t>需求</t>
  </si>
  <si>
    <t>业务备注</t>
  </si>
  <si>
    <t>种类</t>
  </si>
  <si>
    <t>Focal</t>
  </si>
  <si>
    <t>业务优先级</t>
    <phoneticPr fontId="1" type="noConversion"/>
  </si>
  <si>
    <t>排序</t>
    <phoneticPr fontId="1" type="noConversion"/>
  </si>
  <si>
    <t>开发难易度</t>
    <phoneticPr fontId="1" type="noConversion"/>
  </si>
  <si>
    <t>IT类型</t>
    <phoneticPr fontId="1" type="noConversion"/>
  </si>
  <si>
    <t>IT备注</t>
    <phoneticPr fontId="1" type="noConversion"/>
  </si>
  <si>
    <t>MD</t>
  </si>
  <si>
    <t>交付YR</t>
  </si>
  <si>
    <t>YR0 开发费用（折前）</t>
  </si>
  <si>
    <t>&gt;Y0运营支持费（折前）</t>
  </si>
  <si>
    <t>&gt;Y0运营平台费（折前）</t>
  </si>
  <si>
    <t>YR0 开发费用</t>
  </si>
  <si>
    <t>&gt;Y0运营支持费</t>
  </si>
  <si>
    <t>&gt;Y0运营平台费</t>
  </si>
  <si>
    <t>Task Name</t>
  </si>
  <si>
    <t>交付YRQTR</t>
  </si>
  <si>
    <t>起始日期</t>
  </si>
  <si>
    <t>结束日期</t>
  </si>
  <si>
    <t>Status</t>
  </si>
  <si>
    <t>Status Remark</t>
  </si>
  <si>
    <t>计划开始时间</t>
  </si>
  <si>
    <t>计划结束时间</t>
  </si>
  <si>
    <t>Dev Pmt</t>
  </si>
  <si>
    <t>Dev Pmt Date</t>
  </si>
  <si>
    <t>Support Pmt</t>
  </si>
  <si>
    <t>Support Pmt Date</t>
  </si>
  <si>
    <t>Dev Pmt Timeline</t>
  </si>
  <si>
    <t>Payment Remark</t>
  </si>
  <si>
    <t>Dev Remainder</t>
  </si>
  <si>
    <t>Billing</t>
  </si>
  <si>
    <t>发票信息自动抽取解析 V1</t>
  </si>
  <si>
    <t>4/29+AC7+[@[@[Dev Pmt Date]]</t>
  </si>
  <si>
    <t>发票</t>
    <phoneticPr fontId="1" type="noConversion"/>
  </si>
  <si>
    <t>Baomei</t>
    <phoneticPr fontId="1" type="noConversion"/>
  </si>
  <si>
    <t>中</t>
  </si>
  <si>
    <t>中</t>
    <phoneticPr fontId="1" type="noConversion"/>
  </si>
  <si>
    <t>自动化</t>
    <phoneticPr fontId="1" type="noConversion"/>
  </si>
  <si>
    <t>第一期：部分平台已支持的语言OCR识别</t>
    <phoneticPr fontId="1" type="noConversion"/>
  </si>
  <si>
    <t>Automated Invoice Data Extraction and Parsing V1</t>
    <phoneticPr fontId="1" type="noConversion"/>
  </si>
  <si>
    <t/>
  </si>
  <si>
    <t>经前期调研发现难度较大，影响因素有文件格式、语言、位置不通等，需等OCR技术升级后再开发。</t>
    <phoneticPr fontId="1" type="noConversion"/>
  </si>
  <si>
    <t>FY2425 Q2</t>
  </si>
  <si>
    <t>Warehouse</t>
  </si>
  <si>
    <t>关务账单审核</t>
  </si>
  <si>
    <r>
      <rPr>
        <b/>
        <sz val="11"/>
        <color theme="1"/>
        <rFont val="等线"/>
        <family val="3"/>
        <charset val="134"/>
        <scheme val="minor"/>
      </rPr>
      <t>1.真实性：</t>
    </r>
    <r>
      <rPr>
        <sz val="11"/>
        <color theme="1"/>
        <rFont val="等线"/>
        <family val="2"/>
        <charset val="134"/>
        <scheme val="minor"/>
      </rPr>
      <t xml:space="preserve"> 结合系统和HIC业务报表，判断账单上的业务是否实际发生。如果没有发生，系统将发出预警，需要人工再次确认。
-在ECC系统中查找账单上的BOL是否存在于系统内的ASN中对应的BOL- 如果当月数量不匹配，再看BOL是否存在于上个月（如果不存在同个月，看是否之前账单已charge过）
</t>
    </r>
    <r>
      <rPr>
        <b/>
        <sz val="11"/>
        <color theme="1"/>
        <rFont val="等线"/>
        <family val="3"/>
        <charset val="134"/>
        <scheme val="minor"/>
      </rPr>
      <t>2.合理性：</t>
    </r>
    <r>
      <rPr>
        <sz val="11"/>
        <color theme="1"/>
        <rFont val="等线"/>
        <family val="2"/>
        <charset val="134"/>
        <scheme val="minor"/>
      </rPr>
      <t xml:space="preserve"> 结合系统和HIC业务报表，判断账单上发生的业务是否必要。如果判断为非必要，系统也将发出预警，需要人工干预。（Lingling 后续输出具体逻辑规则和明确的场景去判断）-放在第二个阶段，需要AI大模型
*第一次的账单，SSC 提供前2-3个月的历史账单给到AMS</t>
    </r>
    <phoneticPr fontId="1" type="noConversion"/>
  </si>
  <si>
    <t>关务</t>
    <phoneticPr fontId="1" type="noConversion"/>
  </si>
  <si>
    <t>Fangmin</t>
  </si>
  <si>
    <t>低</t>
    <phoneticPr fontId="1" type="noConversion"/>
  </si>
  <si>
    <t>Customs Bill Auditing</t>
  </si>
  <si>
    <t>2627 Q1</t>
  </si>
  <si>
    <t>FY2526 Q1</t>
  </si>
  <si>
    <t>发票信息自动抽取解析 V2</t>
    <phoneticPr fontId="1" type="noConversion"/>
  </si>
  <si>
    <t>解决发票以及清关文件等PDF文件格式不统一、20多语言混合等问题，实现发票和文件信息自动抽取解析:
1.下载文件，转存文件
2. 解压缩文件(if any)
3. 上传文件，解析
4. 提取信息存储
5. 一次处理100多个文件</t>
    <phoneticPr fontId="1" type="noConversion"/>
  </si>
  <si>
    <t>第二期：升级</t>
    <phoneticPr fontId="1" type="noConversion"/>
  </si>
  <si>
    <t>Automated Invoice Data Extraction and Parsing V2</t>
    <phoneticPr fontId="1" type="noConversion"/>
  </si>
  <si>
    <t>2526 Q4</t>
  </si>
  <si>
    <t>FY2526 Q3</t>
  </si>
  <si>
    <t>Warehouse</t>
    <phoneticPr fontId="1" type="noConversion"/>
  </si>
  <si>
    <t>报关信息汇总</t>
    <phoneticPr fontId="1" type="noConversion"/>
  </si>
  <si>
    <t>提供报关信息上传出口以便于供应商上传文件，抓取料号关键信息，最后可通过输入PN（Part number) 或其他关键信息查询到累积的数据
场景1：同个PN会有不同的供应商
场景2：同个PN会有不同的HS code
场景3：同个PN会有不同的申报要素
场景4：同个PN会有不同的原产国
场景5：同个PN会有不同的品名
（不看入库日期， 和数量）
PN第一次入库HIC只会记录第一次PN来料主数据，目的是掌握同个PN每次入库五个场景当中所有的关键信息。 
项目开始取决于HIC报关行能否提供PN每次入库信息，需要与报关行确定来源接收方式）
输出方式：以PN形式记录</t>
    <phoneticPr fontId="1" type="noConversion"/>
  </si>
  <si>
    <t>平台</t>
    <phoneticPr fontId="1" type="noConversion"/>
  </si>
  <si>
    <t>Customs Information Summary</t>
  </si>
  <si>
    <t>2526 Q3</t>
  </si>
  <si>
    <t>FY2526 Q3</t>
    <phoneticPr fontId="1" type="noConversion"/>
  </si>
  <si>
    <t>自动各国假期提醒</t>
  </si>
  <si>
    <t>十几个各国每年假期时间信息/各供应商/各部门假期时间, 统计汇总提醒</t>
    <phoneticPr fontId="1" type="noConversion"/>
  </si>
  <si>
    <t>低</t>
  </si>
  <si>
    <t>Automated National Holiday Alerts</t>
  </si>
  <si>
    <t>2627 Q1</t>
    <phoneticPr fontId="1" type="noConversion"/>
  </si>
  <si>
    <t>FY2627 Q1</t>
  </si>
  <si>
    <t>料号估算计费重量</t>
    <phoneticPr fontId="1" type="noConversion"/>
  </si>
  <si>
    <t>1. PN 数据（长宽高）
2. 账单数据 （计费重量）
3. 估算PN，发货AWB的计费重量</t>
  </si>
  <si>
    <t>发票</t>
  </si>
  <si>
    <t>Part Number Billing Weight Estimation</t>
  </si>
  <si>
    <t>运输实时线上监控平台</t>
    <phoneticPr fontId="1" type="noConversion"/>
  </si>
  <si>
    <t>JYD和SF可以连GPS系统，HIC连FTP查询货物状态（HIC可以利用LT逻辑估算）</t>
  </si>
  <si>
    <t>运输</t>
    <phoneticPr fontId="1" type="noConversion"/>
  </si>
  <si>
    <t>Yuchang</t>
    <phoneticPr fontId="1" type="noConversion"/>
  </si>
  <si>
    <t>1、获取HIC ftp的数据，关于物流信息可能涉及到第三方物流网站
可以考虑同第6条一起开发
2、连JYD\SF的系统获取运输状态，其中JYD可以提供接口，SF从官网爬取信息</t>
    <phoneticPr fontId="1" type="noConversion"/>
  </si>
  <si>
    <t>Real-Time Transport Monitoring Platform</t>
  </si>
  <si>
    <t>电池图片智能识别</t>
    <phoneticPr fontId="1" type="noConversion"/>
  </si>
  <si>
    <t>‘-自动识别备件图片中的LOGO或关键信息,与资料上的关键信息比对,检查是否一致。
-自动识别备件实物图片中的外观,与资料中的备件外观进行比对,检查是否一模一样(针对电池)。
-自动识别备件外观,并判断属于哪类备件(用于关务)。</t>
  </si>
  <si>
    <t>电池</t>
    <phoneticPr fontId="1" type="noConversion"/>
  </si>
  <si>
    <t>高</t>
    <phoneticPr fontId="1" type="noConversion"/>
  </si>
  <si>
    <t>实现困难，成本过高</t>
    <phoneticPr fontId="1" type="noConversion"/>
  </si>
  <si>
    <t>Intelligent Battery Image Recognition</t>
  </si>
  <si>
    <t>TBD</t>
  </si>
  <si>
    <t>账单报错解决方案</t>
    <phoneticPr fontId="1" type="noConversion"/>
  </si>
  <si>
    <r>
      <t xml:space="preserve">AI 大模型解决方案：生成报错文件并自动发送
从BPS 报错信息开始错误分类，标记，邮件draft到邮件生成
1. 报错信息分两层：Step1. 根据BPS error code然后做一个初步分类，指出发生的原因，确定核对的方向；
2. 根据初步的分类，找到深层原因，比如rate不一致，具体原因是哪一个信息导致的不一致，如country不一致，还是SL不一致等等。。。（这一步可能会涉及到BPS深层配置信息，需要和BPS/Hedy确认是否需要进行到这一步，是否会存在risk）
</t>
    </r>
    <r>
      <rPr>
        <b/>
        <sz val="11"/>
        <color theme="1"/>
        <rFont val="等线"/>
        <family val="3"/>
        <charset val="134"/>
        <scheme val="minor"/>
      </rPr>
      <t>方案：</t>
    </r>
    <r>
      <rPr>
        <sz val="11"/>
        <color theme="1"/>
        <rFont val="等线"/>
        <family val="2"/>
        <charset val="134"/>
        <scheme val="minor"/>
      </rPr>
      <t>billing owner自己下载error report上传到指定的sharepoint folder，然后自动运行后返回一个预期结果（邮件返回或者文件夹返回）</t>
    </r>
    <phoneticPr fontId="1" type="noConversion"/>
  </si>
  <si>
    <t>高</t>
  </si>
  <si>
    <t>业务背景有待讨论，预估时间不准确（20+20）</t>
    <phoneticPr fontId="1" type="noConversion"/>
  </si>
  <si>
    <t>Billing Error Resolution Solutions</t>
    <phoneticPr fontId="1" type="noConversion"/>
  </si>
  <si>
    <t>Rebalance 自动提取open订单</t>
    <phoneticPr fontId="1" type="noConversion"/>
  </si>
  <si>
    <t>参考附件文档</t>
  </si>
  <si>
    <t>SAP</t>
    <phoneticPr fontId="1" type="noConversion"/>
  </si>
  <si>
    <t>Daniel</t>
    <phoneticPr fontId="1" type="noConversion"/>
  </si>
  <si>
    <t>Rebalance Open Order Auto-Extraction</t>
    <phoneticPr fontId="1" type="noConversion"/>
  </si>
  <si>
    <t>2425 Q3</t>
    <phoneticPr fontId="1" type="noConversion"/>
  </si>
  <si>
    <t>Paid dev on 24/9/27, deducted on 25/1/22</t>
  </si>
  <si>
    <t>Rebalance ASN生成自动提醒</t>
    <phoneticPr fontId="1" type="noConversion"/>
  </si>
  <si>
    <t>Rebalance</t>
    <phoneticPr fontId="1" type="noConversion"/>
  </si>
  <si>
    <t>Rebalance ASN Auto-Reminders</t>
    <phoneticPr fontId="1" type="noConversion"/>
  </si>
  <si>
    <t>2526 Q2</t>
    <phoneticPr fontId="1" type="noConversion"/>
  </si>
  <si>
    <t>自动计算未开账单</t>
    <phoneticPr fontId="1" type="noConversion"/>
  </si>
  <si>
    <t>物流操作产生的费用，未开账单的评估测算。自生成账单:
1. 仓储数据/发货数据集成
2. 根据历史发货数据，账单数据分析cost/pc, cost/kg
3. 预估还未收到的账单cost</t>
  </si>
  <si>
    <t>Automated Unbilled Amount Calculation</t>
    <phoneticPr fontId="1" type="noConversion"/>
  </si>
  <si>
    <t>2526 Q4</t>
    <phoneticPr fontId="1" type="noConversion"/>
  </si>
  <si>
    <t>不同格式的报价统一化</t>
    <phoneticPr fontId="1" type="noConversion"/>
  </si>
  <si>
    <t>1. 供应商报价文件
2. 根据模板转换文件数据</t>
  </si>
  <si>
    <t>按供应商的不同文件格式*1
数据获取待确定</t>
    <phoneticPr fontId="1" type="noConversion"/>
  </si>
  <si>
    <t>Standardized Rate Quote Formatting</t>
    <phoneticPr fontId="1" type="noConversion"/>
  </si>
  <si>
    <t>Data</t>
  </si>
  <si>
    <t>干预模型 V2</t>
  </si>
  <si>
    <t>增加前端页面、增删查改功能、ticket单据信息与数据库信息及前端页面展示信息同步功能</t>
    <phoneticPr fontId="1" type="noConversion"/>
  </si>
  <si>
    <t>物流</t>
    <phoneticPr fontId="1" type="noConversion"/>
  </si>
  <si>
    <t>Kevin</t>
    <phoneticPr fontId="1" type="noConversion"/>
  </si>
  <si>
    <t>Live Interception Platform V2</t>
  </si>
  <si>
    <t>BI</t>
  </si>
  <si>
    <t>Smart Delivery UI Platform V1</t>
    <phoneticPr fontId="1" type="noConversion"/>
  </si>
  <si>
    <t>1.智能交付Web用户界面（查询/仪表盘/设置等）
2.可配置的ETL接口（API/Kafka/ODBC/JDBC/手动上传等）
3.可配置的ETL处理流程
4.基于Python的可配置机器学习算法接口（3.9或以上版本，可升级）
5.实时拦截干预处理（通知相应的对接人）
6.端到端加速接口（API）
注解：
1.开发一个替代Power BI的平台，功能包括数据查询、数据展示和数据交互。
2.接收并处理来自外部的各种不同格式的客户数据。
3.转换外部的数据去调整算法
4.提供机器学习算法，并能够升级和优化现有算法。
5.实时干预系统：基于算法预测的预计到达时间（ETA）来通知用户和相关负责人，平台设有按钮可以直接通知相关人员
6.E2E加急订单API（联系到客户，如单号通过API同步给客户）</t>
  </si>
  <si>
    <t xml:space="preserve">第一期：powerBI平台主仪表板迁移（数据查询、展示、交互）、实时干预、E2E加急订单API（联系到客户，如单号通过API同步给客户）、机器学习算法接口
</t>
    <phoneticPr fontId="1" type="noConversion"/>
  </si>
  <si>
    <t>Smart Delivery UI Platform V2</t>
    <phoneticPr fontId="1" type="noConversion"/>
  </si>
  <si>
    <t>第二期：数据集成（API/Kafka/ODBC/JDBC/手动上传等）、陆续迁移其他PowerBI报表、机器学习算法优化</t>
    <phoneticPr fontId="1" type="noConversion"/>
  </si>
  <si>
    <t>2627 Q2</t>
    <phoneticPr fontId="1" type="noConversion"/>
  </si>
  <si>
    <t>Compliance</t>
  </si>
  <si>
    <t>Smart GTC Management V1</t>
    <phoneticPr fontId="1" type="noConversion"/>
  </si>
  <si>
    <t xml:space="preserve">开展AI信息识别和抓取报关单信息，并比对原有数据库信息，并发出不一致预警。
1. HS数据AI智能分类：
-.利用数据库内的料号和料号描述信息
-通过自有算法、深度机器学习或外部AI机器学习技术
-对料号进行HS code预分类
-物料号+HS code表
</t>
  </si>
  <si>
    <t>安规</t>
    <phoneticPr fontId="1" type="noConversion"/>
  </si>
  <si>
    <t>Bob</t>
    <phoneticPr fontId="1" type="noConversion"/>
  </si>
  <si>
    <t>依据海关总署归类规则筛选电子类/电脑类、机器学习模拟分类结果
需要调研在探讨能不能做</t>
    <phoneticPr fontId="1" type="noConversion"/>
  </si>
  <si>
    <t>2526 Q3</t>
    <phoneticPr fontId="1" type="noConversion"/>
  </si>
  <si>
    <t>Smart GTC Management V2</t>
    <phoneticPr fontId="1" type="noConversion"/>
  </si>
  <si>
    <t xml:space="preserve">开展AI信息识别和抓取报关单信息，并比对原有数据库信息，并发出不一致预警。
2. HS数据AI智能分类：
-.利用数据库内的料号和料号描述信息
-通过自有算法、深度机器学习或外部AI机器学习技术
-对料号进行HS code预分类
-物料号+HS code表
</t>
  </si>
  <si>
    <t>材料上传</t>
    <phoneticPr fontId="1" type="noConversion"/>
  </si>
  <si>
    <t>Smart GTC Management V3</t>
    <phoneticPr fontId="1" type="noConversion"/>
  </si>
  <si>
    <t xml:space="preserve">开展AI信息识别和抓取报关单信息，并比对原有数据库信息，并发出不一致预警。
3. HS数据AI智能分类：
-.利用数据库内的料号和料号描述信息
-通过自有算法、深度机器学习或外部AI机器学习技术
-对料号进行HS code预分类
-物料号+HS code表
</t>
  </si>
  <si>
    <t>AI预警</t>
    <phoneticPr fontId="1" type="noConversion"/>
  </si>
  <si>
    <t>Logistics Smart KM</t>
    <phoneticPr fontId="1" type="noConversion"/>
  </si>
  <si>
    <t>Logistics Smart KM 物流知识管理平台（文档向量化，数据库化）： 
1.基于OCR技术，利用LLM大模型对各种文档（发票，清关文件）进行处理。
2.首先将现有的非结构化文档（如发票、清关文件等）整合到一个量化的数据库中。
3.开发一个可配置的平台，以满足不同场景的需求。
4.利用OpenAI模型，通过不同类型的文档OCR结果创建知识库。</t>
  </si>
  <si>
    <t>Logistics Smart Knowledge Management</t>
  </si>
  <si>
    <t>Cost</t>
    <phoneticPr fontId="1" type="noConversion"/>
  </si>
  <si>
    <t>智能成本预测模型</t>
    <phoneticPr fontId="1" type="noConversion"/>
  </si>
  <si>
    <t>1、CPP价格查询平台，异常数据收集，价格汇总
2、依据CPP历史数据，通过输入起止点、终点，预测成本最优路线，并展示在每个仓库的费用。</t>
  </si>
  <si>
    <t>成本</t>
    <phoneticPr fontId="1" type="noConversion"/>
  </si>
  <si>
    <t>Cheryl</t>
    <phoneticPr fontId="1" type="noConversion"/>
  </si>
  <si>
    <t>Intelligent Cost Prediction Mode</t>
  </si>
  <si>
    <t>Cost</t>
  </si>
  <si>
    <t>Exceptions diagnosis</t>
    <phoneticPr fontId="1" type="noConversion"/>
  </si>
  <si>
    <t>（1）历史数据量级是千万级，有自己的数据库，历史数据需要人工标注再输入模型
（2）依据历史数据分析某个月份价格波动的原因：成本中心变动、关税加增或者其他原因
（3）依据历史包裹物流路线方案，分析目前物流方案是否是最优方案，若否，推荐成本最优的物流路线方案（时间最短、成本最少）</t>
  </si>
  <si>
    <t>资源和需求还需要讨论55</t>
    <phoneticPr fontId="1" type="noConversion"/>
  </si>
  <si>
    <t>LogiAgent PBI相关开发</t>
    <phoneticPr fontId="1" type="noConversion"/>
  </si>
  <si>
    <t>建设统一PBI智能问数平台，优化Intellidata流程，支持AIForce工作流、可视化洞察、报表导出及Agent编排能力，实现数据查询、分析洞察到智能执行的端到端闭环。</t>
    <phoneticPr fontId="1" type="noConversion"/>
  </si>
  <si>
    <t>Hanson</t>
    <phoneticPr fontId="1" type="noConversion"/>
  </si>
  <si>
    <t>SupplyX 3.0</t>
  </si>
  <si>
    <t>2627Q1</t>
    <phoneticPr fontId="1" type="noConversion"/>
  </si>
  <si>
    <t>Canceled</t>
    <phoneticPr fontId="1" type="noConversion"/>
  </si>
  <si>
    <t>FY2526 Q4</t>
  </si>
  <si>
    <t>3PL运输账单比对</t>
  </si>
  <si>
    <t xml:space="preserve">实现IDG/ISG事业部入库运输账单与3PL供应商账单的自动化比对。系统将自动生成13种内部运输账单，并与3PL账单进行智能匹配，解决人工核对效率低、易出错的问题。通过标准化关键业务规则和建立自动化流程，预计可提升对账效率70%。
核心功能
自动生成13种业务账单
智能匹配与差异标识
关键规则标准化处理
异常数据自动预警
</t>
    <phoneticPr fontId="1" type="noConversion"/>
  </si>
  <si>
    <t>3PL Transport Bill Comparison</t>
    <phoneticPr fontId="1" type="noConversion"/>
  </si>
  <si>
    <t>由于插入请章的需求，以及3pl加入一些新的修改，3pl需求开发进度有延迟。</t>
    <phoneticPr fontId="1" type="noConversion"/>
  </si>
  <si>
    <t>定期邮箱发送库存DB报告</t>
    <phoneticPr fontId="1" type="noConversion"/>
  </si>
  <si>
    <t>定期自动发送指定日期的库存报表,并根据报表图片内容进行解析和输出文字说明</t>
  </si>
  <si>
    <t>库存</t>
    <phoneticPr fontId="1" type="noConversion"/>
  </si>
  <si>
    <t>Automated Email for Inventory DB Reports</t>
    <phoneticPr fontId="1" type="noConversion"/>
  </si>
  <si>
    <r>
      <t>用户需求的变化导致项目范围扩大和调整；遇到预料之外的技术问题或挑战</t>
    </r>
    <r>
      <rPr>
        <sz val="12"/>
        <color theme="1"/>
        <rFont val="等线"/>
        <family val="3"/>
        <charset val="134"/>
        <scheme val="minor"/>
      </rPr>
      <t>。</t>
    </r>
  </si>
  <si>
    <t>电池主数据平台 V1</t>
    <phoneticPr fontId="1" type="noConversion"/>
  </si>
  <si>
    <t>开发一个结合四个BU的电池信息查询平台，PCG数据自动抓取和生成电池PN的自动化流程</t>
    <phoneticPr fontId="1" type="noConversion"/>
  </si>
  <si>
    <t>Fay, Jinjin, Rooney</t>
  </si>
  <si>
    <t xml:space="preserve"> 第一期：权限管理（默认物流有权限、其他人需申请权限、super user）、数据查询、数据下载(PCG、TAB\MBG\ISG)</t>
    <phoneticPr fontId="1" type="noConversion"/>
  </si>
  <si>
    <t>Battery Master Data Platform V1</t>
    <phoneticPr fontId="1" type="noConversion"/>
  </si>
  <si>
    <t>因为前一阶段的工作未能按时完成，人力资源不足导致后续工作的推迟，再有前期需求调研及ADFS认证资料准备也占用一些时间。</t>
    <phoneticPr fontId="1" type="noConversion"/>
  </si>
  <si>
    <t>电池主数据平台 V2</t>
    <phoneticPr fontId="1" type="noConversion"/>
  </si>
  <si>
    <t>开发一个结合四个BU的电池信息查询平台，MBG和ISG数据自动抓取和生成电池PN的自动化流程</t>
    <phoneticPr fontId="1" type="noConversion"/>
  </si>
  <si>
    <t>All</t>
  </si>
  <si>
    <t>第二期：证书下载，图片上传</t>
    <phoneticPr fontId="1" type="noConversion"/>
  </si>
  <si>
    <t>Battery Master Data Platform V2</t>
    <phoneticPr fontId="1" type="noConversion"/>
  </si>
  <si>
    <t>因为前一阶段的工作未能按时完成，人力资源不足导致后续工作的推迟。</t>
    <phoneticPr fontId="1" type="noConversion"/>
  </si>
  <si>
    <t>电池主数据平台 V3</t>
  </si>
  <si>
    <t>TAB 相关功能开发，所有BU的优化，以及权限这块重新设计有BU的优化，以及权限这块重新设计</t>
  </si>
  <si>
    <t>Tianyu</t>
  </si>
  <si>
    <t>Battery Master Data Platform V3</t>
  </si>
  <si>
    <t>电池证书识别 V3</t>
  </si>
  <si>
    <t>针对没有空海运鉴定证书</t>
    <phoneticPr fontId="1" type="noConversion"/>
  </si>
  <si>
    <t>WHS Battery Certificate Management V3</t>
  </si>
  <si>
    <t>电池证书识别 V1</t>
    <phoneticPr fontId="1" type="noConversion"/>
  </si>
  <si>
    <t>1.根据Part Number(PN)分类
2.纯电池：7种报告是否都有，7种证书型号一致确认，厂商一致核对
设备含电池：5种证书厂商一致确认，空海运厂商一致核对
3. 识别纯电池还是设备带电池
4. 2024年section14/15要含有65th和188的字眼
5.识别证书的年份（MSDS和空海运每年有效，其余四份长期有效--- pass/fail）
6.针对设备含电池，需要确认电池的型号和品牌
7.如供应商提供的证书不全（即除空/海运证书外，另外5份没有提供全），则纯电池根据型号判断历史文件中有没有不全的证书，设备含电池根据电池型号和品牌判断、</t>
    <phoneticPr fontId="1" type="noConversion"/>
  </si>
  <si>
    <t>WHS Battery Certificate Management V1</t>
  </si>
  <si>
    <t>用户需求的变化导致项目范围扩大和调整；技术难度较高，需要更长的研发时间；遇到了未预见的问题，如算法优化、数据清洗等。</t>
    <phoneticPr fontId="1" type="noConversion"/>
  </si>
  <si>
    <t>电池证书识别 V2</t>
    <phoneticPr fontId="1" type="noConversion"/>
  </si>
  <si>
    <t>针对于一个型号对应多个空海运证书</t>
    <phoneticPr fontId="1" type="noConversion"/>
  </si>
  <si>
    <t>WHS Battery Certificate Management V2</t>
    <phoneticPr fontId="1" type="noConversion"/>
  </si>
  <si>
    <t>电池供应商自动邮件</t>
    <phoneticPr fontId="1" type="noConversion"/>
  </si>
  <si>
    <t xml:space="preserve">系统监测缺失的电池文件和电池相关问题自动给供应商发邮件让其补充
1. 电池证书识别Version 1 完成后，在缺少证书或者证书识别错误的情况下，自动发邮件给供应商，邮件里面含电池的型号和电池厂商，以及证书审核后问题（缺失或者错误）。供应商补充证书，loop系统发的邮件。系统检测到供应商的邮件，获取邮件里的证书，保存到原始的文件目录下，再次审核。
2.在电池证书第一阶段（Version 1）检测到一个PN下多个型号（多个电池型号和厂商）的证书问题，需要（Lingling) 人工审核干预，她自己审核文件并判断是否缺少证书或者证书是否有问题，如有问题手动触发自动邮件给供应商。
后续可能需要以Part Number和供应商Vendor和品牌三种类别去命名
3.待Version2 完成后，就可以去掉多个电池型号厂商的PN需要LingLing人工审核的步骤。 </t>
    <phoneticPr fontId="1" type="noConversion"/>
  </si>
  <si>
    <t>Automated Emails for Battery Suppliers</t>
    <phoneticPr fontId="1" type="noConversion"/>
  </si>
  <si>
    <t>备件物流AI问答机器人 V3</t>
  </si>
  <si>
    <t>SupplyX skill+ 2.0补丁</t>
  </si>
  <si>
    <t>第二期：依据物流行业知识回答物流延迟、停滞的原因
参考SCI知识平台</t>
    <phoneticPr fontId="1" type="noConversion"/>
  </si>
  <si>
    <t>备件物流AI问答机器人 V2</t>
  </si>
  <si>
    <t>LogiAgent升级版： 自动做任务， 自动生成报表和触发alert邮件</t>
  </si>
  <si>
    <t>SSC Logistics LogiAgent V2</t>
    <phoneticPr fontId="1" type="noConversion"/>
  </si>
  <si>
    <t>备件物流AI问答机器人 V1</t>
    <phoneticPr fontId="1" type="noConversion"/>
  </si>
  <si>
    <t>开发基于AI对话模式的实时运输和货物仓库状态查询功能：
1.通过询问货物订单，从数据库输出相应的货物状态。
2.AMS系统与数据库连接，数据库物流信息会有延迟，需从第三方网站获取信息。
3.支持查询shipment的PO、BOL等信息，包括当前状态（如GRGI、打包、送货、送达等）。
4.在Teams平台上实现AI对话功能。
主要涵盖以下内容：
纯运输问题
物流Issue问题信息（如延迟原因）
物流行业知识
连接货代网站的单号跟踪功能，爬取第三方网站物流信息
数据库包含物流数据库</t>
    <phoneticPr fontId="1" type="noConversion"/>
  </si>
  <si>
    <t>teams收集信息，传给平台查询，再通过teams返回给用户物流状态及原因
第一期：集成teams AI实时查询物流状态，</t>
    <phoneticPr fontId="1" type="noConversion"/>
  </si>
  <si>
    <t>SSC Logistics LogiAgent V1</t>
  </si>
  <si>
    <t>立项延期及加入teams应用申请的新需求，导致开发周期延长。</t>
    <phoneticPr fontId="1" type="noConversion"/>
  </si>
  <si>
    <t>Paid Dev 7056 on 24/9/27，paid Dev 44044 on 25/4/1</t>
    <phoneticPr fontId="1" type="noConversion"/>
  </si>
  <si>
    <t xml:space="preserve">SupplyX 高级预警 </t>
  </si>
  <si>
    <t>构建了AI驱动的主动预警系统，实现从事后监控向基于风险预测的实时预警与自动化跟进转型。</t>
  </si>
  <si>
    <t>SupplyX Intelligent Alerting</t>
  </si>
  <si>
    <t>LogiAgent增强</t>
    <phoneticPr fontId="1" type="noConversion"/>
  </si>
  <si>
    <t>自然语言调用应用、查询单据、业务异常预警、用户年度行为总结</t>
    <phoneticPr fontId="1" type="noConversion"/>
  </si>
  <si>
    <t>In Progress</t>
  </si>
  <si>
    <t>Transport</t>
  </si>
  <si>
    <t>智能报价搜集平台</t>
  </si>
  <si>
    <t xml:space="preserve">
1.对话框内收集需求者足够的货物基本信息，以便评估价格。
2.待业务预估运输成本后再反馈给需求者。</t>
    <phoneticPr fontId="1" type="noConversion"/>
  </si>
  <si>
    <t>Brian</t>
    <phoneticPr fontId="1" type="noConversion"/>
  </si>
  <si>
    <t>方案：设置物流teams hotline support 
找teams team 合作：若用户引导用户输入物料尺寸、体积、重量、地址、是否含电池、是否有相应证书等，给Brian发邮件有新单据，Brian可以在平台上找到用户需求信息，评估价格，回复用户</t>
    <phoneticPr fontId="1" type="noConversion"/>
  </si>
  <si>
    <t>AI-Driven Quotation Collection Platform</t>
    <phoneticPr fontId="1" type="noConversion"/>
  </si>
  <si>
    <t>因添加转单的功能，开发周期变长。</t>
    <phoneticPr fontId="1" type="noConversion"/>
  </si>
  <si>
    <t>Sourcing</t>
  </si>
  <si>
    <t>Sourcing OA审批平台</t>
  </si>
  <si>
    <t>构建了一个智能化 Sourcing Rate OA 模块，通过自动审批路由、Excel 自动化和提醒机制，显著提升流程效率、合规性与灵活性。</t>
  </si>
  <si>
    <t>采购</t>
  </si>
  <si>
    <t>Cynthia</t>
  </si>
  <si>
    <t>Sourcing Rate OA Application</t>
  </si>
  <si>
    <t>OA审批平台</t>
  </si>
  <si>
    <t>参照GAMS系统（带出相关申请人的组织架）
用公司tcode自动登录；
自动带出财务和业务相关的审批人（如concur）
后续授权维护和新场景增加（开一个自定义的场景，非常规的也可以申请人自己设置）</t>
  </si>
  <si>
    <t>仓储</t>
    <phoneticPr fontId="1" type="noConversion"/>
  </si>
  <si>
    <t>Jinjin</t>
    <phoneticPr fontId="1" type="noConversion"/>
  </si>
  <si>
    <t>获取GAMS权限数据，审批过程的记录
业务：审批流和电子流
平台总需求：统一平台有权限审批的能力</t>
    <phoneticPr fontId="1" type="noConversion"/>
  </si>
  <si>
    <t>OA Approval Platform</t>
  </si>
  <si>
    <t>需等LogiAgent立项完成后与相关团队讨论。</t>
    <phoneticPr fontId="1" type="noConversion"/>
  </si>
  <si>
    <t>SAP自动批量调库</t>
    <phoneticPr fontId="1" type="noConversion"/>
  </si>
  <si>
    <t>通过输入Part no实现自动移库,包括scrap和批量移库功能。之前需要使用MB1B下载模板,填完模板再上传到ECC系统。
频次的话是每周一次，周五;
量级的话平均每周不到100pcs，目前大概都是20个FRU PN，但是这个是不固定的
Tcode是MB1B， movetype是309
目前我没有用模版，都是手工一个个填写的，因为是PN A一一对应改为PN B，批量的话可能有PN A改成PN C的风险</t>
  </si>
  <si>
    <t>Auto SAP Batch Stock Adjustment</t>
    <phoneticPr fontId="1" type="noConversion"/>
  </si>
  <si>
    <t>国家假期邮件提醒</t>
    <phoneticPr fontId="1" type="noConversion"/>
  </si>
  <si>
    <t>1.自动发送中国和香港的假期及补班提醒邮件,通知各个GEO仓库工作时间 
2.Yuchang的运输表ASN上传截止时间估算假期安排，再发出假期提醒给到FF和PM</t>
  </si>
  <si>
    <t>Admin</t>
    <phoneticPr fontId="1" type="noConversion"/>
  </si>
  <si>
    <t>Songjia/Yuchang/Tianyu</t>
    <phoneticPr fontId="1" type="noConversion"/>
  </si>
  <si>
    <t>National Holiday Email Reminders</t>
  </si>
  <si>
    <t>2627 Q3</t>
  </si>
  <si>
    <t>CC主数据自动维护</t>
    <phoneticPr fontId="1" type="noConversion"/>
  </si>
  <si>
    <t>从SES和主数据中获取信息,收集汇总线上平台CC主数据,并每周更新料号对应的最新CC (Category Code)。
TAB: https://osd.lenovo.com/ses/lookup/part/list
MBG: https://ses.lenovo.com/login</t>
    <phoneticPr fontId="1" type="noConversion"/>
  </si>
  <si>
    <t>Songjia/Tianyu</t>
    <phoneticPr fontId="1" type="noConversion"/>
  </si>
  <si>
    <t>Automated CC Master Data Maintenance</t>
  </si>
  <si>
    <t>安规主数据平台</t>
    <phoneticPr fontId="1" type="noConversion"/>
  </si>
  <si>
    <t>证书下载：用户可以通过平台下载各国的认证证书。 
数据展示：展示主数据中的核心字段信息，如型号、供应商、认证编号等。 
文件匹配：根据型号和认证编号匹配并展示相关证书。 
多语言支持：处理和展示不同语言的证书内容。 
历史数据导入：支持导入和展示历史证书数据。 
文件存储和检索：存储证书文件并支持用户通过平台进行检索和下载</t>
    <phoneticPr fontId="1" type="noConversion"/>
  </si>
  <si>
    <t>Marilyn</t>
    <phoneticPr fontId="1" type="noConversion"/>
  </si>
  <si>
    <t>Compliance Master Data Platform</t>
    <phoneticPr fontId="1" type="noConversion"/>
  </si>
  <si>
    <t>请章的需求插入，且开发人员相同，导致开发顺序进行调整。</t>
    <phoneticPr fontId="1" type="noConversion"/>
  </si>
  <si>
    <t>审计通知的自动邮件</t>
  </si>
  <si>
    <t>针对年度1-3次盘点，实现照片收集、排版及文字生成的自动化。摒弃基于固定模板的重复手动操作，显著降低工作量，提升效率。</t>
  </si>
  <si>
    <t>库存</t>
  </si>
  <si>
    <t>Automated Emails for PWC Audit Announcement</t>
  </si>
  <si>
    <t>Completed</t>
  </si>
  <si>
    <t>安规证书识别</t>
    <phoneticPr fontId="1" type="noConversion"/>
  </si>
  <si>
    <t>证书类型识别：识别不同国家和类型的认证证书，如印度的BIS证书、台湾的BSMI证书、韩国的KC证书等。
字段提取：从证书中提取关键信息，包括认证编号、有效期、型号等。 
OCR技术：使用OCR技术自动识别和提取证书中的文本信息。 
多语言支持：处理不同语言的证书内容，确保准确提取信息。 
文件匹配：根据型号和认证编号将证书与主数据进行匹配。 
数据存储和检索：将提取的信息存储在数据库中，支持用户通过平台进行搜索和下载。</t>
    <phoneticPr fontId="1" type="noConversion"/>
  </si>
  <si>
    <t>Compliance Certificate Management</t>
    <phoneticPr fontId="1" type="noConversion"/>
  </si>
  <si>
    <t>智能印章管理平台</t>
  </si>
  <si>
    <t>为规范SSC物流业务印章的保管与使用，确保审批流程合规、责任可追溯，现需开发智能化印章管理平台。该平台将整合Teams/Outlook审批流程，实现多级自动化审批（常规文件、对外业务及长期授权），并嵌入LogiAgent AI辅助操作。通过数字化管理，杜绝滥用风险，提升用印效率，同时满足数据记录、报表生成及审计需求。</t>
  </si>
  <si>
    <t>Intelligent Stamp Management Platform</t>
    <phoneticPr fontId="1" type="noConversion"/>
  </si>
  <si>
    <t>WW Hub 特殊需求服务台</t>
  </si>
  <si>
    <t>1.IB 运输加急 2.仓库IB/OB加急 和删单；3.国际段运输ESD通知</t>
    <phoneticPr fontId="1" type="noConversion"/>
  </si>
  <si>
    <t>Jiaqi</t>
    <phoneticPr fontId="1" type="noConversion"/>
  </si>
  <si>
    <t>平台</t>
  </si>
  <si>
    <t>WW Hub Special Request Desk</t>
  </si>
  <si>
    <t>FY2526 Q2</t>
    <phoneticPr fontId="1" type="noConversion"/>
  </si>
  <si>
    <t>LaaS网站和小程序</t>
    <phoneticPr fontId="1" type="noConversion"/>
  </si>
  <si>
    <t>开发一个网站,展示相关提供的服务和目标。</t>
  </si>
  <si>
    <t>LaaS</t>
    <phoneticPr fontId="1" type="noConversion"/>
  </si>
  <si>
    <t>依据具体功能决定，最后的低优先级</t>
    <phoneticPr fontId="1" type="noConversion"/>
  </si>
  <si>
    <t>LaaS Website and App</t>
  </si>
  <si>
    <t>Other</t>
  </si>
  <si>
    <t>ISG FRU</t>
  </si>
  <si>
    <t>ISG Service Order Agent</t>
  </si>
  <si>
    <t>物流</t>
  </si>
  <si>
    <t>June</t>
  </si>
  <si>
    <t>ISG Service FRU</t>
  </si>
  <si>
    <t>FY2627 Q1</t>
    <phoneticPr fontId="1" type="noConversion"/>
  </si>
  <si>
    <t>干预模型 V1</t>
    <phoneticPr fontId="1" type="noConversion"/>
  </si>
  <si>
    <t xml:space="preserve"> 通过监测订单异常触发teams群组创建，汇总总结群租沟通内容，通过页面形式管理所有异常tickets，汇总信息以API形式输出
1. 需要开发网页端，权限管理，不要求美观，功能需要涵盖增删改查
2. 需要创建Ticket ID并返回给LUDP或数据库，以便于后续通过API查询最新状态和评论
3. AMS接收的数据如Json等格式需要统一，以便于API的有效交互
4. Teams群组监测特定关键词如“@Bot case closed" 来关单以及网页端也可以手动关闭ticket并自动解散群组
5. 需要记录网页平台或者Teams上关单的人员和关单日期时间到log内
6. 新增的网页端管理开发增加项目整体时效，若无网页端整体时效可缩短至2周 </t>
    <phoneticPr fontId="1" type="noConversion"/>
  </si>
  <si>
    <t>需求拆分：
功能1：接收数据，数据存储，创建ticket单据，创建teams chat，获取teams chat名称、id等信息
功能2：每天定时获取聊天记录汇总，并发送到chat，且更新单据信息
功能3：从chat中了解单据已完成，聊天消息汇总，并更新单据信息，更新数据库
功能4: 每小时查看未关闭的单据信息，判断是否需要关闭单据，并更新数据库
功能5：通过api创建单据、查询单据</t>
    <phoneticPr fontId="1" type="noConversion"/>
  </si>
  <si>
    <t>Live Interception Platform V1</t>
  </si>
  <si>
    <t>FY2425 Q4</t>
  </si>
  <si>
    <t>总</t>
    <phoneticPr fontId="1" type="noConversion"/>
  </si>
  <si>
    <t>开发费用打7折，资源共享打5折</t>
    <phoneticPr fontId="1" type="noConversion"/>
  </si>
  <si>
    <t>Development</t>
    <phoneticPr fontId="1" type="noConversion"/>
  </si>
  <si>
    <t>Support</t>
    <phoneticPr fontId="1" type="noConversion"/>
  </si>
  <si>
    <t>开发费用</t>
    <phoneticPr fontId="1" type="noConversion"/>
  </si>
  <si>
    <t>运营支持费</t>
    <phoneticPr fontId="1" type="noConversion"/>
  </si>
  <si>
    <t>运营平台费</t>
    <phoneticPr fontId="1" type="noConversion"/>
  </si>
  <si>
    <t>运维费总</t>
    <phoneticPr fontId="1" type="noConversion"/>
  </si>
  <si>
    <t>Approved Date by SSC Manager &amp; SSC Finance</t>
    <phoneticPr fontId="1" type="noConversion"/>
  </si>
  <si>
    <t>Request Date (Email date sent to AMS for tfr)</t>
    <phoneticPr fontId="1" type="noConversion"/>
  </si>
  <si>
    <t>Payment Date</t>
    <phoneticPr fontId="1" type="noConversion"/>
  </si>
  <si>
    <t>Payment Amount</t>
    <phoneticPr fontId="1" type="noConversion"/>
  </si>
  <si>
    <t>Ref Doc No</t>
    <phoneticPr fontId="1" type="noConversion"/>
  </si>
  <si>
    <t>Project YRQTR</t>
    <phoneticPr fontId="1" type="noConversion"/>
  </si>
  <si>
    <t>Payment Amount (fixed)</t>
  </si>
  <si>
    <t>2024 Q3 &amp; Q4</t>
    <phoneticPr fontId="1" type="noConversion"/>
  </si>
  <si>
    <t>2024 Q2, Q3 &amp; Q4</t>
    <phoneticPr fontId="1" type="noConversion"/>
  </si>
  <si>
    <t>2024 Q4</t>
    <phoneticPr fontId="1" type="noConversion"/>
  </si>
  <si>
    <t>2025 Q4</t>
  </si>
  <si>
    <t>(Dev81466 + Support 6490)</t>
  </si>
  <si>
    <t>2025 Q3</t>
  </si>
  <si>
    <t>TBD</t>
    <phoneticPr fontId="1" type="noConversion"/>
  </si>
  <si>
    <t>2026 Q1</t>
    <phoneticPr fontId="1" type="noConversion"/>
  </si>
  <si>
    <t>2026 Q2</t>
    <phoneticPr fontId="1" type="noConversion"/>
  </si>
  <si>
    <t xml:space="preserve">le </t>
    <phoneticPr fontId="1" type="noConversion"/>
  </si>
  <si>
    <t>序号</t>
    <phoneticPr fontId="1" type="noConversion"/>
  </si>
  <si>
    <t>需求</t>
    <phoneticPr fontId="1" type="noConversion"/>
  </si>
  <si>
    <t>备注</t>
    <phoneticPr fontId="1" type="noConversion"/>
  </si>
  <si>
    <t>MD</t>
    <phoneticPr fontId="1" type="noConversion"/>
  </si>
  <si>
    <t>交付期限</t>
    <phoneticPr fontId="1" type="noConversion"/>
  </si>
  <si>
    <t>开始时间</t>
    <phoneticPr fontId="1" type="noConversion"/>
  </si>
  <si>
    <t>截止时间</t>
    <phoneticPr fontId="1" type="noConversion"/>
  </si>
  <si>
    <t>季度</t>
    <phoneticPr fontId="1" type="noConversion"/>
  </si>
  <si>
    <t>USD</t>
    <phoneticPr fontId="1" type="noConversion"/>
  </si>
  <si>
    <t>第一期划拨USD 9/27</t>
    <phoneticPr fontId="1" type="noConversion"/>
  </si>
  <si>
    <t>Comment</t>
    <phoneticPr fontId="1" type="noConversion"/>
  </si>
  <si>
    <t>Difference</t>
    <phoneticPr fontId="1" type="noConversion"/>
  </si>
  <si>
    <t>第二期划拨USD</t>
    <phoneticPr fontId="1" type="noConversion"/>
  </si>
  <si>
    <t>2425 Q2</t>
    <phoneticPr fontId="1" type="noConversion"/>
  </si>
  <si>
    <t>2526 Q1</t>
    <phoneticPr fontId="1" type="noConversion"/>
  </si>
  <si>
    <t>项目延期,费用调整</t>
    <phoneticPr fontId="1" type="noConversion"/>
  </si>
  <si>
    <t xml:space="preserve">teams收集信息，传给平台查询，再通过teams返回给用户物流状态及原因
第一期：集成teams AI实时查询物流状态，
</t>
    <phoneticPr fontId="1" type="noConversion"/>
  </si>
  <si>
    <t>AI对话搜集报价信息</t>
    <phoneticPr fontId="1" type="noConversion"/>
  </si>
  <si>
    <t>2425 Q4</t>
    <phoneticPr fontId="1" type="noConversion"/>
  </si>
  <si>
    <t>发票信息自动抽取解析 V1</t>
    <phoneticPr fontId="1" type="noConversion"/>
  </si>
  <si>
    <t>OA审批平台</t>
    <phoneticPr fontId="1" type="noConversion"/>
  </si>
  <si>
    <t xml:space="preserve">获取GAMS权限数据，审批过程的记录
业务：审批流和电子流
平台总需求：统一平台有权限审批的能力
</t>
    <phoneticPr fontId="1" type="noConversion"/>
  </si>
  <si>
    <t>SAP自动批量调库</t>
  </si>
  <si>
    <t>额度可用</t>
    <phoneticPr fontId="1" type="noConversion"/>
  </si>
  <si>
    <t>序号</t>
  </si>
  <si>
    <t>需求名称</t>
  </si>
  <si>
    <t>计划进度</t>
  </si>
  <si>
    <t>实际进度</t>
  </si>
  <si>
    <t>开始日期</t>
  </si>
  <si>
    <t>计划工作日</t>
  </si>
  <si>
    <t>实际工作日</t>
  </si>
  <si>
    <t>完成状态</t>
  </si>
  <si>
    <t>定期邮箱发送库存DB报告</t>
  </si>
  <si>
    <t>已完成</t>
  </si>
  <si>
    <t>电池证书识别 V1</t>
  </si>
  <si>
    <t>进行中</t>
  </si>
  <si>
    <t>电池供应商自动邮件</t>
  </si>
  <si>
    <t>未启动</t>
  </si>
  <si>
    <t>AI对话搜集报价信息</t>
  </si>
  <si>
    <t>已完成</t>
    <phoneticPr fontId="1" type="noConversion"/>
  </si>
  <si>
    <t>干预模型 V2(视优先级决定是否本财年)</t>
    <phoneticPr fontId="1" type="noConversion"/>
  </si>
  <si>
    <t>Values</t>
  </si>
  <si>
    <t>Sum of MD</t>
  </si>
  <si>
    <t>Sum of YR0 开发费用</t>
  </si>
  <si>
    <t>Sum of &gt;Y0运营支持费</t>
  </si>
  <si>
    <t>Sum of &gt;Y0运营平台费</t>
  </si>
  <si>
    <t>3PL账单比对</t>
  </si>
  <si>
    <t>3PL Bill Comparison</t>
  </si>
  <si>
    <t>AI-Driven Quotation Information Collection</t>
  </si>
  <si>
    <t>CC主数据自动维护</t>
  </si>
  <si>
    <t>Exceptions diagnosis</t>
  </si>
  <si>
    <t>LaaS网站和小程序</t>
  </si>
  <si>
    <t>Logistics Smart KM</t>
  </si>
  <si>
    <t>报关信息汇总</t>
  </si>
  <si>
    <t>不同格式的报价统一化</t>
  </si>
  <si>
    <t>Standardized Rate Quote Formatting</t>
  </si>
  <si>
    <t>Automated Emails for Battery Suppliers</t>
  </si>
  <si>
    <t>电池图片智能识别</t>
  </si>
  <si>
    <t>Automated Email for Inventory DB Reports</t>
  </si>
  <si>
    <t>国家假期邮件提醒</t>
  </si>
  <si>
    <t>料号估算计费重量</t>
  </si>
  <si>
    <t>运输实时线上监控平台</t>
  </si>
  <si>
    <t>账单报错解决方案</t>
  </si>
  <si>
    <t>Billing Error Resolution Solutions</t>
  </si>
  <si>
    <t>智能成本预测模型</t>
  </si>
  <si>
    <t>自动计算未开账单</t>
  </si>
  <si>
    <t>Automated Unbilled Amount Calculation</t>
  </si>
  <si>
    <t>电池主数据平台 V1</t>
  </si>
  <si>
    <t>Battery Master Data Platform V1</t>
  </si>
  <si>
    <t>电池主数据平台 V2</t>
  </si>
  <si>
    <t>Battery Master Data Platform V2</t>
  </si>
  <si>
    <t>电池证书识别 V2</t>
  </si>
  <si>
    <t>WHS Battery Certificate Management V2</t>
  </si>
  <si>
    <t>备件物流AI问答机器人 V1</t>
  </si>
  <si>
    <t>SSC Logistics LogiAgent V12</t>
  </si>
  <si>
    <t>SSC Logistics LogiAgent V22</t>
  </si>
  <si>
    <t>Smart Delivery UI Platform V1</t>
  </si>
  <si>
    <t>Smart Delivery UI Platform V2</t>
  </si>
  <si>
    <t>Smart GTC Management V1</t>
  </si>
  <si>
    <t>Smart GTC Management V2</t>
  </si>
  <si>
    <t>Smart GTC Management V3</t>
  </si>
  <si>
    <t>Automated Invoice Data Extraction and Parsing V1</t>
  </si>
  <si>
    <t>发票信息自动抽取解析 V2</t>
  </si>
  <si>
    <t>Automated Invoice Data Extraction and Parsing V2</t>
  </si>
  <si>
    <t>SAP自动批量调库2</t>
  </si>
  <si>
    <t>Auto SAP Batch Stock Transfers2</t>
  </si>
  <si>
    <t>安规主数据平台</t>
  </si>
  <si>
    <t>Compliance Master Data Platform</t>
  </si>
  <si>
    <t>安规证书识别</t>
  </si>
  <si>
    <t>Compliance Certificate Management</t>
  </si>
  <si>
    <t>IT Category</t>
    <phoneticPr fontId="1" type="noConversion"/>
  </si>
  <si>
    <t>IT 种类</t>
    <phoneticPr fontId="1" type="noConversion"/>
  </si>
  <si>
    <t>Task</t>
    <phoneticPr fontId="1" type="noConversion"/>
  </si>
  <si>
    <t>Grand Total</t>
  </si>
  <si>
    <t>Automated Email Generation</t>
  </si>
  <si>
    <t>自动化邮件生成</t>
  </si>
  <si>
    <t>Platform Data Integration</t>
  </si>
  <si>
    <t>平台数据集成</t>
  </si>
  <si>
    <t>OCR-LLM</t>
  </si>
  <si>
    <t>Platform Large Model</t>
    <phoneticPr fontId="1" type="noConversion"/>
  </si>
  <si>
    <t>平台大模型</t>
  </si>
  <si>
    <t>Large Model Algorithm</t>
  </si>
  <si>
    <t>大模型算法</t>
  </si>
  <si>
    <t>SAP System Integration</t>
  </si>
  <si>
    <t>SAP系统对接</t>
  </si>
  <si>
    <t>交付期限</t>
  </si>
  <si>
    <t>人天</t>
    <phoneticPr fontId="1" type="noConversion"/>
  </si>
  <si>
    <t>Y0</t>
  </si>
  <si>
    <r>
      <rPr>
        <b/>
        <sz val="10"/>
        <color rgb="FF000000"/>
        <rFont val="微软雅黑"/>
        <family val="2"/>
        <charset val="134"/>
      </rPr>
      <t>从下一年开始</t>
    </r>
    <r>
      <rPr>
        <b/>
        <sz val="10"/>
        <color rgb="FF000000"/>
        <rFont val="宋体"/>
        <family val="2"/>
        <charset val="134"/>
      </rPr>
      <t>运营</t>
    </r>
    <r>
      <rPr>
        <b/>
        <sz val="10"/>
        <color rgb="FF000000"/>
        <rFont val="微软雅黑"/>
        <family val="2"/>
        <charset val="134"/>
      </rPr>
      <t>费</t>
    </r>
    <r>
      <rPr>
        <b/>
        <sz val="10"/>
        <color rgb="FF000000"/>
        <rFont val="Arial"/>
        <family val="2"/>
      </rPr>
      <t>(&gt;Y0)</t>
    </r>
    <phoneticPr fontId="1" type="noConversion"/>
  </si>
  <si>
    <t>Automated Data Processing</t>
  </si>
  <si>
    <t>自动数据处理</t>
  </si>
  <si>
    <t>开发费</t>
    <phoneticPr fontId="1" type="noConversion"/>
  </si>
  <si>
    <r>
      <rPr>
        <b/>
        <sz val="10"/>
        <color rgb="FF000000"/>
        <rFont val="微软雅黑"/>
        <family val="2"/>
        <charset val="134"/>
      </rPr>
      <t>运营支持费</t>
    </r>
    <r>
      <rPr>
        <b/>
        <sz val="10"/>
        <color rgb="FF000000"/>
        <rFont val="Arial"/>
        <family val="2"/>
      </rPr>
      <t xml:space="preserve"> (optional)</t>
    </r>
    <phoneticPr fontId="1" type="noConversion"/>
  </si>
  <si>
    <r>
      <rPr>
        <b/>
        <sz val="10"/>
        <color rgb="FF000000"/>
        <rFont val="微软雅黑"/>
        <family val="2"/>
        <charset val="134"/>
      </rPr>
      <t xml:space="preserve">平台费
</t>
    </r>
    <r>
      <rPr>
        <b/>
        <sz val="10"/>
        <color rgb="FF000000"/>
        <rFont val="Arial"/>
        <family val="2"/>
      </rPr>
      <t>(fixed)</t>
    </r>
    <phoneticPr fontId="1" type="noConversion"/>
  </si>
  <si>
    <t>FY 2425</t>
  </si>
  <si>
    <r>
      <rPr>
        <sz val="9"/>
        <color rgb="FF000000"/>
        <rFont val="微软雅黑"/>
        <family val="2"/>
        <charset val="134"/>
      </rPr>
      <t>定期邮箱发送库存</t>
    </r>
    <r>
      <rPr>
        <sz val="9"/>
        <color rgb="FF000000"/>
        <rFont val="Arial"/>
        <family val="2"/>
      </rPr>
      <t>DB</t>
    </r>
    <r>
      <rPr>
        <sz val="9"/>
        <color rgb="FF000000"/>
        <rFont val="微软雅黑"/>
        <family val="2"/>
        <charset val="134"/>
      </rPr>
      <t>报告</t>
    </r>
    <phoneticPr fontId="1" type="noConversion"/>
  </si>
  <si>
    <t>Large Model Algorithm</t>
    <phoneticPr fontId="1" type="noConversion"/>
  </si>
  <si>
    <t>大模型算法</t>
    <phoneticPr fontId="1" type="noConversion"/>
  </si>
  <si>
    <t>电池主数据平台</t>
    <phoneticPr fontId="1" type="noConversion"/>
  </si>
  <si>
    <t>Platform Large Model</t>
  </si>
  <si>
    <t>电池证书关键信息识别及比对</t>
    <phoneticPr fontId="1" type="noConversion"/>
  </si>
  <si>
    <t>备件物流AI问答机器人</t>
  </si>
  <si>
    <t>开发费</t>
  </si>
  <si>
    <t>总和</t>
  </si>
  <si>
    <t>发票信息自动抽取解析</t>
  </si>
  <si>
    <t>FY 2526</t>
  </si>
  <si>
    <t>FY 2627</t>
  </si>
  <si>
    <t>Rebalance 自动提取open订单</t>
  </si>
  <si>
    <t>onwards</t>
  </si>
  <si>
    <t>Machine Learning Algorithm</t>
    <phoneticPr fontId="1" type="noConversion"/>
  </si>
  <si>
    <t>机器学习算法预测</t>
  </si>
  <si>
    <t>电池主数据平台</t>
  </si>
  <si>
    <r>
      <rPr>
        <sz val="9"/>
        <color rgb="FF000000"/>
        <rFont val="微软雅黑"/>
        <family val="2"/>
        <charset val="134"/>
      </rPr>
      <t>备件物流</t>
    </r>
    <r>
      <rPr>
        <sz val="9"/>
        <color rgb="FF000000"/>
        <rFont val="Arial"/>
        <family val="2"/>
      </rPr>
      <t>AI</t>
    </r>
    <r>
      <rPr>
        <sz val="9"/>
        <color rgb="FF000000"/>
        <rFont val="微软雅黑"/>
        <family val="2"/>
        <charset val="134"/>
      </rPr>
      <t>问答机器人</t>
    </r>
    <phoneticPr fontId="1" type="noConversion"/>
  </si>
  <si>
    <t>Smart Delivery UI Platform</t>
  </si>
  <si>
    <t>Smart GTC Management</t>
  </si>
  <si>
    <t>Rebalance ASN生成自动提醒</t>
  </si>
  <si>
    <t>待确定</t>
  </si>
  <si>
    <t>干预模块信息集成</t>
    <phoneticPr fontId="1" type="noConversion"/>
  </si>
  <si>
    <t>Delivery Phase</t>
    <phoneticPr fontId="1" type="noConversion"/>
  </si>
  <si>
    <t>Tasks</t>
  </si>
  <si>
    <t>Manual Day</t>
  </si>
  <si>
    <t>Start from following year (&gt;Y0)</t>
  </si>
  <si>
    <t>Development $</t>
  </si>
  <si>
    <t>Operation + Platform $</t>
    <phoneticPr fontId="1" type="noConversion"/>
  </si>
  <si>
    <t>Total</t>
  </si>
  <si>
    <t>Development Fee</t>
    <phoneticPr fontId="1" type="noConversion"/>
  </si>
  <si>
    <t>Operation Fee (optional)</t>
    <phoneticPr fontId="1" type="noConversion"/>
  </si>
  <si>
    <t>Platform Fee (fixed)</t>
    <phoneticPr fontId="1" type="noConversion"/>
  </si>
  <si>
    <t>Phase 1</t>
  </si>
  <si>
    <t>Phase 2</t>
  </si>
  <si>
    <t>Phase 1</t>
    <phoneticPr fontId="1" type="noConversion"/>
  </si>
  <si>
    <t>Phase 3</t>
  </si>
  <si>
    <t>Battery Master Data Platform</t>
    <phoneticPr fontId="1" type="noConversion"/>
  </si>
  <si>
    <t>Total</t>
    <phoneticPr fontId="1" type="noConversion"/>
  </si>
  <si>
    <t xml:space="preserve">WHS Battery Certificate Management </t>
    <phoneticPr fontId="1" type="noConversion"/>
  </si>
  <si>
    <t>Ongoing</t>
    <phoneticPr fontId="1" type="noConversion"/>
  </si>
  <si>
    <t>SSC Logistics LogiAgent</t>
  </si>
  <si>
    <t>AI-Driven Quotation Information Collection</t>
    <phoneticPr fontId="1" type="noConversion"/>
  </si>
  <si>
    <t>Automated Invoice Data Extraction and Parsing</t>
    <phoneticPr fontId="1" type="noConversion"/>
  </si>
  <si>
    <t>OA Approval Platform</t>
    <phoneticPr fontId="1" type="noConversion"/>
  </si>
  <si>
    <t>Auto SAP Batch Stock Transfers</t>
  </si>
  <si>
    <t>Phase 2</t>
    <phoneticPr fontId="1" type="noConversion"/>
  </si>
  <si>
    <t>Battery Master Data Platform</t>
  </si>
  <si>
    <t>Spare Parts Logistics LogiAgent</t>
  </si>
  <si>
    <t>Automated Invoice Data Extraction and Parsing</t>
  </si>
  <si>
    <t>Rebalance ASN Auto-Reminders</t>
  </si>
  <si>
    <t>Phase 3</t>
    <phoneticPr fontId="1" type="noConversion"/>
  </si>
  <si>
    <t>Intelligent Battery Image Recognition</t>
    <phoneticPr fontId="1" type="noConversion"/>
  </si>
  <si>
    <t>Delivery Phase</t>
  </si>
  <si>
    <t>AI Category</t>
    <phoneticPr fontId="1" type="noConversion"/>
  </si>
  <si>
    <t>Function</t>
    <phoneticPr fontId="1" type="noConversion"/>
  </si>
  <si>
    <t>YR QTR</t>
    <phoneticPr fontId="1" type="noConversion"/>
  </si>
  <si>
    <t>Start</t>
    <phoneticPr fontId="1" type="noConversion"/>
  </si>
  <si>
    <t>End</t>
    <phoneticPr fontId="1" type="noConversion"/>
  </si>
  <si>
    <t>Status</t>
    <phoneticPr fontId="1" type="noConversion"/>
  </si>
  <si>
    <t>Automated inbound transports' billing statements comparison between Lenovo and 3PL data.</t>
    <phoneticPr fontId="1" type="noConversion"/>
  </si>
  <si>
    <t>Completed</t>
    <phoneticPr fontId="1" type="noConversion"/>
  </si>
  <si>
    <t xml:space="preserve">Sends scheduled automated email reports regarding inventory databoard updates by extracting relevant facts, figures and explanations based on dashboards image. </t>
    <phoneticPr fontId="1" type="noConversion"/>
  </si>
  <si>
    <t>Centralizes and manages critical data related to battery specifications, supplier and certification details on a single platform.</t>
    <phoneticPr fontId="1" type="noConversion"/>
  </si>
  <si>
    <t>WHS Battery Certificate Management V1</t>
    <phoneticPr fontId="1" type="noConversion"/>
  </si>
  <si>
    <t>Automates the extraction and comparison of key information from 7 types of battery certification documents, specifically focusing on battery model and supplier.</t>
    <phoneticPr fontId="1" type="noConversion"/>
  </si>
  <si>
    <t>SSC Logistics LogiAgent V1</t>
    <phoneticPr fontId="1" type="noConversion"/>
  </si>
  <si>
    <t>In Progress</t>
    <phoneticPr fontId="1" type="noConversion"/>
  </si>
  <si>
    <t>System automatically emails suppliers to resolve missing battery files and related issues</t>
    <phoneticPr fontId="1" type="noConversion"/>
  </si>
  <si>
    <t>Provides real-time assistance and  information regarding spare parts logistics through an AI-powered chatbot on Teams</t>
    <phoneticPr fontId="1" type="noConversion"/>
  </si>
  <si>
    <t xml:space="preserve">Develop a quote query function to gather quotation data to streamline quotation inquiry. </t>
    <phoneticPr fontId="1" type="noConversion"/>
  </si>
  <si>
    <t>Live Interception Platform V1</t>
    <phoneticPr fontId="1" type="noConversion"/>
  </si>
  <si>
    <t>End-to-end platform for smart delivery UI, backend, and algorithms for delivery tracking and management, including interception notifications.</t>
    <phoneticPr fontId="1" type="noConversion"/>
  </si>
  <si>
    <t>3PL Transport Bill Comparison</t>
  </si>
  <si>
    <t>Use AI to identify and extract customs declaration information, compare it with the existing database, and issue inconsistency alerts.</t>
    <phoneticPr fontId="1" type="noConversion"/>
  </si>
  <si>
    <t>Automatically extract and analyze invoice and customs document information from various PDF formats and languages.</t>
    <phoneticPr fontId="1" type="noConversion"/>
  </si>
  <si>
    <t>Streamlines the approval process for warehouse operational activities through an online approval platform, including account adjustments and exceptions, store records, and generate monthly analysis reports for unified management, and open to other DCs.</t>
    <phoneticPr fontId="1" type="noConversion"/>
  </si>
  <si>
    <t>WHS Battery Certificate Management V3</t>
    <phoneticPr fontId="1" type="noConversion"/>
  </si>
  <si>
    <t>Not Started</t>
  </si>
  <si>
    <t>Automate weekly mass transfer operations in the SAP system by inputting part numbers for automatic transfers and part number adjustments.</t>
    <phoneticPr fontId="1" type="noConversion"/>
  </si>
  <si>
    <t>Not Started</t>
    <phoneticPr fontId="1" type="noConversion"/>
  </si>
  <si>
    <t>Automatically send email reminders for national holidays (including Hong Kong).</t>
    <phoneticPr fontId="1" type="noConversion"/>
  </si>
  <si>
    <t>SSC Logistics LogiAgent V2</t>
  </si>
  <si>
    <t>Maintain and update MBG and TAB CC data by obtaining it from SES and master data.</t>
    <phoneticPr fontId="1" type="noConversion"/>
  </si>
  <si>
    <t>A centralized platform for managing and accessing international compliance certificates (e.g., India’s BIS, Taiwan’s BSMI, Korea’s KC). Enables users to download certificates, view core metadata (model, supplier, certification ID), and match certificates with master data. Supports multi-language content display, historical data import, and efficient file storage/retrieval.</t>
    <phoneticPr fontId="1" type="noConversion"/>
  </si>
  <si>
    <t>For 1–3 inventory counts per year, automate photo collection, formatting, and text generation. Removing these repetitive, template-based manual tasks greatly reduces workload and boosts efficiency.</t>
  </si>
  <si>
    <t>Compiles and summarizes critical customs  customs declaration information by PN, recording different information for the same PN for future reference.</t>
    <phoneticPr fontId="1" type="noConversion"/>
  </si>
  <si>
    <t>Automates the extraction and processing of compliance certificates (BIS, BSMI, KC, etc.) using OCR and AI. Identifies certificate types, extracts critical fields (certification ID, validity, model), and matches them with master data. Supports multi-language parsing and structured database storage for easy retrieval.</t>
    <phoneticPr fontId="1" type="noConversion"/>
  </si>
  <si>
    <t>Logistics knowledge management platform that centralizes knowledge management within logistics operations for better access and sharing.</t>
    <phoneticPr fontId="1" type="noConversion"/>
  </si>
  <si>
    <t>Develop an intelligent logistics cost query and prediction system to forecast warehouse unit costs and calculate shipping costs from origin to destination, including cost simulation.</t>
    <phoneticPr fontId="1" type="noConversion"/>
  </si>
  <si>
    <t>Standardizes and automates logistics stamp approvals, ensuring compliance and traceability. It integrates with Teams/Outlook and embeds AI for intelligent workflow management and reporting.</t>
    <phoneticPr fontId="1" type="noConversion"/>
  </si>
  <si>
    <t>National Holiday Email Reminders</t>
    <phoneticPr fontId="1" type="noConversion"/>
  </si>
  <si>
    <t>Collect and summarize annual holiday information for each country, supplier, and department, and send reminders.</t>
    <phoneticPr fontId="1" type="noConversion"/>
  </si>
  <si>
    <t>Automated CC Master Data Maintenance</t>
    <phoneticPr fontId="1" type="noConversion"/>
  </si>
  <si>
    <t>Estimates billing weights based on part numbers to improve cost calculations</t>
    <phoneticPr fontId="1" type="noConversion"/>
  </si>
  <si>
    <t>Provides real-time tracking and monitoring of transport activities by entering BOL/ASN/PO/PN information</t>
    <phoneticPr fontId="1" type="noConversion"/>
  </si>
  <si>
    <t>Customs Bill Auditing</t>
    <phoneticPr fontId="1" type="noConversion"/>
  </si>
  <si>
    <t>Develop LaaS website and mini-program to promote LaaS services and capabilities.</t>
    <phoneticPr fontId="1" type="noConversion"/>
  </si>
  <si>
    <t>Customs Information Summary</t>
    <phoneticPr fontId="1" type="noConversion"/>
  </si>
  <si>
    <t>Automatically identify and compare battery images with reference images to verify battery appearance.</t>
    <phoneticPr fontId="1" type="noConversion"/>
  </si>
  <si>
    <t>Logistics Smart Knowledge Management</t>
    <phoneticPr fontId="1" type="noConversion"/>
  </si>
  <si>
    <t>Query solutions for various billing errors and suggest external email templates.</t>
    <phoneticPr fontId="1" type="noConversion"/>
  </si>
  <si>
    <t>Intelligent Cost Prediction Mode</t>
    <phoneticPr fontId="1" type="noConversion"/>
  </si>
  <si>
    <t>Analyze historical data to identify reasons for price fluctuations, evaluate current logistics plans, and recommend cost-optimal logistics routes</t>
    <phoneticPr fontId="1" type="noConversion"/>
  </si>
  <si>
    <t>Monitors order anomalies, creates Teams groups, summarizes communication, and manages tickets via a web page. It includes creating Ticket IDs, standardizing data formats, monitoring keywords to close tickets, and recording closure details.</t>
    <phoneticPr fontId="1" type="noConversion"/>
  </si>
  <si>
    <t>Evaluate and estimate costs incurred from logistics operations for unbilled invoices and generate bills automatically.</t>
    <phoneticPr fontId="1" type="noConversion"/>
  </si>
  <si>
    <t>Live Interception Platform V2</t>
    <phoneticPr fontId="1" type="noConversion"/>
  </si>
  <si>
    <t>Update quotes to a unified template/readable format.</t>
    <phoneticPr fontId="1" type="noConversion"/>
  </si>
  <si>
    <t>Part Number Billing Weight Estimation</t>
    <phoneticPr fontId="1" type="noConversion"/>
  </si>
  <si>
    <t>Real-Time Transport Monitoring Platform</t>
    <phoneticPr fontId="1" type="noConversion"/>
  </si>
  <si>
    <t>LaaS Website and App</t>
    <phoneticPr fontId="1" type="noConversion"/>
  </si>
  <si>
    <t>Intelligent Stamp Management Platform</t>
  </si>
  <si>
    <t>AI Category</t>
  </si>
  <si>
    <t>Deadline</t>
  </si>
  <si>
    <t>Dev Payment Status</t>
    <phoneticPr fontId="1" type="noConversion"/>
  </si>
  <si>
    <t>(Development)</t>
  </si>
  <si>
    <t>开发费用</t>
  </si>
  <si>
    <t>运营平台费</t>
  </si>
  <si>
    <t>运维费总</t>
  </si>
  <si>
    <t>+</t>
  </si>
  <si>
    <t>2425财年需求</t>
  </si>
  <si>
    <t>2526财年需求</t>
  </si>
  <si>
    <t>(Operation-Ongoing)</t>
  </si>
  <si>
    <t>2627财年需求</t>
  </si>
  <si>
    <t>OLD</t>
    <phoneticPr fontId="1" type="noConversion"/>
  </si>
  <si>
    <t>Development</t>
  </si>
  <si>
    <t>Operation + Platform $</t>
  </si>
  <si>
    <t xml:space="preserve"> $</t>
  </si>
  <si>
    <t>Post Delivery-</t>
  </si>
  <si>
    <t xml:space="preserve"> Ongoing Maintenance</t>
  </si>
  <si>
    <t>NEW</t>
    <phoneticPr fontId="1" type="noConversion"/>
  </si>
  <si>
    <t>DIFF</t>
    <phoneticPr fontId="1" type="noConversion"/>
  </si>
  <si>
    <t>费用($)</t>
  </si>
  <si>
    <t>总费用（$</t>
  </si>
  <si>
    <t>OA平台新增需求</t>
  </si>
  <si>
    <t>83490-39600=</t>
  </si>
  <si>
    <t xml:space="preserve">SupplyX </t>
  </si>
  <si>
    <t>SupplyX 高级预警功能</t>
  </si>
  <si>
    <t>SupplyX Skill支持</t>
  </si>
  <si>
    <t>SupplyX 2.0补丁</t>
  </si>
  <si>
    <t>TMS数据接入</t>
  </si>
  <si>
    <t>ISG-Service</t>
  </si>
  <si>
    <t xml:space="preserve">FRU Price &amp; FRU vs Option data </t>
  </si>
  <si>
    <t xml:space="preserve">FRU Sub  data providing </t>
  </si>
  <si>
    <t xml:space="preserve">FRU Usage data query issue </t>
  </si>
  <si>
    <t>TMS W/ Consumption</t>
  </si>
  <si>
    <t>verify data quanlity &amp;  define column to use</t>
  </si>
  <si>
    <t xml:space="preserve">MSD Order Data </t>
  </si>
  <si>
    <t>Inventory Data, Dada provide country level stock, JIAQI provide WWHUB</t>
  </si>
  <si>
    <r>
      <t>PBI读取-自动化负责部分</t>
    </r>
    <r>
      <rPr>
        <sz val="11"/>
        <color rgb="FFFF0000"/>
        <rFont val="等线"/>
        <family val="3"/>
        <charset val="134"/>
      </rPr>
      <t>（取消）</t>
    </r>
  </si>
  <si>
    <t>原有问数流程/Intellidata优化</t>
  </si>
  <si>
    <t>AIForce创建/修改工作流支持新PBI问数</t>
  </si>
  <si>
    <t>Logiagent前后端更新</t>
  </si>
  <si>
    <r>
      <t>PBI读取-Intellidata负责部分</t>
    </r>
    <r>
      <rPr>
        <sz val="11"/>
        <color rgb="FFFF0000"/>
        <rFont val="等线"/>
        <family val="3"/>
        <charset val="134"/>
      </rPr>
      <t>（取消）</t>
    </r>
  </si>
  <si>
    <t>ROW环境PBI问数功能(服务主体申请和功能实现)</t>
  </si>
  <si>
    <t>PBI问数 - 平台支持&amp;EA Review支持</t>
  </si>
  <si>
    <t>PBI Visual的洞察(基于问数的结果生成简单洞察)</t>
  </si>
  <si>
    <t>问数生成的图表支持导出PDF图形 &amp; Excel数据(Visual、Echart图表)</t>
  </si>
  <si>
    <t>PBI问数Agent创建和流程编排配合(1个报表)</t>
  </si>
  <si>
    <t>Task ID</t>
    <phoneticPr fontId="1" type="noConversion"/>
  </si>
  <si>
    <t>Task Name</t>
    <phoneticPr fontId="1" type="noConversion"/>
  </si>
  <si>
    <t>Image URL</t>
    <phoneticPr fontId="1" type="noConversion"/>
  </si>
  <si>
    <t>PPT Link</t>
    <phoneticPr fontId="1" type="noConversion"/>
  </si>
  <si>
    <t>Web</t>
    <phoneticPr fontId="1" type="noConversion"/>
  </si>
  <si>
    <t>data:image/webp;base64,UklGRmgcAABXRUJQVlA4IFwcAADQdQCdASrhANQAPpE+mkkloyIhKVS8SLASCWgnWhS51k/juvLj/2h+d/v3po2l/D/kPmKjJdsOcT/feqz9Jfrf8Av6q/r710P7F6A/6j/lv3C96H/gerr++eoT/beo/9Afy5v3X+GH+5f9z90vbKzaftQ/2nTd/APc3m19Xdtv+D/f/az/Q9+PAI9ibzPunmF+zeZf9x5n+IB/OeIX9Y9gPxVNBf1v7CPSO/cL//+7V+5SBVoqBoeSlMknfzsGvcvLv2nY53ilfAO8X0Cc8mq4fnPlW7uRo6PwK2xi4APilt4Juj7OQjeO0CjeRMqYtkigOZeEDjYww84LwiwkyMqd4NPLfNwW3J8NV8aCBNhoKTg9b3pJojLL7oYfwOsQV4RWPTviZkLl4zaSWLf/04K5c+E0i7ED/mSrRR2sGbQ5Rjp9ZfZ5SotHlfvLVhMoPPXmiScb4oHWyJoEEO5cTw8ZYMDVxRDXOkvlxVQEUEdfGuoF357h4+43IVndY3wCgpzDopMByy5vptdySmiBPSp1YM/tbZJ1oRBAttGFyDRuL3HI1R+ezpfpXuZt83hRXoH0+VnipU4S15aZf9gJLn9UB7QR/HHk4jOl4ScWVd4sEqY55Q9PE4HRAsZrYRjEIAa49Fc0M1HVoafVWDY+bx+r+KLsPROjZIMAu+wyUK8kkzg4Nrd/1S4sQ84njlUreiryRHAdY+chB7RCjc5RQ5P5tdjMDFc7L6BTihg/c9AdXBmT2lVB9jay8MsdaRH3Pruk3OBiPxxst2ORGDtdQM02IfNCKGgYObfFxuEmOeM30QsMU+sq0XHW7cgt43Qua+vudseLh02BXB6DQ7jJVBjf+sLK4R/n7BS6Mra6Pg1HspXEGIGO3eRE/Je/ghItKL8VezFMbZWHy7nLfcSFqoFMLoEGZc5flPADpEAeJJEBHPl/bgwAs97kCQIBY7oNS1A9xtpquOlRkDnY0/+WnjItz5BlP/7sPURYBpUuT9R8Dmv+jdLpRQ2au6ARZWeW1tjIYUdJISElM6cqUI2eXBZP8U4+sgjxWcMQ95tIOijv2jURB3E1mQ7ILibIA4uJ6t9MAW3qDdiy7wRlKbR2iotjWdihNpOPdV/f1Yj90L8Q33kRBcXoxkTuEOZkchHCv5etlQpjGr01cGqoL8z8+Q9fCXGbZD+Tqah3oX5BAoL9cSbqtctV57RW2IFBo9Wnc+H6CwKgdFEau3nfp8WE1t3a0PWTwkxl4UswKHK56c/Eq1MZ/6Ua/AAA/vCQNir/4QDrA7oJ2gRAf7qVC8AEGYZc9WS31iTrTdF4kjBfjxLtkUzXdilhvqP7Cynx1X2WwKp9wL4LiKJw+DUkWVfBMZMBkVNlugrWzQHpnslHSjOECEG6txRRTXmsU3hqzhVKN7f/vji25WhD+zNlGMqvyaXq9pUMT63gd5PyK0kzSRaqCMAja+6FZNVKzjk72m21a8e70joOYAE314Au1p4s5tR7jtXvzravblHpRK+4wU4VU4SDK+icKuxXb69Psu++QCePVJVrbx/H945vDL3jmIawkyyYeZoapGiioIyEig2DGQEt3gQImqS88hc8vIMlq2E9XvtXk6PJ9vsHRCBNkS/PQGHx5aRxUtGPTso8npblq0C6ZE9tIEq21fyABvUkDcX7pJIIHmBDiItnH5xZtpGVTqUP4U4MbgtMKEiQxQz6NSFG36ToUXV+eWp1V0O1h1/Nc/UXNMtz2vHVbKObtmji+wBSgy2XBt/EJ0BmrYQD2ixqcQcLQru2j8JCKLCRz6Gm0r49llOxo+OFkDWfEB/SHpq4n6RfnXWf9cdiWW8hRKUoV5Gz/54o3CowaN/CO+JV4f/lOSCsophVacma/ktSQG9OqwExOsm37mWoAq+iwg7HFL8QuM+HbFEPuqJZed6Y0dxXsw510NMCDvIeAV9BeRrqva2+lgr6K5Y4ZSjhV8aYeuzLLagYTUigpOuAtI7/U7v7tgaRSK7MlxiDhPupapunXvt5GiMJcqkmvB+sQWvg6WYfgf4nqu1zCvSSrmr91jWxkNPkOSEAI0v2XZmhgZ39m30nfEkWL20MtJbldXqQk5BeWN4qJhTnItnnVzk3653PZecZeC27pla7wFT1vzjZfEH7zb53YvTmnCdWBxrqwnIKm0A6jyl1lB5+zMIPZy2uG3YsC1xwjkJlM8Wfn/kLyJdL4h9BdUdQkso7LgCurEs9Wc9mdoUOtluhprnlFLCRjsyAFn6CIvRI55PSCM1xU1wLvrKZAEFDRiNeMOt+oeHuA6m7pjpn6jPm7xjzZT5TVVyC+gzUD0y1dRuekuUmadepjgAGZ6c7bU10UmCuvL5OyMLzixJL+pP8Lpm+w7fxXqXStNFrUamRjRHZHPYbUeqaCplJ+rxHCcHihly3H2r2i0fdWe2e+CXBEYzlsQcwTe0yzzirKQw21sMkfERgx6IeJ2P1FtmwMYnli+3eWJe1LyqfcQU8ssQEHjJTmPXsPx3/V0ZRHuiPqGzd/l3HgXBECXjEufQiazkAV2d8Vm+LSbA+dH2cPKexfrwIUTYjJM+05ueZbH4GKnUbwnrpSJDJ433nGQO7rkcYJFqc/pYvKImAtwBHflesIxfTrBABBScmRD+O5It055tsal9tXLhQst5U8iCHtqJ2FDs3K1qISYqCuCfadKNbu34lL4PSdrsC+nl5jhiY5mHXjzyR2h8nVa/lmNfrJuvi6gtedbucqUqydgqqD0wVyz2U57JguOMqKCCJLlBKA8f/aYGeQdbTMGpG1MEXoBmMqF26fAn6/N6h3qMQfAsW8vfR2g952lYfTjP0eHnfqKt8LomE9+mcyR8xjyp5PbODry6Tr4VVF2J9bjBavMIpJOlyVQgv4PBtDSCpOjTd/5+tU/DO5AQuQK/o+RgYsBPW8z3RDz71rHz4cz0MJqRFnAXO3X8M0+cYLpd2LUHE3uN9PouzpuFEcJPG+nMpnsUfoSyF3o7F2sbmHqkMTbsiD7TaqUYuUrPBNTUALG7zoG3BbwGDiYMG7lW04NGdwIeHOCChS72Jl3BQFd2whFjy5cOyHon/KaeY0JuaqQfM/yfUna4AJT+ygJfGul0b6qGgn2ZI+SxCP2BdFc1c0fN8g5DpyfRsYZL6Pum3ouwco1DwH8vnYxV35gAhAY8LaYxyTxS+heZLHyxUOLjjMMbnUm9OotVx9amu6gQ2j0BrtXjqI1vMkhjqCSEoibrjR1AHOu7088sRb0VyMY89yfmHhvvjDpPDSPwNB8kXIpBB2dL3Uj6g/MdX40idjhLhDV+m6xNv5Jly6ciefwU7ODnTLUPMCuLtYIgrH7WCNArg6LEVYQHttYs9JjXYFlpIT2Zn/u4oYd6+43hpkvHu20CtFBE1h3AJdzubC+fPMfJzxTXtc2hV0naO+QrqI2TWprw7DdDPVij/XSa7TAIG6c49fKavRIpnzRmK5lWf9h2ZOPqqlQmNlQcp1skjy7l/L95p2wnOq0XcUQqLAsaoOWnqzowFXjjHwlFaTpR93/VoYaf6sFeGkF2gpgbHANpk+0YnoeVPF9Tif5m9ekl5ud+ngOMVyOc4gQjdDjHvLoZxkxJNGya6S9MYYljc0y9POaPajvUHNg9Bb1KSxoIooJNxi0AEKiOHQzP47f3uP2ImwWGmnMt4DuvFq24bXF2Ye9GyRtFpTd7ls8FHxWd0E0Se5XN9ictuN8l4o1kVBXZeh/25MI2K+YdXc6idfHhhRuBDwSeFXx1ts99rzCJ6b6zxVMgUIwgHPUXxiI26rZ7JTMrJBixFY3SHcBjjdJ65cFg9m19WccJWLSq5nZq1uwbHvBmg4RHVbfstCrsCbhjKmZdC+d6E9kBuZjl3TNNSBSQsmQ71KIVYHig/6pxReaZ9csWXLdsDMqu4bLG6TEyuMcUMKZ17R71CsGF3R+aEYHflyGDPQE89+e0BY45sRp2RsP7+sfihHYSyLefATWLaq3r/0J7CNyYoiwmV9NTOj+Pw/1BOyFbltK4nnyoQ1K298+56bHNJWAUaMBr0ceH8hyjCZ8gefUvE9JhFW6QvDxkw53vI2VAHG5c6q/qZl//Ab+LbKZ524wx5zqD+qm9CWvmxS8xuJLtxMIXJ+sbi1rGVe8/71mt2uRkSq6h5/N4Vfp1hkYDhZjKBrxLRgOypnmdBRe8no+Vk8E9jzXvq5kc95imL6EcfOi7pn5l0NQjcLkWpVSDXoTULfp0Kw43UUoipzs+hy6btTVNufrxYvM/kjU/+P9ZOmDVP5bNgiF/GMoGbCKuY9UTghTaDqV9xrLdQGy7fZoaup0XGve/rk8MrsBTeb//5aveKiilYiqR2o7NjdCIoBPLPFAnIcEnpjdKBEEtxx70tcl/j0IVRGC5mL6kXfpZEblCis5B/Q9Vii3tWbxxJYU4yofTiw2Ef79nLOnrTpRu2wEoU/LQoaxvFNdiHncGxkgd2sAI0tapO8N43T4HYLB5huB7wEpBvAb+9WYJp8lTHzX8UFXwHuosJXYM8g9AUNAe2bHclKCk4iiOT5Et3fan8J1XXDPxAuQucRBVM/Ru9BF0PoTRlbm4L5q1a6YN+mVXVt6d3TtNKTYePT/Yut9xSy+AuHNVmQrlQhW528svh/9YkOuTjAnyKRljldTqIKxjLWNuZCTj6DpEo2U2NqkOalxD+/rWhClMgN7mrncJcYKBU/CfRs6dsboq4pBUofcPP7FccwZw8vJz4I0CqWecuv4hmzelVdUqYLqBOA3wlT3v/pvNnouE8lP+jnxXj7mrcsMZwrIwor4s3Dw8HDgICARjTPzJTc4arG/fwPGnaYBfyh3s+Zp+M3S7DceqdXXUdki+mRBqoqIlGNf7CG0yu78dXcf/D1Qq8ub1fzPf8H8QmTwsVTv6vwftBlp0l4XgMdvnz3aiNLohxt1/XO/A1OblrSAHJHK/J2XdGsIBI8zf5UnWJ47MtI/ktl1asshR/b6XAarKfP/lAy5Dl1UA7+n0YwW31iRkkwZ2ad5yzgu85mNYFVTdlCOYJSG9JVijvF/mAZy3C5jIdScbju2xL1aW23XvpPIs6lIZ95B4WC3nSV92vJXvKlasCtyIGjDzzeYCfEBP8iY2w4E4+Ph/9f2qrMPXwYV6jies/EBAEIAAtacgLRal2YunrhfRPeuriZYikFXLLveKzstcsRtOEehdPgKb1KqlsCPzNWq59i1hLHWgVZ2D4p1OcLsrj7cwqyKA23j0phNCW4CHeglVRUGObwLsZ3VKT6ap2aJcW4arxJFC9LCGl2uW/IDXZxeavp29xTFe3anLWhvs6bc84CjPKO58snUmOGE0BBW7PO6f9qQ8fGQpqnNWU0FLSAgZH3GY3pu9ojfY0Iezf/SBKLOXHI1bG0srVzDwvvRMnPmwMrXrLpdjmxOk5J61OqLfYoZ8ItczOy7iuwQjUvzQ5fKsRd+hUyHHz2PNqmoxrs8qdePsBSy8LQfF0LePgcfKO1n+ZiE1hBMAANLZu68oxYB1lhJ5O3Wnse53Ed4NRQ/Is859e+km0XXlfl3GjntqAqsfALvYIzdltbnyUznAWAwhf5f6zbmthzx00Va/eCYmty3QWq68V8lCsIc9h5fDvfffyzo3pcKL8CrljID3AxcllejFJW5+aunu+TH8q5zJdcObW5w/AY7hplWHoM0D27ptR4A0dl8FjZP4DJCxz/jL83qV3PYUpSWQC6Rbtnb9m2Q2/YDuQprGoi8PFWfEnfCNfsm2actTHr4DYHLq20pEGRI4ZhD8ika2fJ96EkHxyEorYm70W1jhZddP0lyq+iUviDPTU38CBwDbRqCv4qLLzFpVVoEmGbsoDH8UI62+0e67bzO8fWKUoFY0SgocR7x3iEdDNCzmKRQ/UH6unqpg0tDJH0FGQ7XsJ8fANw433qVoHLsIn12X2JgIZRyhKny0IZfEsLNpkBq0JZPUNvzIweuTjqiCkplR9SOe/4f4NH7kORun3RJGi9YGuNRyPtBOcaTcC6ClRglkpuZyCLdwM2mFexIrRd3fY44BRicL6U2VAgJ3l/XLyqnXAp8jIlfCY6zaiAYqS1CsZ6hI/gYtOmWhV8zKBIugXqL2Mt/eE8TtNKLNqg9PLmAyqbvR7dkK7Xlu0TlRMknoTFvadmk/CaVpsJZilIe78nPy/fUO7fQ1W1txQ3TjUdVFDM/M1Ha+c126jpDkx5dmQMTM9cq/Y95kBSBJS25Z+CDQqfkBGBLbx1v6TSVnL57XMaksP67oedawOYQFWnmHVX9b/56jsNIJFP6KnkwDnwocLtnFQ8f26J8K9F/Yre6ncWL8Yu17ZHoaqv0JuXBvRzCwO6LZZTkbP6VkZ1/wCB/JExUuPJPAaewuCPxoFqpdp/HoFmFh3oKXCFTwi/PjaiXebcAxbeKOMdoqNWtODM7BlGWXKn0rXNSyvuwNfMh9SW2kiqZyS+kliDaQYL9ghDsbaqwNMQ6R9SPnCSfErJyA5w1mRVNBHowtWOyVMzEI/wW1oDu4ZMicOD8q/gWoCOz2A/VhpZ/lSjVvqKbemehkf/OKg9+66+f/sseEtNUln6kD32ojuTueKvU5QDNZMJvz/w5tiBSUUijgU0ai4mgPXCvPVOiTF+E5hMloSDmbfSI2lKvM426YhtKQlPBbL7g3ov3EwfWpk0We4h87Mw0agaBFgUEGMxJOwVgfnAZ7hljh4+QyDBUv3dRuTIJxn0PXBPbFJB/ANDnvmBgZwqnZABTz+yb/8i4Di3gp3r9sHfFxpv44wgZXlrGWuUn5OdhGKsdHVyj6/jCj0TaFuvjRn8sG8hduEvM1ExwwxDWlebUwaXsjVD0yIJh2q6lMNQZZh36rIe9rceKRVHMa7OueItzoykaILKexuW/dNKLJnZq1DMu4tugP91IqqjR51ci86x3+iv+t4eEULBVypFGrxd5MdsjoPLEX8YUOv5yND1XMqO46W7Ohty51cJ+YacNJzUPx5fg6LBzmxpMOV75UTTb38dmofcfq33IBu1jTJGW21JpVwjrygaXhwsI0cTa7ukdFSuNyYJS7Y4Aq66RMzJDyGNYU0jf9/IbeqXf5fzL+Rw2H2lAhYHkRyTAiwEuMWyFQvcIs+nuwL+SRjHoh4sMA3rX50H5jb/Xdo3HvKDqSs//pIo/dvV5ScLpWfKqXkCceZAvYl8OdUw9VRVbqz4w4ppYcxspjy0NDpLH4YnW3m9jhvz18SB+W610Zj/GhIPHSfmC1cLht/s96+3Fa0eQmPFi5Kxol2jriw0KvOqngZ0LURmwCrtSN1PHOSUiCBiAN9SyRTTyoHRD+5naquobWzBQvmHajVI2SLVkIVtRHS3jMXAza2ExuRew614x6NvDfrLLyRqAE+x+EumJJWk8wDVWD6ulCwC4/hFIejY4Ut/RPlapJoqKRUXxR2T05ngRTxATB8UajSwEvomjSYbplKjOC/ZyaboVDB5Tdx+KW5YOOb7lT04wcjIslXiLSlVkyouJ3w+57ppR/kPe4KIO/tvBUFmIijzML+IIutHWA4wbGPeceqv+P1d37QubcYmpxdaSn/OWT4txlMhFpOygTdyvjqj6MK8DNZ/wEb3PvSrKyBKGBLAUfQ6BCArvjmX8liLTb5QUrTx5A3nWn8utPiL4j61Md2e5N1uaU6VUUEuJ5LSAfrUw9nX/RbWmMR0gQdGvKy2d0qayLcUSAH8VCP25/ZuwMoQxXl1wNG+2NhKNlvpKYmqcr5C79Jcy2eNZI2CMWXOJon44nUfRC8hNfvfhyiINJrHwkPaI8QoFgRErghhUbK/QjAovuJHBvtrNL1ezqd7XojA8+3CNtZekk2sffW2+0e686p5dYxQaS/ljbGIGHyeKim5blaDP+Jw1HbYs6JADoSJG+PCTX71yjgqwKT90lOZ9vs9kT5j8CsFiUJzy0FWs+jHx4imbxCWD/cBkaY3Xhv6x+TwDCt0gdxdXAFG2qliTKjFHyo7SdXZebTqZWvIrCnLbP4mkzL/bevfPGWMp+LzUKr+Mgfa1RYXTPPVHu0EgtZJsKuIo+6eiVN5zOOGuYCPmvocvraE5JBPHZB/GZ6seUG/ByxoXFHm+CU7vxJawG8/+EkYP3rWylThG2HB8wppttI7YQm9FerDM/gi1jtEHfyQ/e4ihfUeQ+DIZjgF49SLig5l9nAMaGp03OrZgz9NyKh6l3sdi8retUUhMFxviplQLKomKI1xaGecw6SJ4Azvw20j9P6IN3mhQPJz3QnhN7xD+VCOf0FOQxy8c8oRXC1G17uS9SXI7fa8hDQZOBxx/BICUxQC9fhBGbAvwnhZVbemDj5F/TKTg2Ila/vWmd0DNS8dONr7pw6LwTsvJYFKVYq4BLBFAPXySEf48q+/zAt1RcOttg5ky/itaPNJSXYzOTsjfv01RtUrOJ0+rQy2Cw2GMX1gpNfBvmcVLr7m0/+LGAiQsZCNYAMiHso9Ft6rKWGixjolReGq+yfRpiM0PDjSnWt2IwUBr1jbrUwQNcONKMUqhW44CmtQ2R7WmdtEnHl4b40Qg3m44j9+eKdlO6Lc0EqYQIHLsIn55VmdIL6I+gsJAr7DQTBubSP2Bp3IWnePcCxy53dhLTD5gBf1+zKVf4vn4OZUNJHKh0/5PuqrRbHe0VJwTNsuRGgLQPdGmEUZ/OHDbhJKsuxTx4Nj4HTzmsaYf2cJFIaSPqJ+6m066nA2SweNnFypCUNGQ++zT8xk/YlekkUzqSjwdDHgiU7NIB9k+g2B4NjcfElBzb19jyZh0FHfafTCKRz8N8YBwoQdbDmzRqU6kGqsTA3EzwcirZNL/W7muWhNXKxyHtGcNZJi2vs96rozdPwUBUftSwfrwhAU53NoGN4hw8c2RghPEcRP/4iaIxRfHRrrz8OgZVIM/itD5UN598DxXKuPycipmdpSxDEwq7sf2B2OVAcLanP9z+MVMYVjvLkV1vL/nPuX30kGxOASzXcLm9jUjbdpJckujBrDr+3Gr9+3rWMXSyZ2ZbcdHZxjpWOVGi0+dICK05sNbpn04KRynPybXnTQijxx2aCaH7A8Tdw9vvYLRh8dqROMgdwEzqeXjufR5NQD7V+/NmG1otcEGaFoHoe52sfXKst53n+8Zk+VM6XzA8Nvd3TpDISYL8W4ukEl2fbfEXbK4rpN+H+l9vYaRkcNiBPB5ViFlKEmeWqIxmWywQu+xgMV0wd/qlT/ZcgfByYiZ9n4gWVdk50r7Tw4IFGVb56o/kry0ykip7HG/ewgVQzhUkhdFvGvMgw4H1iMeDpxY4LpWa+acPaHkxUqIVzkXhPGbYTaiQQrXCLBWdiwApx38RATyiBqIKDODqhMzcYVUFw0UOUM6EKzb79KSK24B9U2bODGtooau4vbqaKM/xHE3aHkwASZOjHNwwc2R1krm9Xz0b0gESPLCpntt7OLOqsRUUubDhzCZpXl6AuFUqE5Loq5EosrpQ6lOqdBtVpdQu9k92ccEce5tT9NL6W4DFgsMoAOV8UNCqB9fnf/p+uqGwAzQNbhpoul9GlQ8wfP2zq24vxZNKOWwHvOVsdmmNQhncvZwAdIemh+zU+aMU92nePeBLiwwAAAp/YRe2dA9DMZ7iWNicramlbxvXAAJ3JDQLvoDVU2wsPhTAMUsfGHK4NwFCm4bvP3bWAB+byYoAAAAA=</t>
    <phoneticPr fontId="1" type="noConversion"/>
  </si>
  <si>
    <t>data:image/png;base64,iVBORw0KGgoAAAANSUhEUgAAAOEAAADhCAMAAAAJbSJIAAAAclBMVEVHcEz////u7u7w8PD+/v79/f7v7+/5+fj29vbCwsS4uLmpqav7+/v09PTk5OXf4ODIyMu8vL/V1dXq6ura29s7TYaxsbPOzs+hoqTy8vKampuRkZIvQnyHiIl8fH5tbm6Jka1ZWlprd55WZI46OjuAiaQe5vDxAAAAAXRSTlMAQObYZgAAIABJREFUeNrcWgtz2ygQ7uphCZB4agDBAKMZ///feIscJ06a9lLbaq+3kygyclg+9r3o2zekmTtC//OkKFlM80v07Upca0n+++ScFHcidBr+CuqpNvchJBL67vdTj0wvP5fbF/rh12Fk7k6ElED3+yXSwZVr93b70+8/ihD5dJ/zqU9uleVJECectO/qDwx4N03DVOnHWB9E2O1LR21AlrvuwEWDXmCjktx8egaRGBywBawGG30jUkiKphjGH8rzMYQdcA6L+XTmdoTTm2q1onuGii6BL9F4B8EptpIwmugmL+emP0iGPRRmt9LwBbRYZiMbcGvrhOkMhG1OjZsMPgAxic08brY9MAJgiXXgnecAEdlwYDGoH0/+qAzTUgCWnNlWNp+2RM7ZbyXL1PiNRXa2aduKPWco4hkIlZ0Wr1GGXjMHTWwhCGCKmwMR8qIIy6GEGFLyKZ23qJLfMuCHLZxxLKRSEfLHEXYwB+RiZPRxXBKLKLq4QAjWDofZYXFLjnOImiqi8kZ0tlRTfSZAJfckE0sI1VFN2xMQVohauAUWgrZv5IJDywpCSjfBUTIM9mYyyl9utP8YHZY8wlN8zeu1ez92ZLTAhOKSU/Q1Uk39frOHEPx0TUSeFvErp3qFy2WPyf3P5n804vfd+yB/Xcf3K/tTeenflrX9foT9a/oNtwnvUVnpD2bH1Km7rKO/qPEhMuz+jzLsoQ3U6tGsxhiQXDjt1ubEDTVHAO6BsHbVuv34YCacLlZL5RihciHqiQh5pClhwA+RrTl5jPwpYeyP4hiEVtpUSlrfzd7BGlqCCZTygSSGe87amy88ijCw4BevcF6nrPc+WK88Owwh8oqJjR99s3ORaqe8j9ZrTW33PBmumExgkTmNl8ku6xgHzMAPMctpgqkfpvcxag+Ja31aV1DrxuE2HXgQ4aylWNAueqKVBFBKSiGO8xoTafBqZti39hWEcYIT7UaupdbmE09zekBLi+YFc/sRqxm0b+tLtBQ3cTqCBtxBJilLPq5+G9+GSQiGUdTfkIOX8I57vzLJzXf0dYRJuqyCmChTGkRim6Vh0QfRwhL6spxTkbm8cRGMMZpoLIWho7Pi/T+5xKSTt+SkW7j5KkKF+yG0m4VBG1ks8zYmyw6jiL4soENj4WYQWTJ04Ojk8FGKH9nn+N00lGjzxYjfL8OrvjeLNDChhg7HUY9q1097++lmFD9ikl+v9fLxfz5ZDwjFv6yliS2EKGdbEnzRf0eqisWcFV9EKCL12WdbckMC2zT8iRLiNSuG6y/8PEXuQbOvIlybiWtUaudWQlX4IwgviG77sv+mSN2XEeK8w3iduJ1PdvkDWoocV4z3wzjO/bpiSnDCSDm1w7h28zi3c/cIQoQVMWHA6OLRQQXPxKXkvrSBP0+8btOt/il9jRNz0g6DDRwIAWcxBwdKvKKaByL8J/2hX0HIIy8x8CapbDPLS4XwoiX9fmpSGxxwOTqpd7sSXc5Svnjw8O/kGUBgoCIAhvbEQaeGQyCTgaAHZx5DaJbRMyV4oNRikFrqslsHqxTtZ4sZMCuQb9rlHi+ykF2qXeLcV4SC24iKlXEk1BIK64z5UTu8aNusa1Nqt8MeaGqL9Gox6IIkXnintZTokBDQOYmwSl3PLYGLyGB6GGGTcc/oC0JDrwhjFUCgbP5kE39FhhO5kdXid4TWhgLAtlK27Zzyuai4nUuR59CAPxfH8hkfbHor/nGESMwjHgsyIcLVJAEu4aLCjlDP5lE7zJFYq5xnhMmEu4n2ZRnZzFy7+Rv+4l9Wzud8hhKhYe3Zs+1cIdKzY09AiPWvpZQOMFgpOGo+XShWNzygfqLxCCoeRIjFb84xlA0L/YjaUREGQLgtkxa9Ky1njfgT1q6owzzMJ0FtjMwHQR3u/uMyRN+lssCsGNa5Ln46VYvB2DEARovT/NYkuwvhvE4rl7TRYl2E9LoilPF202K8KhPbjxpvF7fbyjMChkETf5mqe27E/3Bi+BLxp/5yyl7T5Bp98Xa/ubb9Lulz109PMEKswQ2sRvDltXnTvWY6E4bqXsx8WhpuVjHdhXBvUcLe1p8M+1lOc0gTFTPMEmSOJWzL9/rQoaWoWmpZLK+8d9dv3CvD/orwN2ZuiDDHXFKwW/sdwg6Y9FZFlkmpNaS8C+H1DZCqfW8y7H9Xk7irvo6QQNyenX3Qk15Sxh1RGt07lnjtmx7faYfN1Q67jwCn/jiId3Tdf8WXYmgww6zJ0Jt2Fr7awuC91nslDqoljqKXAcGOa7+xULy1scSUJ0o/vOHikpMYqxVT1k93IRRF54IRPOU9g6n1YUMJQctgUfYl1A54CchiPEqESyJnmqI9k5zXc/6AUDLJrd2C2iwb78vagk8ll5xSjIi0yvAUvMbwb9mi66gPKTDFpsOEGLC4EcjFhmSCQ4Pobg86kgqJEYvuNAx3Zt5rV8PaANM0cVYR9m7ETKWbbk2jcQfaoawlL272NH50cOiHdC3W6mMj74v4l8natr6BBbPd7ZAQaxo0EOVYaCWjQVlzmFvtQNoVXpO/zke2vjviHxjRFt3tIzlNrZesJM7SPaa20TY0ezpYQRlISnII7qj+Ddph1smHUkhAiq5sIdwku/vZEa891duj/v4XEXaAuu7RGONGcPKGKRljiMYvUmEBbouU8jiEaySxlirVDWzbgghvmdV4yVhk1PYPyLADS7iWZJGxymq0xpwMcbzpxhlOHAs0usBrp3Z8Mk2tGHjTmtW0hvORL7x/97jxC45p+260dzj6KRnzacRvL2oxW7FXL1en1Y3jUJVjHgejZX3nWlH67LeccVK8/MPM1fCojutQhRbaJG2+laSJkqoS//83rp0Whtktc/X0htUWAZ3pXODg2D7Hdi7emFYK79+uasrgGj7ol1+rWLk+PYK0ZzaEVxbSOoPqiYhc9LTMw9ALSBUpOZFSzJTlxMFRMtO/eTDKc/bYjYLnqH3J+uUNmAYHLD6nmDgQ1JcrPp5/DhqCOEPI0hxSqWVT6Ic41cbLVjqZYi2ZQa4CuvEpdfHLh2Xu3A8ZkFvNVki4RHiZkuaFdy4yz7wz3vsiMRU/hqc+MPh9vPTJ61/7s/e8vpkKl/wUoRubnLjt1cSvoCy+OLn9j/Rs9nmxY3p7Hx3bC7rHrJw4RygpDTNpChh4aWKNQyTPgheGUc86WsV/pyvVnyuR/ieEjGvQoCWtGGnmFfzYjw44N0QaD8SV+7i2nA+r4J2OwknxV878qfyJPc7BwWq8kTmYYQrKKDEGpcRerH+HkMYcaYm7H0ZRCx8cMA3gu9jPSCxuR73/6FYctf799FkG6/f9E/sg/mdMrnTwdmQTYfLKFEgeo0F9yGj+gFC5ZZ6JFVgRRlN03TxZNi8EOPg4jxMsWYtWcn7y7Fyyyml+ocZEhw9AxKr8lTg9akAoDFBV7Yj18OZeLD+v0sviAA65NT/s/DPACOHaPI9WGGkmAkKq8qsTRBonJ2OIuxDpunmwpGS7ETONxpkLMSRXMn0AoQA41s8NoQK9A3fhIY5w6n5G6GMIKw0y4iq1kHUVVQFoXNJJBdbFSJNEhNGXntC1clDLa9pWBhl0Wwu4LckrX8kdr6xrvnNTPoJw9jMJdARQTDhs6MgGWuo/RRrNJa0MdOjOaRiQ8LKiLKYcyEbHPMcYBAh5laQqvnIGhNybrW4pQ5BabyTTsrFthaew3jd4+gBCZNxMA0gKhGYYcOfeblYZ9V78f29DcFQTKGt1mkXAjTNrbhdnR8HmIYI1RbMh1VsM2+qBX4H91riuCU51BaUeRPZbzcDec95Y+AhC5CyBGtE7M2KrD6e3RvCp0YS90fcG4aE/p976Z8b/+nhY9CaWNz+MK7ELDm3hIJwuA7nd5mHqiiH9gP/CLsuEl0SfP4UQ5BY1P3nquQ2Dx97gTUb5KKFiRju6IZjpBG+x1NLpa4vXxR4gxr/XkbEyIT+ULpoFjvTUP2f++/4PnIaVhDNJtWV88k+6NzWEDxz7prZ+b2I8zo+37Nuf9f0Hq8k/zWi/98N0UzpFXt5p+R3h96HQ/qcNE9fPcby3FP4nhEAIpuvU7bx07IYOZ/9eZgCtiZb0b+TTB41F/tep+reR5viYO0LrC3MQnI7JwDYNyMqDeSNfO3aCHDMaH+fY3zFe7V6t2EsWbS4Tn+GYThG+SLTroS3kxiETrlvGx9UHFcKBcLL2ESCHK1Y42+ntU/hmSy4dwPgexBzkPhwc8ahdIS9z3p6Zjhp9460Nnx1SsOEay/2+tdv9TgMeGhBi019nSrUB0skC5cwHhiWTzxT8MTfxlW5bNC/a9EoC0t/gFTXBRyYDB7WueUeIY6cIL691KpOaDSnX3gNpAfrg/V7+4A2h5BCOavXJT2VNJeZSQXSx5UMI07rdY920cn9DOAEa5dmN08RtavoH+LM5Q0guJb0eTQUKrpTDGKOCkPvhFGgL5HPBKacMU4uBB60k6JdP2RCydNSBUq9RGD3c/UA4Ok6B/0stDWdGGD31bxCK5MLXuDHNTQGD8jUX5yzTX1ypZYvp1Fr23+ks9s9+G4MVxlr1sVXXWk0OnDL5c4QBp6bb6HRQuiBCqxOGmHqP8G3tYejI+IuiQbSFrLzCgTuq6ee2SIGQ0NRpMKIPxBwrFRBSgsXpUSswcLgoBitsGoeBBPYO4dfBGsIlUQueDOJZH93gHSEO9kvGCwtEKU7J6Ola8sfyIUSadK9bKZVvZtr8zkXaKsWzKWbpXcw5F+8P2XGG0OLUenweezXGHvtL5mGHN+2rFExXgMCy7I1lzBATQw1saJWMo5T3uzMMtG6QsFJi1QisouyjkWFv9PVaMS5jDHxHCBLqHCHXuDMWxMMMCc636cs5em8v8yIGoDfd4lMgnYu2rV9riQPvXi7IwGU3TPRzrAZDjbvCB4GcOCzH7DAg5MLBYRJW/yHIQCqL+AvJzhGCwAXa7XXrwFbQt1fSRb3wWguo4Fwr7vMudb3jFeGeWCbp5EUsvekgJBEITBKSzfzLGPEFx2d0uzmJxDik0DoXSkHmj5D54YwC2hDPESbuYSnLWHzJIjYFfAGdC9qerTynWGameIlxQ4QQgeDVIEm6yQLulL1K2J5WkGgqnNDf7MFhVxPyby0scUh8mfJtxUQRnu1oHTkE0fKshb2xIROjxYqauFyIaNMmV3d8g7AS58u+YGyrecNbgWPzrapJQL4HXFhqBPPDd1Hhp19FiJFmxanPNgm53U28rxoRPkt6jPoIbOtBJN15LG11tWN1Obn38Q2Vz1R3VNtMQQUMP9pgumDs1UIQdsFeqVQgdpUEou4i/d0+6sQUo85QDbSR0qvADwyrVA+3rrt1l8HrwANLdunguA3qjQ3XRfIE65jNrjicLyVdigrYhAuCZAOr0GjjdG0K+OETQ3OP/lGomPZgMw2/nS++r9qjv50x+O8JgLcdk8d59ucIa4BVB2sv4vhVQ2iZp2WrqVIL0boCM6w5Nl6auDBWLARCE4d46zP33AK7x8XKf7sug1tquSnMVFayyZlnMRz5EFgGVRfm56iYT0BuOIbaN/kwJg0SEBibmGcqG/OekyLOQGycbtIZCMNCWrqiDXPwawKmX3kFSJlWuOeY4+rh7JuO+5VdCmJbwQPXNW5bBX9c6QMhZGggVQH8NAqfgcRxLBm94aVsfHGdY65NLKJ9wtvtgqOfne1uEjX+NUygniA5lAhUii0Qq7WfGcZsGiN5KvLH5p7/GyOPEK9jdpnTDOuETU/1BNTbEXOjTiSvOiGHt5HG8pKcE55Kfnl015bkffDSLpGmcmMZE+L3iRr5T4cbxL/TVLsSl3T7f9yQeFPdznR7wlB+hrBGuq7Yr7cPhB1nHaShNHmpNNGUVv8XddfCnSjPhE9AyB2SQENCClo9/f9/8ZsJaG1r99Ndd1+dUi9R0Mckc8lcAjIQdRoY+YwVoMyBkeGQE4GqwZ1qW0XLjrAKmBrtMKtHFTVh/I9zidd8lqPL92inf40uWTMR6+rCKgbMwyl2wTsr0glhLQ2GCAQnGhgRwFNSLXzuw4R+feAyqA0nTP8GCwNutykHE4BlDJw3DRb41pTGJNt/71S9gNB3J+8YTLwcbUJwSYcU+ow3Nm22nmRnQHORYQZbDLhO8AACRP42jHwGzAI0jxEjQ2ZQhlPwfwnhTauJMEpdn8NndDNQ2uboLiZHXNTByM+OrDbDuuYNA702DMamrgoVo+uAqbmqBiukHUisaNQUl9+YVkrdYZTepQ8DaNcpJ+XOU1qivrqcVB3SLOyxF9RxRfjfLZbeDyEHJD6A2Iap47NqW4AaA2pm2obTTKpWhORUQWeVDR/5n9Xq8TgucG7+k+CbS/KQbDTau2W50XrhNMoWuE6gNszqU9hJRljdRg+D8GxN6ad8i7M+fGy6iLA6DqxTNsIpJqf6hJBUcncTNY/AaT71YfXrPiTssD+8vr6+vLxeR8O/T5v+bYSbjLDwu0MIux0P7zu/CyK8/JrcYyKsSNF/Jz6C3hl3uz23dmd5sM7aIbz+GuHwqAgb853Q90ToIX/x15fDCu05RykiHD6TWbxrpJszTfOV1D8mpwEbf/hONqGNryfXd60jpbP/kUS/C6dRGPmcEkbrp5Qfwv+0zf7DLeh4b2DhB7/5qEX4Y1TtgyIkJQDiddM0Q9MUfgYLOrh28a61k5MhDGhbnUUlPlJvXoUwm/gygIEhgjNbjBjvqz7rNOy4yli7B9W/r0QopZi3dpzDLLmc5uQd67NnpuTCsdiRriKxJMS5ltEC7x8G4nWjVPqWdp0uu6aMpYZ72cR+9a71HiwrMYrxTXrj55DeJptz3J8JIVYaoatjV7u1PMbiXWuSHUcJIOW8daPoRZreMDnfPBfCCLyUuOSccawJw9ha4waTERZDLDpKO666uDHlhtCuoIoMTzZK42iD3WKZBclqz7H0GAiJEX1Pqm+L9b1MwZEX+av26ThNCDm3ph8a1Qydc72zDjOtMZ7GJC+B0woShB9D8EF6ETR5LmlRe42rUOiEYqqiWE6BqHbxcksvR+Cto2dz9h+meUrexydDWEqZfKH6QjpaxhhLdF6tvDQ1nStcb3pVR9MPfexhtkr6ZAjjKFBhm1MYVNRIALNf42nKFU1RwNAsK4oDlJGnQxhSP2/FlIyKMXdiXOVhB0MSdHAsWBV8/inS+FjLN1eOUtHRoihr0SBCHRXTx1E6N0KOo6ct1v5vxPAmpXooiFf2YW+WBX2sGUPUBu+67Jlpgct2PHDeWMwqCc5qrwh5PoRzGoQQhUjccDm2s3Xc5zgUipDZGlCUz6MteT6Eekw+TXNoMIwmbScLMn9M2yzxuemzHzZXzLx7FNQ/m4ehYXWpFWlci9HFrHdF55boy22apU2geKd4vgfAs0l8uWGYk65VhbVMFasqytrVtjDWjzN08Rgfcwn8Sp2Gxa905KWSRNb2rO69JuR5EUoGgn6R9Vne43+/+i0e3XdxNcKLfbim43yr7P+ECDHi9pwYZQvCTfXQdP08/MEzU5HHpz9DSNT4foNv7f0S7W4nOOnS2e9n7csr7+5yTNQNCOnh9Xp6eT/s9/sD3uzfDwc44Mnh5fVm2u9flsu8fzoZL5YvCS+/L1/MXI/w2whXK8KXq+l1L+Wwtzt5MIIPYhcC3w3W3HCF44XCbu/2JgcgfnJsBRH6dyt3GM2/XPZqhMhLT3JilRj92oe3IAzDYWfDwQY+HPa7nd3x8DsId++7Aa4j4e+s+YAesXbnZTDSLi/c0IcZIdpN+S4/+ED4+vKaPWwvp9vLXwxHKY4iON73OKaWUXo7Qjw1j/j959b9cvFloN6G8NSH+ksfOj/YD5cb524YuPmRLMbSm3xweHcONzc30DCKJReEH0vyLM0wNnLr8eLWWPgAeNHbWxBekvjE+MT71jW96Ye2nTCRSMYfK+h/FOhXlJ0L1+sORkS7YeeV95fTyWAJO1bbV0xFwf1oS49JaFcj/F6pP2vexEgpttOUMIslmYm/vYGNFYu/RMw7fanZCHr+PHpuZyHk5C9HX14pLZZIBSOTl3YwVsjAe9cEKcamLOq6gH+MiayX4y5UUN/r4kKzEeqsOTYYJOlNEPL6PvTf9etFHhreKqUI3eCQqTA6jzrNqNZMaVZCGzRpSr9O4t+jqHx/4VKxMnZz1hwZbltDsabMD9kIt/Qh8ItGNYZ0tKS1LIeGFkTFTqmOE4zY9aXhpL/TXmcVuVQEesldOy/npsUgglHA18Sfz8NBTM5uUwhJtM3cjUnOQqagzXaueM9FGsY5Jf+3EX72dFXO8kn2fhLXz8PwnZcu0mIQYwjzGOTYOiXdYMcxBS4LO8vKwO8opTHB3wnh5kqEzPuhBaEvZeA3SAu9iPzV/D3KQ5CGsYhdVdINVTVRFWMlgwc0MtV0RBVqQ7Hs/l3KgVVYmeVj0ztyah6+fEBUIFQUsAAnbpKH+qwD9SoPuakbhRtS0Q5mOL6gWX6AEx7uct/rCyPgd6hETlOuTzr4ZY/Nxqry/I1N1F2jm6IYbpH4+qJOY/w2cdOnUYRzPl5+YejlXShLi+VahXZh0MXajNLi9K667ILlW9/hLkP8j20LQDhK9J0GGcu/TTUgZAvCWjezOz5WnxAC5AE0EG//VOJXR4lfOslb4eWiySwS/nhzXwKd5ijxi9g7Fz8kPj0fQJ13YD8Zj4Ur/xyh0XRDYB5uOtQJK5zeuIEYZVidXt+XYuX70zVRm1ibN8aS81kEn72Bo/oxH/8WhMPY9x18XOVwU7CGG+Jk07RNp3BfuLuvuIj2QkjSJueufXpfOUpLpbhJ8/5eRnXRvLdpntMk+hGn47gVTdqGKaRkMZWP3DuV+yp5uAHxNCUw82+S+Pon60kOowcVqQm448fgTYH7QXrc9M6J/q/2IfmxDwmLYhRG/sJ6Uh8c85sFHI/rGQvCgSgNE1GVtAIhq2IVmaZZ94Ynd99J0PeEXmjONRXOdw9UEVT+nyW+Pf85sNr1RQt4Qcg5LcpF4uFRlx+i77tUvIv1VP9f6wm/TVzSgi9XjeiS4Wela2eXEerLEp/zT5Lo71LxIQ8/NX+Vh6ffmP2AcMKd25GElD78r7prUW9bhcEfcRIbsLmZAoZhN2vP+7/ikexcnMbu0m0np6FrmhB3sYrQLwnQ3/spPlys9fXNJVwZQ8H77EbOxagUR3bAT9ACtXT/qHa/lp48hDUJ81go/PD+nvL7+zv7FPE9+W/4Sf/I0pzfWLE0YOwhyIsh9o4jPeiiX3rUUvXIPYh3o8X5jZXT6j0e1o/TEX6OVZQ+sTTqkYdg7o3xL2+seW1Obg2XhfBOSpUu8eEZ9s+7vp5zDIXmkjiYvTllN/TDPD48B/kzxK/KR7VqnIcL3Uov3kW1KqExlXUmJizvzo94uOK1PdaWVnflS39tSxmWJYWvuoSo6Oi1gSP2oTWPR/z938JDJgoixZXX9gkefgPEL7/o0wjmHQnRM6uClqE3zyvh2hiCN0oCZUPo+5gOB/ELxK8f1zCbuNQNiL98/YqlccxXggjvFQTrOspRwikqGdmlkTSv3j0x4otThfX6Q/R0zAlPaPjciK890cy0pKqbEvmeyOaE+M20+esSH35rCdfHUAWSUuyxcheSkJ8R/yhjN2H/JKHadc2j2p2ra7PrVyyN07x2G5Z5yqGPn69yP2f0xDpcXRyPHWxgpEY83N1EJ6U8osX+/0b8/dcRn2zq2UrVpyukjx/Dv+G1acFVK1TwwgBaJPPZKjelD56H9Zfm4YqloczzFIYcI9KBDp/vVHg4Hv4NW6qFA9APimHlPj4i/vpuk+fEw/lVe7eyyl3Y5x1DNlIlHXOGv8rq+7Gu8GNaPV/lnnd7tXgXu/vXnjbu1rM9o0XxuIZosdCNq9yLmLWOFrdnSM1t0+mU1X9k9NR8IXr6JMbfXUuIbEO3DH4OK398hxj/dxB/tQLPvLgF8q59mzxN+cU8zYW+4Sjhbr5yNbKon+JDRZrqUa3Z4ir3bTfm2pbuotmtWZp+xta8+byK0ndAi9+IgA/xnH6sJj7gajrcXODx2LYtNk3R7X14WsR3pPIcWTDwIY7McmbIfcaNsvDtaAw5D4n19mmzGLYiBSmadl9MWroj7SEc+sN7fH/v3yN/D4f3w5AP5tvkvOmXct4thL2aAxYEzhlLaazQOvAhD4d+OGTccTHww6Hn6JM/pS1tY2S8d4OAGH/o88j3ZJGjVlFHKdMUGXLxIT1rzrt1Zdmawm/asQBGtEjH7bxREV6ZY7E2I33oxfPG+NsPsUVlQk1gDKXg/siJ5FUY5DMj/kRHe9pPU5koCmdTjzExTMae8z6NsTEgfvW4BpZmVy0hPl32O9Zji487hipj2nJvWioE6Kf1tq02ErmCvjdaEHL3jqFqaQ9e554V8dt4XVkPJCwVNyScKY5Eh/sZAuY3nhHxtztzdRgrGxxDqknMgYUUc4qD4pHDk28yD6s1z3tlHn74Y4xaWqusqmiwliDAfe6l467vo3hOW3pd/PhoaXxZIgmSkdt6V0EvKO4pq/98eHg9hlMWo/RtTYSY6rRN5Uymem1Pucq9KKGKigAWtvtm09aRF7KQQoX/xacplsfwC5moJQkrwzhJPA0w+QafQp8ZmBz05zCb+LDyAdMq90I3rnIvXm/uHkOq7Ua3WrNgaKsU1xJJo+RzxvjLY7jw++2z5ryXJezMvEBZhQXM2pNP87Cc9241502/kvNelBBU0jWWWopRRUuy3girx3ypuj5T9Z+2q5Nd827FdsXi9Xdbmpo6P4QE4XA+DEn4wxB6eCqfM+e9rKVGM2UVFWBmWlB7bSjNp6z+49ro09w29Gnaxeu9/i1Lc7zieP7woZkoJrdL3TAPm/szUSsSnipZj0Q9l9N5lo88RA9qOi9+nI5pYj86vR7JkPAh6j9AiyO/xYla9jFNYBGf/BOlAAAEkElEQVRVaa2Af+bqDacud6IU9UrAo0QWqj+V8MFN+yIwHk2ASG7eX89qwnYhu8haHUcSwLsl3K5I+AhvbQZwClzGAJFqjEMPntql1js/LUaDVoaBZ85Y5hPx/XONobKUqr2iG6X9/NN37sx+siV75GAWXtHq7jGE6KlbPgdcv45lYv7bdnHVtgs2feXleiWsRcRXB37zm+MKaYPVbsb6TG8vP95e4MePHz9fxicvY/f47MeftVm2y0za1BYfC/zRC4NNbbrOGmKtqe8fQ8XpzUL3uMpd/gx4srL1jL+8GUWVe3t9/Ycb7ZnhTrNXqxn/jTJCy9QtO8KYcp7ynF0Q83OyBb/UpayRJy10Ln1xHlo6cVmf2yhh/fZKX4P3IfC3f5ScJHwNRnlnY3T6VfpX9/PHX5PQKDQz6D7m2cjCPbuLqdianHSgLAc7kYrdo6VIJLghXUtZfa2l5Vg/7AUff6Be/py09FgC6u1levx7WrovjN9b7/3Gz/W0Kpw8HXppOi02Bn1MvWnuHcManNAc0kHlTEPKA6+2J5/GUQbKyI7nMUeHwumRa5FNP/TIeY4qfmQ9n37SIwU6HXvgkR5Z0en03uVdzS8SLlqaLWk1TLpLgxcW8F9gbSdkrbpHQhY88nmrqN2AtefL095EaxSMJmtISUVdIpkeDrIF95xuS+I3rZLwCYBVnsua7DpZEWqbsgbfpMYCIbuuK8uuhOu7ElxLcHJ1B3602I/5rtIgQeHGXoBAqXEDek3azfzs9ocz1V1dIFWvR4OzvXMeTjUEyhqj390Wy/dMEkoaK4hLHYtILjuwlLnPMfe6yf0gA/K19DEFMWBx3uDMgPQtgSE/ekixzADfSNTXh35c9mljSGUPgVqwvGcI673E+9+eLQ0MKRWe85TjmdiOCAtwf/QOdjvSZlkh73bfY07gi4i//bC/1FqvSuRhcQy+kdkaiU5dMGVIqWVcg+wsMAuzPnEt2wiW18H9wfWqj3s84sh5djRkxkNke4676J1yToKhSM7F0OL9by+WJuQoVYA/WxZzCecNPspGjxzB8UZC+rGSTH2W8FgThpwoYY8SSlKCfa47rAs1HpY6fUwBT+uxa9uA9tXbuhrLKG8bjLfwiDt1BDQDXpiGNNWONHWJ1Z3gQuRRLk2Hr2E+iNl+l6qSFhS7MIWU9UVLPQT0l6z3xluvPUygjbrRUn/jnhVra0/TfhoJM4gIcT3766KcJL0q7H3qKS+97cfK3+X52hnWzSTcLnNEN8Yqb82FT8wIMUYgpv0oofRGXeM6m1ZmFg7ZjhIKFgoSkmKCcwG2L+nKW56UTNK1NhvrhGCeI3UEZ1TIBGoLGki9FgA9qaPOwHOmmIchVT51yilDWVDlaWPWXEJwsPmm7aqKy85eybrD9PTpwDmRziIZhV/w2oTRzF01PNm1AzUwN180jWNIWxIZH5BWoM+utxZsRqYWzI6GqRQHBTMHZlpqqePMgb1hIR9SjNzzREkcAkzYrAde9ANPXKaeg3XirlwaQ4gtfIBJRnv4j+x8nEvdXuYXaZgJhIPhuvJp/gWkdU8BdYvnLwAAAABJRU5ErkJggg==</t>
    <phoneticPr fontId="1" type="noConversion"/>
  </si>
  <si>
    <t>data:image/webp;base64,UklGRqAzAABXRUJQVlA4TJQzAAAv4MAbEFUHg7aNJDn8Ye/e7UcgIibAox2odvW91n+hWetkbCeC1k1Ly/4vWP5h78TmZNpeaDsm+v/PXZLz/X0/7S62bdu2bdu2bdu2bdu2bbu77PP8/0/heerep86Z1X9mojqxbduDXWzbbMW28cS2bevGtm3bzu2o6txlnxM7qZpFVcfoc2Lbxop3wqpVrJXHnqlz7qqTWsbm2Gat4urtnDyxtvZoVdMnTna2bdv2jVY2V8bYnjq5cXbc3to0duP5B0vb5tq2UzHvWKvsGtvw9jY2B7vYtm071bONax2sqlOr2Lvx1BkLtG2bliRlhm07Iu1A2rZt27Zt27aNMN7Bvffp/1CaVdUsGyExkiRFksPNwzvYEX3/1uD/X6fGGf7MfxM2QU5YYgtV4JxsrorcQ6zeInVB6oLUBakLBFJvY0/tXGJ1JO6ukwI5AaaHTNkY+4LktpEkyT72LJ5FiOxMZz0Aq/7/y29N+d/f9xzBnMac/wHOs+77/q//wurnEHDbDSdrdyex0EVy1zRS8dWQ56K5u7vLrnjlFNw9cgDTsDaSeMjO2CFgyVlIm4R7ctrqjzQs+W44cSThkK25u1R3d+nWblzGJ+IubfV9Yc09uTtZM8md9FAtukW3kYZWEhfJ3V3GbTesPgm3xUVyd7c3Lk/fGXfrrjvhVijWtqNIktZ/O9aINSAlfVFQRiVU1zDPLDOn5EaSHElO35/fzbZb5ByjAABgITn6yXDtM/bs/bNt27ZZ91huzzZqu2ezOtS2bXtXgiNJiiRZLB/FQDVU19wDlMkcGu8J2eJ+KN6CEh+GwwchyGfnyBL/9DQ/lPjHHrBzxCCpAPNNJrcTe5yQMWJeJeqvEHCV2BFm/wLhx2Gb7+cRF48c6CbAtjK7RRAnCfscAaLNesV345La0UOmO3eZ7Nqlcvwn3puXaLI/BNwh9jzYXpi+2U8iLjEKw2JIG5gdEOQoIdMEPRVV7ieem7fMdh7KHTdrtXHRT1Ti2ivy6BYEduUd9R0VtdC8KnrOIsGrJy7qBHkWyk/zSyN+BvFrIzDJh7IGzI8FuZeICYJ+J/L8LrZ7t/T2H0qZOmumVdFXdOTRLfJWKRij38iko7pZa42qttKr7lOSof0CVe09Lil1yiymhw9CFsD2sTVyDL7E/w3YMg+KCgg7mdxJ5CXCnkRhF/2TR0onToUtWDXQueopMXHnEajqQKHRg5Q3drZJ8V+/uHj2iDrnE23WJ+aHjxROnS603dTMk2ugtt4wS+70iYAUyM1seY9BFzvMgU4CklZmtxB78rCF1jnNfCV+8ZLH6k2N/ZvOahXD+EaqOpR/1HGdrNpBk1zWbRK9dHKS+bIi7DPfW+hQsbZiXY0ZHGn3RvL83eI3v8T5rNj0mJSpPSYlaR7+WRDYAS5xqaEWvzQKg2IIGpkdXBUhUzZR57ziu3HLeuuu4pGTttKLQUISVXXjFayjnm5NwYtWyZ8+uXz6siTsC0ReZHY7hG3QLa2BV68hSd0RNEqEpMacskns0qXFZoXafUqW9LkToUmwzYZY/NYI26MA0pqXF+xeLdhLmbpotmXRd3Ti2SVQHfuMSZpqXZU4fZH2wUMsDx6R538I+m0ixpjYBbYLikqYxvmNoQ/SsZKA8CeEzMd+99Fsy0p99IAMXIKk2MCKf+gBbGKQloPpZPJJIi8T9CQKPwFTOvHjd/tOKIKqDhwStZFRVDBmkvmOQzy3biMT9EUiJgU5zGw/hHUwLUQpGT6LSN//T4fwy4TMJXDt1mX1TC16zsoeRB9V/KUZUMEm56QgbfmWKyfss/bXkMSFU/Aa+086q5X9oKoO7Rd1UjurbuAk17WbxC6enGR97EMI4jizmyBsgmEJl4wsX4op/kU62J7Q2WzZufGKekjO4rp9E+h1SIsM5YSFQRGUDcwOyLDHd+MSpOKRMxl2t57BrtTbtSlk4Wrlr6oFOxRlsMilCgNfzsrmuJ/Rf9k10qFRC1yyIuhAftUASnwcIVvmQ1EDQa9g9xAxbvFzsd17jF7qlNlpyLD3FZ08QcnTFukc+In1/u1j5rQvTOwG2w1JFZvG+SOhboHBfoyg3woyxj7YMfoMF48lhk3ijxFsCSTlEHQwu/MKCXrSIWDKx38Kn79ooHMjT9hBgqM2M4qKRs2y3LaL9+ZlZBtCJi+Ohf2Q1kGnkEvN0D00K1cK9HSs9289JCcDhCcJXb0ReQ06bzJg4hKzobMWwmZmN195CHtnL14y7MP4Rao6jG8wQY39mtxXbxK/eLoGGfZDhcFaOMjWT276dgQgNkVW0NXdvfFaOchxw4ag34Ty/QZKXG4UpkUQNoAYeDVCpkLbfdPPVjJy0nZa9ruq6tYz6jEpqb9LVejC1acGfPm9ucIJwbRDpwy2ufSTgf7Cg20KXcDSjVrFsInQAPIXBkj8mhAW+VBWg+kR7G4Z9vT3HaZ0GgcdTA32rPvw7KOP9zEW37/bYLofAJb5/NZQvz8ApCWEvpbsmdOQAVG7qUVERv8J2+WGRfStwZbcGgQdTOy8wr1xiOHxI0jh81dasP/uBVc8cpb11t0c79qGkMlXA7EegnroFnHZyND/DwGnWYwO/WMH9YrBA6Mkz5+IfBXKRwyI2DZ7mpA2M7uJ2BMS7ElcuOS5alVz36bzmtmwvoGq/uBV1NRvEnzKzl487EMI4gSzmyFogmItnGTrIXQdKM37wdPpAvI3lm+v5rVyExrkpw0F7NApgrSe2fWCHCFkysYu/uu3n61k5KzttGLQ4EhVI/SUlDXYqZpnysd/on/yctgbIi4xuwPCdijK2TImfh2BjonrZVhV/JoU/4/MCS8DrQ00hauoMd40gP0wQb+V3eadl8pBLX0aB6B/poovzfyLPxjCJA5J9YSrJmJ8TlHkfWK/e/v80ibPmm9e9RsZBVODPU1zLaqn/Xz/1nP6/lVPCEU1DOK6w159irg4tANI90B34Z7BfYMSsyQWSgSaIBVTGIwF3bcI5HoC1y79h0c3E8PjByNHYXO/+Rb9MYItgaTs7d6UyEsEfcHh0++3iHmLxfeUlERQ1UGDo6+vdMTkZ9dsZ7OXW7rFtwnDojfROfMz0vGrzBazBekm1F97MswS2Y6D0r6UyRfsWmheDOcT3S8hr0P6LnMsFJN9jXPXgv3pFvgEXdTI/ldVh/WNwj3BAp8uon2IF2B2MwTNMEywYsxEawopTNf7wn1xXJBuE7mNq4YqPv6nVYuYtzKC/bo5FZeZcT1Q1jO7/uII+2Rou5n/7Mxk2N15RD0nJg11anbtfj/d4Rav8MbAdkC3DLYx8ROBboHr3zdgI0mNdcNogZTcGZRG128olPTh3mkL1E+WPiI9g3sJ9WNoVUC6Q6EzBsZ5hL5+/jY31LGyBrLtzMyf+JXhH0NZBaZbsLuIGLew9p/B3kPpkxfNt6ieJpga/rVbaF6VPnkWPPZ7D2sLQsZXDabn42Caz+8MdY1cDyiFCa4edAVuCekB1B+4HxvgcmsfUisc2NcGd48oFGRabZoUupeEtQnpbusXMRvHoJFp1PXxZtdLQuJfkBdgusZ8SfxtcNJQlI7F5I5T3BuHT7/fXWuwU/P126yqgwVF7TbIKhs+yXbzbubRZL9sCPuUIEdYODDKWrnMqI6JR9cLqsdYtZ0kmjzJGbUD7pXtwH38ytwiaAE0DfdGRbpSddxWLQoB2rAq0mKNcfvVixDQnsjzP3fp3j0IfiqQVpojHf2rz52Fm37sle2dP38kdf6U94pNLX0m4YZX1eG7rJ7U2qfJZ/lqooj2Ia78Ww51muw0W9fE9YTJFpVOBbMZNY+6BnUP6rM9Ae2rAQ89SWasfalQ3wnB7WrVpoiYUdc84pi6V2r0p5Y+eWZ1ZOZE/NKMUSGtY2G/YIZHW9AOzvz6Kx0xaye1+BVVDdVLQtJwx6aouatUj/3E+OjhcAKnyMROCDugLIdJjP5LoHtokh3aDGhmduhsozvgPhBskuBs4N6qQOfo+gG1yx0t3FMVq3EMClNC/pfCqZ8PeHQ7Jnefp9kXvzeEYRzCKjDdu70vc4oi/xPH3VuGew9lTJqN+dqeXSI1fH8RyfpdZYZ7DjewFovvXzWYXihrYJL/VXrJTaSLdMNOoH4AY4QStD1o+5Eqkc6qA6YkSe1hoIPquzGjduqhSgYFXap1kv3osRk59DxTCDRzgYxDWWS2JX7+AtjkQrcMTBsT24m4SNAXHKafyvFTkXMXDXesZhpKVX9loZUPm2S3aZfgtUs02R8N7IIdZXZglOvhUqM6Jq7nYXWOyxHRcdZwH9tYEiEWCBG1jp7R9UAJznlDlbBzdA0kwaVCiRTpIY1yB43aReuacQMdxO8tD8azS3D9c4Kw3gzrPq8R0s9dzY+FEFrn/PkrqfOXLa61d3Mlw6vqcD7BzdTWu8lnxWai2xMaQrzAt+ClkAxrw5xs38VEyejvoGpTIIT/Oegi2tFN2hhhhEzQHNyDPavnxaCWhMKCYiXJq26oqJpBMVVJQqEP91rhvhPcO5o3Q1C71e8cA5KP/05OG3ZeXKL/swc5YFYnLAwK34PZfkEMj0bA4g7OPLtNm8qHzdprkMmw9xqfaMNOxGVmn4SwcxmHJn42mKxw84CePlo/aOigMBWPBPWbJbECrc3/n6FOl+pRKakCu9W1hGUJyQDp5rDmICipoR1eieqvnMYUBhowowOmsOfME+qfgiZrHbUflA8SeSPhK5eNb69BcXtMjsJBzv7CwQ6DOBRVEHQJdpcW7GVMWjy6DHt/EdH6lTlxltGeQ5x3btYWz7lqML2Q1MCggN+NiK6Raz0yIQ+pD+65bj6oCjSN/nhBPX2qMFin4g41Pw8JqXDQhb9kx7yE2sZo18GUq6AjdcA6KP5fp3DPKLT6sTWWMfq3aLNerTQphgiIpkboNKSJ/V2owuBioSiFsO1NZdh3tug5i0Y6VDLsIQ+3iqETv4s4ZgJSGyCI0bv9L+gWo4SoPmITYuB+2c120fZRKKXH0yItqkgH6wkaghfUN/WnRtcbStqI/BYV7iZJtuPlt6HLhMAxNwPkT0hDmRMXaj4rNgQ99SL7i6DYrHeCoInZjT/2ykLD7U0tnxWrWvtMuqyeDa+qS++yRnbZAaZ2e6sg7HNXzuRWCFpOip3m6Bi4fgLX66EdhM6eDfU1kUJqGyV96t1Q1AH1AglmqYqNdF6FEqbrlZHuK9QXgn0HkSncfRVTNMZ0CEk+nXv3qPZeTWQFHxBbmtcHmw1xuRlhNpTZPsEOSbAvIvtNu+073MGCEhn2SS80taM/MuxM7ISgE7oVsMwT/+uBLnFH3x9IQidNCsRsA46R0qohWnDrhw6k6zc5rh/OHe6FsvQPLZ2S9gddoApV2aOOkUCjOmAK2uoF7NVUkbpH/wT1g2GBQC/77yUh66ZqFtPDh0BPUpP1/fprWKxZ9rZIsEeZ91n3A5lk/QKFlyZsS02LSQ5k3aPI7yyeU7B7z3Y6H8FviOgWuN4+MMkHs5ewnMoUV410ZZElsXCfKRxaqBQwLUgToAGoL6orCUbjjF4AaDvXA3f3Avesuq/674F66qC1q8Cu5jW4pZ6PjBpRhTvOHtqP3xgB8aT14l17Bakf+SFkluDhe0XfjuClv+0jmdhOxAXCvuAw/ZeaQ6Ptq17jE23Ys9+0kWAn7NOC2H+3EDTMT9dlbapPgpQL2rlSqN/rBlW43zT+7S7Np4E6Rr4e0HZVqH+Y+HFGv4FAO+wJ0hgdKTVHP5WLqW2sKbhwqF8K9DX90HY1VOK8CtfLHTamLthOgq6wBSu1mNkLgp7CCH2j4CDrna6IyY1asOe7fHXZezacT6SqS++qelZb70m+yzdasJfZ9sJkhkzMGShddwiqYbAbuG9XQ43R0wcUs0oVrWlsS0LAhj3+CpNezyEoIdxPuC+oGZJLkirYSDO6NYKghYqNqoP6qaK1ZoxlPGSQO6+/S/Mx9+C7YJeWtYIYGu0Dj3kRI719+/WzkN7DfmIa2Jl4EoJOKCroJCacwGneHDz69UBtI+0JT/XBkieGu20H1BdgkORf5/D0QApn6a8q0iw9+jijOYDLflF9UdAwXC3UQ3UDBiuka+pX0fCTYK0Z9HFbMMWDOv/e48BwhUDP7FMPydkUbo81JnyD+KMhDOPnDaZLsC9JE3bdD6TMiYsWm1UHJMO+Z2VNmGnDfn+HBJMClPWIrpG5YRAFoXY+F6h3m1BPQFOEiOZZoOokkC53AV21j5L0AXlC/VTdDMcfWxhNFeqZHlLd0IO2RQW9pEmDeqcifWJlmQTLb1lJLVNqHR+0qIp0shrOONfH7G671hoVvcUnsd5/CDCpZ4l/SINlLoSlYL7BzHZ5wr7UhU7aa3yyEC3Ys9+0W8Qx28gTdiY6b+Bs4fZC6mV4jUkT4lGTL9o5D8HzCCkedAHpymYtwNE6oP0odHavDrjtdRtlLCYZ0A0FBmpDGn316T8ik3WK9Ixq9c5VpI9TaAyQXitquDp5Km1CzMsgXVxQz/wLMw5/Y7gk6ybbFH1FJ3HdvggN+hSKybpGCD7H7EZij72ytKwNMN+x71xVl951teRXX1GGndhTzG59ERgmYJOjc2SewijcgVaoQ6D+R1u2m+uoc6Rww2XGw7NeoYp0i0quX23wD1BFenIXY5EPE2pe4d5QGKeZwcCWPQ/vTGGzQt35U09tfeAWdfn6dr+g6oBpqwkfiz+6BMwLUeR1zbUo7nFZXMRtfWlpMHnrhjL7G8EMacG+fe2mFtKy1oNb8L9jfUPqR35ieviQYQfTeQiwzeNvR6BzZmo8vC0vA9q7vmOymuSW5CquQ3VHOPsxJXEhrW+R5mk445RGhptUUWVJtWPi0tGWVZta7TDQURXqH1ZMajvKLRIyoB70TuiBpqnJZSyY3svo0Ygd1S06qFdEZHBSH+L3hDBZs22XJthdRPxXWtZmtGc3SYvNqkDhVS8uQf/hUctNirLHzzLefVj3e9XALth9ZwtJLVsW8Fsj+ohdY0y0nYPacoFwvUgLcNfRJmZVMQ1JRo//0HOpDpj8MaqP906tsUNm1kGhhqpGKyHxk5RFgZpWkS52jgeRlqvD3YWwYX0oUffXdv5Zz0uqOZCMB+HjAphO8OplwLCojp4TB786w14dbycg+AYz296bsP9fC/aZhlLV9emgXlbVkEkOG3cJXb1Em/Va0DsLZj8LBy9yflw+ojrlHV1/AC9GTupZSB6KxpWVRlKDDtKr7iQOqpNkwg6rDYcRr/kII3JZqyKNV4uUjK6D2seEl978/wJjGuPWDuqAl9NWY1xgyAHVW3OshB5rb+oSJqwNtE71p5r/g0GdnZ8gvUAbxio9skN+wmQagP6AtC6XdZtQ+S1bEXRgfzeRjYXOY5B+loV/3W95wgbYhy6rZ3euqq68g66rZXX0bPJbtknm7MnFs9f5nfXVltlOSCUZ1Q1z4uluQj1mlNBKagYdAlWijR0G6B4hIqxhmBKkx3BfVeEenVN9OCSpMQ6a/WEdJFCrXlMNRBLMmmFqm0RKzxiHBfdEFTFOQW+h0V+pG1bMKGleB6N1q1DvCXF1jJvaRn1qzEZM9y2pIl2ohkVaNugS0lO0E0TZNII6kad72yF9E6Nno8r9NNauOqAjEMA8zn/6e9iFQfIRFvYJdoiwv0bA4jH/f3abdlrvJT24B73HRo21q4qdtUjj8I8MOxNP4VbukJ5k8y2QiVMN9+R7RsON4JTSnBAGVSpH4JgK94KQUTWQGmNgdr3o7lGFVaeKGoUSIT0nhbXma+DeqMuoPQSpMeoRDNqq+opMmi10srO6GmeX5OPmlaXfOwZN4a0BRlZ3bg/SRSLeIaOa4XrR6vDC77YeiOnfdi51CcjfW2W4Z3fn1Q1sTgzAaDW8aeFPhrBZA0XlUwj2JW3Y1++AwqteKwcDhEetNC7KGT/LZNchrts3GfZrgrIWpgX8ikhmIPV84FXRmvds12FQeCQJQfuIVLh5PEaOc1nnMXl0ikThNIb16g2mnMf/qA6XP642zmuNCvf+7VvoUZAmVdT22kYkWLZQX8fMd80Blwh+Cd9+QGwPNtGN51dGRhdAMuaHt7bSi0ATEZiC8GsZiypMezwo3326e0PMBQn2nS1q7kJrA2eIwKjDulnVgyc5rd+8gwT79TK7AexHYfAAlxJVdPPo+0BlaD1GbsNFIj3as85v3vkltLQptcJBg+r9123UEOzgPqrHwojcrbq7edVPqQPe8R2g5fdSGyQh0oJ6obL0HeTYstdPUVeTHBM6953bzeItXyJWAymm1sln0sB2Fdg+ASw4yXzV0H/i0S34Li7szgAGK8ZdsIThYxB+jtm/yhNWs2taa+/JzQyvqq68o5XU1aMpYMnq5rbOUp6w0F2n87K2TjiVLiHnvqB6UYME4yk1sLavbv5/P/o6SDuXVM+zeQxLElCLCveaYJvaUZAmVNChegvtqjYJpCXVzSqn3IYz+CpX4qISNIVbUudupmV0HXgydcCUJriI9k52bveg85gmgjeVGjPqxD/hMqMwfBDCrzJ5xGr61Q2cONbSZ+Ik88PgjI9fZ+dYcfFfROx/7kFofdFJ1usI/N5lu6nZr6iqB/eo97ikibZVcbMWaR4+7FNQgp4k4goTT4H5JiRPsGPkiR/+Ap1/EioZXAZwfPeDiupuXhyShMh75+o11UTZcoEaY4B6Ve+qdUmN4Ab3RgdCYT1DIpnBnVUPqb4L6SmMKxrUBaLUNtAqFTRYd0SaOQS3cU793NH74NQTgpoxUgRSSutIEmkH/36AoIUvOCx+FmoXLoFM+xvrLyAThl+PyIIhrT3bJxDoDYKeijL39W+tNi48uwQnHMPjhwDvvrr4+C/dB6KTh/Dbgj1O0G/ea7w3b1lt21U0ajaP/iOS8Op+DBgW/VC542aZ7jzEfeuigZ2QCUHuA/OTU39bvUzYamMDvZ0xibrBTiYZXd+gs1OXsGKTZGfAkjqg5U+p7z8gpFoVaR40tWNVzFA9RvSg0IN7qnqUzXxACy5mTqFmKFETqsgFFe4hwYEQ+2Q7nrMVzIak+piEbLimxyX415hC8+bgSW8//d/gtHfwjd5AoFcISZqizP3EdfuW/aZNA52rD7gEfy6ePYTGXZAb2DmWK96peXXISZe6YDVqnqs2DXesvsxRVYcMiLaomsGTnNfvErl8cZL5kmH/r8dneyzT8eeofwa44RCp0gnI+HUfkoTBBOmTqquehpTKCU1oGB+izlIotJoRXDZUoTa3KvzrYDdw5ymx07wf9IFU/HqCTqnnISekCjfCfIgWCuvVeoB47mFO4lJWqaugXi+pLaBFksYMre6EzroLALGVkZOEzBmDxvLgkfbBnxJmLBpv13yZ4/Y23apIf9/uYxiYvyY4XK54J9hkXtOTH2W+y1dd1Mj2Q3XtFXVbJau7e1PQ4lXyp04un75k2CH9/L8cme4/CY0qpumqoJ5sCvfg4et4sKTm6He64w1XKdTne08SKpWpDfVbjj4BLXWDohoGB1xKC8F3dd/xIS4uW5mFu/9cFMZJgpQzqJhT9Wz09s52x+ozsZJB2zfYm+WLPiMqrUyOHSMKneKvBTHI6H4BTBP0lKXLp49N2ot6u1Y9JiVuvKJgmoqgv9Ut8SKu6qQfPB3r/9kE3n2werpVjl5cos5rZuWNnS0hlgc3GXYIvgXdJ2CRJ/5LoOjB1cfeaGidRuLKt5PUfRieAZkN0pIOBzOFwhHuqy7igjrlKElieoBHmH0UUi11C8WtWqOuQE3sXkV6VH1Gb6EiXamcehKqeDix+lk1Jt9yYVPu6nA3twvqF9IT0ARaFS6k1qk03w3OhPi9kQWf+tkC2CvQCQLukIYlJnzllOOGXdWDJ1MY2i8IpunlPntOG3bnfJS2hNx8EdwaBvmkQ5SPdJBdjzvz7/RWKVhH/ktXMT+4Ca2niLhhvXG7BosCfm1E0ZOxPDvnJANokkIySbBKBgUtMLCToMVBiRTpYrVJdtvVOaL249cxaqcBdzzUZUW6RDJp3sBRxYOy9AOUjHRNXcAEJ6HRPAN18QiSug+vPu1SFkjJUB/V5Qts35rFJwINYwnPqfo06oYy6W0XP43gFj76eEE8ycjlSMYo8j7rfiBlT5j90MaPsb3dVknGnJ40bQj6IpGTTA6B7Lv4b0t6XKsAZ/apheaVOvEijII9AulX/5/LXKboampcnGqdR+oiUgdmh87OnpA5hWAD9Ul3TDJMctMq3Olq6NOpzIwGN6fbr44ekt4214NW+MXqEiYoyRbqC8DtVQW11yBPFPWzSM+gvrD0U/X1QGPLekygM1gbt0KlPPmqHDjJgUkCgtbNZ/QkoXNGFHYxPH7t7Hc12r7qPS5x5xG49Qw0mxlFzV1ImxlGQmcYOQbyr8uDYQmcZPnspJ3RA9ZVDJ14qxQ03q6aGiELK4LtakV3XzvoLNQz1IGqp9YtUX1yhBWHAvWh9Yb0kMg/SdXJfZZC/SPEJiE57EiR7tzkdNQOBR1TuE8E+9TbAKpi8JYpeSPdVlkSwSUkOVKkKdUDhLvVPUUdUAc/kJANOrx3khsTO5OGS43OD2wjiEEmRwUyRdBToqiTygW19mm6rpYN6xu5dw/6iUqaa1GVOmUhtUJMhCwwchHE9o+Ebikc5lLFSPN5SLBfIyCV4d7D8Kcc//ULocnR+Q2hortwFpet/hAtTk+P2tBAU7ayDi8q+TTQhIrVnISW7KxCvUIe7WlNt5N2qljVCU4CV4k5dP51hoO2qwNhdUJSB86ssjdQot/ENdCTS3gdclvJRPilEZgUQFFzTUD2nj0Bd0xSYbzSEbP2GmQh3btHg4REF1zh6FmW23bx3ryNbCLgtkDHpg6mC5LKTeXPI/SlnLvL6OgxN9W6CHxnxs05eEV3VUUgHW6NhA/qa4LZPHTecM4ZXb8gtC71DGpMMrmo51WW3iEZ9KknMDU+jQV9mjwCSUZXgLRdvQJK/PXOzppvD0lIUXB/VVBLng9Tp11zK5EWgW5cEo12fTh40psufjVg2xiU5WsF8iQjlyOZIs//aArjB6M553TnEYXtrFZWQ/8m17WbxC6dnGR+NpKgLwpkkskhsP3vAd1CXz9jBftBAuZTP/Iz/H05f/5g4Cykb1R8VfiLtD5YbKgLqv7S5/Ug+bRO+9WnpVDN6yzozkleSdBKFeorxrEPIergVyPdw3NJUtsQ1GF1z2/XLnNQS+pGV12V7GzbwjrQaaxWQsLffkH99UCT/gQOcx7lD8/vpgmdNcqF8QY7Nb0kJO/myjvqITmrt2tT0OKV1PQ3hmH0+LEvb5HsHNk6xV22VdnjZ+qDmoB+XxmrHmAqvTf+wJpTIfqfTvbQUD0nXWNYVx2joKZalnAxPbZzy3Zy6s2Lgyn4n6ViNSUhxc8pStjjSZGuqkijNTCToGrVJVJO84Amb0vlCUoB9au+Ly3FKqR+Sd0u0rl/PGIKARNj8oVmbIxiSBrADsiwO33xSvziKffVm5r6NV3UyIbxjdx5BH1HJU23qt4+rUM/mlFK0MmwQ1kKy1z6lkDXyIweiib71XKT4gP8EzIN4eM+VR3DzgPu+YZbe9Md/9KLCvft7bqaT0fg+m0FsUhl1VU+pSPSFT+0pN4VQZCvUUGXayWdYHlB/VSky9XIdBE5ba4iXSVTTIJz+CuF+vVob0NyxxWDLmy33X/tR4XkeGugJUznPdcYb/KLEh9xR2B6ZdhH/u7HOGFNoyfUICFRmxlFBWNmme/YxXPz8qMmQm4LdGzqYLqhrIJJnN8SKnqwAKfGm+lLLEugR6B7r0+FiVtjN0jnSdwO6kN92k6TzyIy7Kg5edBthbtIZfFD6oDZPLq+QqBudbv/kWCM1uoCKrfr2Rd1wBUmSQmV72uV3vmgLWs+tDpywhHOHrv5DE4mIv7fgy2BTjkEHSB2MnJJhj3dAz+lTF2M329k5M4jGNovkmBP9PLFSeZLA7tAJ4EM3zmkdTAt1FuxgcA7b77S9hoUzl48WPg8v3OJT3S3OOEKe8C9pNHpoERHOqV6OipofzWktlrRjkU9+d3BvVZ3XGXJqGFVoDn5NaQz6h/jVDpwOYMOvzcFToull70Hfnf1AGgd99y5/j+Js4ZOwjvYUzx58ttgp2qmbryCd+s5Mam/S1PIwlWKJ3+ie/KwNBI6M3kQmyBogmQtis1W9GjbpM5fjqPttOIomX1S/IfQx6o++h0MunB7cPMXvai6XZJ3dyr9SdTb/yx1NZ5rpwrQoi4hhb7cOavrkG6rQvWVPmiCKhxUtOpLbmlegfelzmGlT6Ey70xZLqyPNI8n/ClqOoyYo+snlEwGpUTnNwqIAUZHJNilq1E19ZuE+4Btfu3xS562SPfAYdSPMZ0KoxdBbIegDdLST6J/CBT9moBkYpcugwUF4QIK4W4uN8PHevY1KtKpquRf++f+f1kV1TH6eKDT52pU1D3CkCraDh4hbTi39fV0oCJC4XQFausI6CqrjJMQVGfVDbFqKcyvJwmDMuiW+gCVk5rCYI/0Xd3u0+yLLIbGnIaXSTMHGOQfEgS9QPYIdPxsTXbfFKSSkZN2U7NBg5Ot+pV20oqKR86y2raL78ZFnrAgdm0LJFWbyh/+QkX/FsBE7HdvvcYnA4QnCV67EHlmk32o0ec3QOtUF1DJSWqgHqXqRVebegeuRMVcJW1cULdJ0m2rPQxtnwrU1CM4JOtt6qrbX6VrKNyT4DKXVVc+0/2QAtA2g2bm9cwxIa2OdBxcNWYWNPxwJK/qZCc+fxB/GMAyBmk5hB1rZuByJKN0S6O0ybMx+4uIQv1gl9WzmvtONKXja5AmLKPDzwZJHXQKuXxkKL7HTP5jB3fvTtI8/EPI7Gb6UFTSSFdVuBtVppAkp3dSKtwvOr8OqBwVuEXl8kTq0F0giVk26GpCaB4Y1aCy9Od0FOo7xjVJddQPHlSduz9VL70mot2RXwL1ErWejzT56xigm4CgGcRmRk+EIejkwviR95KQ/PM/z7Shjs2DBgn48sYwbw1k09yhU3Kfiu/zmXBRT+W4YRcu0UsXoWGqPhTJdEMV1TK6fkOtDgTnDfX+aPw6gEQokcLdqRj/9lSBY3UO61z7W6sS2hM83c1s75xRmUmyF1zFOnuCdJlMfYZu/2bBtOg2QQ4wOaK1rM1r5aqWPs3Ywy8k0Jia0vGn/ZzxVE4XxA4I258VFjH6oQeKbzWkVd/3MbX3qjLZdSANIJ680q72xNIimW9amg2C2QT319kf7MDFzSnUbBnymyBdUS/w5zuH7sBuFakuCSZr3laugEwlSerPA1TWqKOLqg5w/zb4w8yA54NF/iGB6f3SByDgtsnum7LZsql0xKTd1OJXPLoFG7bV/5fNlt032Znu7wF2EWz35W/qgSu+3dBdDY2TpmJnLcqcuLA9B+gW9EErU1+91kl1StQ86v1gWkmO6YBKUZEu1IoTvPip+/AfO10wderT0mIktSKjutrDYcDK7xxuvRyuFzcBmn9T0BlCPl0kjW4mRf8xuDrolkPQDmTHukQySd3V0ifPHj3QQoYfe2V5r1g9XcSNJOipoFMBsR6CehgWRVDMhMXnv/Tzs03r0E/DHatosz6smYS0tg+hTT2x6VVEWqWuw7O+XqTx01FRIzVR2zBl6moK+yTVJwkctxW03rrDOy3rA7xej1I3zOpT2e/EN5odZk/Te9iLmLdquGPzv249gzvpLS6ZVC4dG8O89cNvMRRr4TRbMTuGoJU1UjE/fDTTqkjs0mkVIH/SB1eponbXu8C0oFarq7bWvk4P9QOT2Tnf3oYuUQSn9lGbd284FPKY3d+qijRdiTJjt3dp0CmCpB7MeiaHBTKp9V7yFcYe3oN7MEB49LB/HjyOuzdr46msC5CdY0FRBouY+GsEipkylIkjiqzgU1O/Jrc1G9M11EDpgYtc0KetE2VaSFEL9uU/37Vd5g+/1VVwA2g7QbOE4ppIqVdH3ro6dx4ztNBsnT8OTPcuyrBruquVDZ8dbsjAIduvn2n6jwlcu+2g6WwfYBfB9kBRvc78klAxcz7rEKYClqyqGjLhwm7DKbR7kAQXqJj5ej7WtOC5vWjLMYHmMBXnpd5Uneg8e9Ak1LiHMqfqGgq3hGSMmrjYr/qy2o82OfEXATtHLnTKwLQf9Lqcisn6BoJPuH7hPnc4n6Dratl8Nf1HLdhPbhQYFC1NMZtedwJtUjMti4CscfeIe1QdA+mUol2oY5w+/4ZZQaojRdYcOgXOgqXPytIXuFOvSXKr21ghMt5Ubw5tDu4ESlh97L+4r8EWpG80XklqHwtLn0o2Ey9/oDLY4oknH8YoHbkUOW81aW9xyZ248wh6j00abV9p+o8y7DcNcjMkzft2n4rZNYT1rHnbxbPXdFM+cbJCa+nR/PmA+9K7qjJBj12ixgbXx/OcUnaGaxXuIZFea0naXak64BUTDODeq7oILBFSahsxE4MdpoXvAbJfa8Imde4SoLbezSkP5xMEHiA8ablpMUmGew9asB80mI5lwEGMfh6BYqa9C0fzmFUMmzyo6Z1osXuKgCp0+KEemNgFFXSi2ogk5TN6BV3AxCWhJAeasB2svTWxt/5Xh4b0HOkcVvst1TqJyfewMIlDWf3nEuy20WS/Erh283uXzzVEQOQ4ZEDUQb3s7aUqlulsHwDIHjC9PrvHYFZ7s7uoOWOuq3tj/Qpn1YNUMCjcfCWJrhcbdNXfNdsbTgJnfpkq0klSFoN0cIHt8Q4lAhYJVqkxJpY5yJqSVo1x1ptAmwj/QsCWMSjKIGibDQMXJdjjuPs4kM3avXCBXXkHK6mjZyNVsYTW2QhgitGRZ4Okfq1cPqKK+fCRreIrW2lcxHnn1gjxlfbA+SzqAiqnC02o3hySbRIaPqi5tfwJSoypyA++5BKcaA7uDTBOyGFOLjMQdpoNnRJImsBsYuQEobNGuUbXWLtKs2saoY/YqLH2TTGzFy81fa0JC2kLlAm2zFHMjz+QNRecZL6abFNoVonAnnoJ6aKRRbrWe6rM04PemrpM8E0odEGLne0YWsfoekE5V0IATeqXUhkdyAwsNFvr60oTlqAvyjW62ns1KxnOJwo8YFjSauOi7PGzA1n3KPI6IyFJRi6vGcIOKMqvTnxroJgrw3TNttuWN3ZWzvjZ4z1N3ywd1iZVVHMdY7eQKW9NnaVQS16u/T6PGiBoz9AeFrZxSKrAdE1dgn2JCV295LBxU+XQSYf1siECI8cT6rBecU4vdATHbHu2D/ClYHqgrP4Ifk1EMXfmt4abYvsYTbUudl/sK8a5B0FtVp0/a9wKCkE9H16PYbQUbnteF1B5SY4PdH7PuuIT72ImljCKnwgu9tvAtB+0IC+eiukG1j3j3QfNUcWTe3SLXHlH3VbJ6uzRTG/1Lp497G2CTuU/IGiYH5caVcyn1yw0xXvz0lZ6dpgfhiruK4JJah1KDNePdhzt2MG/qAqMVR07SX7wm5EKr/Nd6+XQGXjxEAxKIGgCsZGR44TOGE8spoeP1I/8fIMGdvfuQag+YpMm2lYzS+PI4S9OzEjI3E2fHwTNJ8XFZivm15C+CxqvR5XzmTSP1RvTAaCsL/WBakVgKnduXzYlOM5Yfy42AwaFUNRdK6PDTxuai7qtS/bMT/5LV+t7Wa68I8eNb61R4e9V4rp90WwsRlqXX9tLSCpgmyd+GYFirv14AI6aSp62qH7A5DHX8FM+SsINQRECnNlzz9QbZuXo1xc0I/gDIVsjDmUVhN1M7hbImAx7jhs2VQ+edFS3OCHpfPBqj1HTCrE9W4FOMLkXbO9iPuJJFXNvqiAN5J9t09t/aCMji+HxgzVugf2wj7OwksKt/c/bGXT+4FGXcEVVkDIx8XcP2B65O/His/msUzFqDuXPyN8PPbnju3VXJdNqhdgEZXQU7AAkDVK70zB4H1c8XjupRWpHf6xA/sZnYapPQJNEykAqeUxcctXJ13nc5tsDmRCXjKx3guBzIDdOnpAZY2QF3T6lefhQ3KzFxH3GJKEW8mVnWNys1f/H/OB2YkZCZhk5eX6PeFJax+8GQtB95LY/pr6u1TeYgA7BaZav3Imc+BV7MCmEoO5amRwicjK05dbdXAFLV3V3b7pPSd7NceCQaB7ljptlunP3YD9qiiTIy0CePF5Iy2ERE//tgWJQDIfLgf7TVMzsVUMdK+v/eSf9Zj1wWMT/6dKYfGnZBP227RITuXzKaf2umkGTWw8b7DimUO2gJqf1m0Nboi1Bv3P2XwqmdzFT5Dcjohgeg/yFVdoHD7cex92bABfnrj81vwfo8b4JTBuQ7d7BPo/Hd3TjFfSQnHxUAUs3m+Ty6cPShsip9QI7CEGj9j0GA6SLZ42b403hjGz/jr430I9qRX8WosSjK3R+L8YTm9oHLbzJNlWfMclWvXZf0UlTraviZy7SOnTQVLGMhMxd8eZD0AJFAsXmKIbLFMqbfUz9XZpKRkw2EhqnWY6VengvCd3CX75WRoe0YL/KE34Q116B1IQpf+wss52HuG/dftQUSaCX17xWki0tyeYnIPuvpSYc6bhperc+/ccA+THdxF8IbwmSSrBdTO4S6Jg0Yd9B04S59bCeXaJL6LRWVt3AyZ1pmjBWFmfP5F6wP4akFiYFhvAphpgcoeGbuk/Jcl27MQH8Fxve78sS/4wADnJ3AoJvzOazTsUkwb6yeWy8J9fon3tMSurp1sjn1jZETl8BmMHdnN+bKIbRlDQAXEdBV8XQSbsNsk8Xmotge8TXI31auMQsGD62vGP/Xhn2NI78LHziL9sqj25BP1FJM62qkqYt0j74sywZ9vO7W+is07qxZyA1ug7a4FWcc0+J2cpOjMG57Wm+f8PjoIQMmL4Vgo+A6NeesBOu74O49orC/0rbaUVFo2ZSWcQY6bxAPDnVOcImj7/vgWJYfd3QuLSREw4ckpzmYzI4/9H77fuvj2CwBsrKGwHykgR7tFmfd3jPq+2obhY2/J3fTM19m+DPoTlCsxDIxH6B+fF0YFmwIYoBNtjmExi5suGTXyl8/irqnNdIiFCnCEk0yvWESOo1hG1zv+1PZvOMp2LUgn2g0CRYqF7jkyMvYt4i5eOnT3ew+fX1ev6jgaKYnSNqqJ84ycUuXXfWSEW82uHr7FFt6evv4t2OpL+F7j8TXDdc25NMXgAzRhR+NBs4a2y8XXWOr+0YSHqUR+x3b9bG82Dk1OZD2gqdxJEphtxseQ/IzQGWWNysxSAhUb+RSeXDZtcx/R+15KLPx0Q8tJzXb2rsP+m6WnL0wQYNjtpKLyoeOcl66+6b7IyRlv4/uJVktrfffA7O/vdha+RA+BsGFhx2tqFOTdjt7S4laap1tYnVD5g02KnqsG72+As5oY7rFNUNbHJdu9mSd7S3OCQm9+07lLVXXfewHIAQlBuB8lNAzlhFlfNJ9djB3w/1Gp+tdPDAoN/IaAq19W7yXb5a/dZZ2iyZ0f0gNkDYCJNilBBV/CB+wz9n9BwBd2yPebx3SOzSKd4bFxfPHg5GQudG3HwIPg/ddV+u+HE8W7AfB/nnuxLgVSJfIfZVAYwxeuzDwX7zEFYp/m/gh3rgOVV8aRs7Azh8EMU+PCO2vI8/GCqTMXQA</t>
    <phoneticPr fontId="1" type="noConversion"/>
  </si>
  <si>
    <t>data:image/png;base64,iVBORw0KGgoAAAANSUhEUgAAAOEAAACeCAMAAADzGZ1cAAAAwFBMVEVHcEziV0L////m5uZGRkb+//7l5eX5+fkANDDv7+/gVz/8/Pzv7Or+/f0YODL39vb08/KWpqTZ29kAIRw0OTfdUzzhW0fg4uFBQkPNUDzlV0K4kIeMmZjPWEIVPjp8RThcbGedUT+wTz6ESz2of3WvnZfq6ursurI8PT/nq6D24NypgHXwzcflmItNT1LeaVYqLjHgemrhh3nCw8PdYUxxc3SwsLBaXF7S0tLccmGMjI1iPTqDhYZ7fX6cY1uYeG8+hv9kAAAAAXRSTlMAQObYZgAAD8JJREFUeNrkmwl/ojgYh0c0Mhxp0AFK3bo9ZoaYTBC5VHrMfP9vtW/QtsSjxVatu/v+5giYKTy81z+R+dL6j9uXL/8HQnPQag28I5hpyksdn3DQGv7+8+vH4e33hem1Pofw4lfWP4L9ddsyPykPL/7qakewn7cD3/8swnMNa+igeEhDP+9vbobmp1SaJeFhTdMuv525N9VVzc/w4RHs8tvXs5sB0A1M89MIUYNo+xhhC+rp4BhOlE/R/wwfmi3oi0dwnSl/DbYRbvETQhh/2IeSDhDNQ5ukq5JhlVB3HGsbBCK2gz7qQ6/lD4bHsdZgE6GIS6H6rXbALhL7o4StwcD/fffzCPbndjNhHgsNLbmwZWFsYVSB6taCECJ1MQE6HAwx2rGWwvV+zB3j4EZAYEgvbiRU+nTFshjYgutLdvyUru8gNH/1j1HYpiChAHEToWBCRJFwKOOWZglGMWdwTDTOBLZElMqxVZ1Du/fDoxH2OvdXt/5gAyGN/LLMhyWNcuZoPIqZSIZDP2YOzVMHxrkJY5HEcV4y/YQJ//569n0TYUlTL45Y6pXML7lG4UTpRYzlPqVeKhIvhUeQ0tSPKItz8PJpEqKK8GpTpSlF5EVEE14ukgtqwQH1EqIh5kVRntKLhGuEAVxJOcxk5P2ECL1UanRcQpNpiOe+DVAijSnzmI6RiJM0T9hFVHmN5XmSpuBc8v5KAwJiwQh/wqhGierwTXDQlii98rf4kGkYCDmPkyhOuSRE8EkaAaGX6gg5OhCm0ugHfLhoOhZxyILvqSxL7YQbEyK0kXDpQ9/c5kOND31upbmfMwxRyonDzIhBlEJuEptRGstz3LbQR7oFsNiCMmqDGiTkSUwBq0Z03JjQIrq2CyHU0orQ96HMxDLteFVdcl9ApeGpCVXGhEILlSgqU7vxnWyuNHYqt6hSrjlUkJechKPGVRpxKrQdfTiUhFAnNSOVaWfxxPS8mBIoMw5PfRPGOpe3NmQObt7y16NUw/JBsdhkhPnsRfQS1oJG1aj+gA6JcroDIRHC4MLWkM45PEU5BN0CoQRyRmoa62lswd+Uk10WGxvy0Co9SoigjgHJ71TKH36k5kQedaRSrI5AOmKIWmw5i8vpugwcLM8SKHs88SmuVFcjwqUUhZFlVepsqdKqUF9+QCrphi2dWDsV8A0+tBIZoZbOk3gQJ4KztEwizhMQFQmIKjhitk4hR2AgorKEp6ALeZYTmjKWlBGncnLKMcLKomgr4eF3MZQ8xHR4AbeLeBmbldbIy7iViDSXvCAokjiPwKFw1ozLuBz6jNA4TmI/ggoPAx+0yJIQms8JEkLfoYlplkyKh0jYlAnwiclECr9BF4KoSH1Z1KgAoUUF80rwr5QaOWMeDJifU5Hk4FJrpYOeBqG8J51DafYiWzZdjVNKWQIyAvLQAr0IXSn1olSmKDRiW7YwmsfVWdmZiWaXF9ROZaVZbaAnQogJt+UqxYzBPQx6blkmSdySgUmlqEjgOAZC0BXUByAgZL4Pc0qpPUBbOolHobrT5Qrv9AgtkTIDqmGZS2lIRJ6DnE/MyAEoXXqLgb/EgnCY6gvCOJKephWhUZpUxu3TSvZtwmalfyfJ+Coh9SCHOLDIPOQMigwRklAeibKkNhdChiyR+wvgQ5AdJWQnnJWimSCj8qHJHL1pHuqkiS0W+hZpNvmVtYUlJU0JxTB1gDViJWhfqDwRoWYcicjP08RPbBmyklBHfGhyGbyJX4qlDy8oPIEY1urNCJHRbmBdu+qDpNt9e2q37bxWS+UCO8/jyAb55nuCJgAFS25QTPlQVJ8l1AHNAlEaAxA0FRuSFVKR2hSmaQ4sfTRR5jEQWgcgbDL5NcKqltoc9HtVdLiODQ5139ERdmBQfUYs3XFg8QY6w4JJIPUxnDUwBr0DuUeWk2U7xKdHWCUprpZKaKGl5BhWFvKPSk7JLejq1uG3PIFwNX+xAyj/GVr8C7y2SDwhQrSpKKEt1QrtUOFOgvDw+zQbCLsN7LnSNLBTI2y2F+1UhHrDveeTIoQlUyNDi37dzE6L8Ohri0N8m/66D/UmtvSh3mzyK/2QOHs3/a1KY4cNzFjm4dszbcN+JQ+x0d23tY03CMN2g2Lafu4WH6yluFFz2s2Mk+qH+yd8eaCfStg6pA//64RNfLiLpnl7crt7ZMKwAWG7KaEerkzdWKVWCeWLLs/dQt+/Wfvsh9Z7+iEQKuvDf5WmQQ01zaCu2vTuPMvm83PjX6HacANC3/TNH0952J8+FteVFUVxmbWtzftE1h4JdxKAJCse6hbiLV/dWvM7+PhuNjlz779fXd0XFWEIeGN34rojMNeddGYAaW8SSnskRDtJwLD3bVK3qVEXhjXTi+pzNwiCikUSOtnDGM50ahZMRkVvbq/Vq/Y+CcNdNGA4n9XvrzPrq3trzxfrduokwdWfvnbeG09GnTVzg8csDFd7wD4JZbdobGH/TrlJN5MNaf2LfTJVCEc3P/rnj+4GvuqHjKfd8KCEu9h5pkbZ3Xm4idAoFIb72x/Zo9vZZm5n2j4ZwnZfvffZfBOh1VfT7bv3e9Z5xUadaXgyhO3pKFDCtNteJzQu1Vi+Hd6PXiPsBOO5ehV9n5VmR8K5cmejh364XmnOVY/dD2/vO29Y4eC6WWh//XAnCUgcx7hTikhnjvXVkNKzifIYbvyr4A3AIMj0k9A0CJ7uPKjf7mRK1i4U3rmKn4cX9yuE0PDX4rR7MqrNuVbu7PF87UL9sdoMzRsVZjIuQNsozTFwi/BkCC211wXZmp6Zqi68NZUsHI0fsnl/nl1euy98s95cPxlCFI7rT3/SWy005w+Kd+6HQzVIe+EyW4tFTwnczsPHs3Cvawul1oxAcqriOxsrMXnVUgiDx+dwnBey87idotc+rdUTyhQnBtOVIO1NlCC9aQ3rtcl9cReaz4JRMLvb047/Hn2oF0o1vVOXsv3HOv/IvTFv64STWkDCs+oU+wjQve1i4OVBb1YP01lWb6p4qhTOv8+AsC6DRr3aA8EPvf2t9D+2elK+P2zPr+vVcnT3skEFwvVBafdnZytRClJWeRl219efj/MdcPioaNMC1rDPE7NrJUjlPk2uStnHvqUdwvZJaExnNYxgNn35IYaiZzquJPTVbgFhTdCJE8IaylW8UhPmyiejM/m/88zvqqbpBMXcOnFC47Le89zr7ClMwbvK4v5rRagU04pxXGTOSb+pEGb1WhN0Lp++FgxVPXMmCVut4aryhjY4vr7sH4fwnW8qKPs1bmEvpylVNhh3KsKBfxOsLZ9G7vj6cRoennCnNxXwy7sIWb3WuLP58vS0LnfcolgQtjau8QN3NCt6fXRowneardbMu2UHV/RMcLnc1R+0fo83b9DAQqq3/U52elFh32+baFOlx82M6mR/Vg/SWbb8ZmYw+HV5PQq2bLQ9Zlti1Wr2WgPZSx7+096Z6DaqQ2H4hrVAKIFxGochapYpQqqEIlksYiZ33v+tLmtqG+eGJBho1ZOqitqoyVdj+yz/MRo9D60Ud06DMC7+juXhsS/ItLqX29XfnXwLZSPmwdOFNcfq6G/1spZWyS9M9SWu3ojLNCo+zSoBZNDRdKsvfzkC2sILCbcgYO+Pqt8lWa30olQQ21XuOREGBkU6UCHCqtw7q+uHFWEZdFwaxpAV4g9JyKjj+ym+9cHQ80U/C4ng36K0GBqx0lI+ACOIGplQVMh0TCKKKwIgRLTaRFZFW7owG6VwJXMi9O8l9FN8SwwkJMb4OhNkIkPJvnDeQsBkhH98BmEX63Meqj6ugVjZ+NYAM59IMx6RwdQmak4cgWMbEgaIXm1Mqw9dW8cYX8Vj/CbuT0Mipevg6wjcrhhqk7ITy1ohLwGtUhQ4KYwEdAfjWMef/4FEThdzPiGIF2dCt5mHplEX/7XUjiRAJ/bTySkVVBQQiMQHTmXh4/SWRovxsZioTnyiUvvHmFpOzW7dLgY/QmFOBIPE89P8rMVY6hWh5aQmruJwPNLNARm11nQRe+a24EhoxfDSFl5tb/U5Ue7yL0KxF0U+uSMgMlyOnJbXVvbgNNKr8onYiLHK3xRfGkdC07nkpCT+h55ms94fkigBx2OISEIT4fsLTFIe++GDgxhdqAba1pnw9fAa5FsgLB0fEw+N8m8nifIRpkZoIOYgQlgnDHNCooiWUGcymYSTcBch36s09xfYnmZknVVfhGsn0csl4amG6fQIBZOICM+bf2x86NrI+TknBtG08Yr/tkXYSeOz4EooO4xBDMLmYmwRwhNRp7AI15YuJ8tm9/QDN0JBjRhDeF5QckLiMs2v0wh7YzUjcgKeNjWfpppJCWwNYSpjhEdqEUqa1JOMopD0aYxJEmpb2oeGkYXrS6WAjue3UWbHdrZNSH8hnJ5fyqh5V1kpASc8/G45PACGSShRSsWW0zYZwjQhBxFsfYJwt2Ostm1vD0JkTJTQIrLA+YBmAkm4eQ2k6wayR6vB/LrzCL+kLHqThLOWJIqVUWTkaSZDqFDFRJUmnO2uIgYtb2dKhIJH1JtsgSLU3ZedFFwZQftxRQZHQrx0D4ggryLUi8oM5A3Ik1DLjphjIrQIi5w3yuDFbDBIetHU8OwDjkPmOnOeh0WuTU1Px4AtZPeUXkRDl/KlnZpk6y5Z68Iv07q7AoAfkTOftzu7ijyN4aMsPJKC/QAcQ9vpqaLPsTtPXCHPzu3NfvOQ0uo/nDW5NsNP42wrgXNDCow8lGqCyZuwjw5LZVWb8v8dlkVXVxzbtpf/S+IYOfMeVSd8Cf1bzsUwLEvT7uveGnEM7zv5Qx6G8Kuf/KE9vpbSZw5Mi7Brv4V5Q51KnRYhV5sE4U3nh9x22MijhLKhdsm1mVfmYbcj2KzqKl10e3FPhN3ypWIvdfy6mcwSb0rRPk7YR877bj3NACdhjawY+mKEyjch87CRRwmtfvQ0N/VbiIN6bao272JXzzbppoKud4tBz2vLXSijy6OXHV+469XfXtu1j9ytfmh+XkJ1wZ6IGvFjzfrEhH4jmVFqYU2tpKmeNEob7VMTjq9UGJ9Q/Cb84oQD3MOSv9cmLj7vGHY8IJ3p07jrn4o8ecJHfBp3/eutSK7ztu3TWIT6cr3f/34awsrKzAiE+TC6h69MOCsJn3N7euZsoKgBj0I4e9kcBrG9OxZh0QahV3eZ5fZY6m51+/hRCAtbzrjevT7/J764s6EIBRYhf3OLsz3rsy/Lez7wdKFGIaxuJu1+4TGsEJfvjlzeFobvII5F+JIz/vv+8++Wu4XPYxG67ma9fv3B3QoHYyzCme7ungdxoZr7kA5uuruHAATlF08LDqMR6pv9ILaZjURY7Iyu7n4sPv1/q94lf4xEqBc2xPvM3LHGcLBrZfnPf6XcPv+ylVb9AAAAAElFTkSuQmCC</t>
    <phoneticPr fontId="1" type="noConversion"/>
  </si>
  <si>
    <t>data:image/png;base64,iVBORw0KGgoAAAANSUhEUgAAAOEAAABvCAMAAAAt11fgAAAB11BMVEUaGRj8xCBJhc2TaiP0vyB/qd0PDQyKp8iFdlSTaB8XFhWYpa6NpsGunHxigJ54e3Oco6WymGn9xR/6wyCHdExMg8VlgJeapKp6em59emlHhM6iophfgaSVpbKwmnKHp8xPg7+xmW5rf4ySprmDeFuFqNFVgrWAeGGfop6Rbi/Zqh73wiJwfoWNcj9of5IVFBL8zDCAqNf2wR9bgal0fHp+eWaRbCdSg7tZgq+vm3ePbzepn4nmtR/MoB0YFxbuuh8wLy6nlXNjY2HuwCtBQUCloI/l5uVoaGbOzs5KSkoTEhBhlNJ9fnZYj9FBNBnt7uxPic8oJiRtndbgsB6Qk42eqalhjLSOd0mJi4WfjGerrKx3pNqrrZfguzjovjCTflQmHCFdW1V4jJiXhV+ZmpVTiMHTpR2BhIEeHRyPn6rVtj57k55bTzS+snKIlpmLm4bLs0mgmYc8OTsmMUGzroOgknJtkazX19epjlnArlKKhnRMQR2xlWRgHEqGmadVVVTxxi9BGzXKtmBycnB3ho+deju0ql6ZoHh3Z0lshpx9nsHZu0yhhE+lpW0rOk81NTOysrB0XxzEwLWIajP7ySqXrLHJycO7lR45S2GNq8GIqsuphx6BfIEeBV3bAAAdvUlEQVR42ryZ61MaWRrGRdvRlLIqTcYII04UNwiyW7LoDgOpri7KLwNUudDa3YXStTbYyzASqbItQlHulgtmouSjH5K/dt9zTp+mm3vM1jwkXhKT6p/Pe3nOcerFixczRAczB0Q7Xf1MFbbL7RbdbkWVdd4ZB+mKqqqK3+9fayDpQq12KDTS6fTa2ivQElGUapdqE+svSN8j/QnrB6S/If2E9Gekv4N+BL3Emp5YnumpSQm7jO6wW1R1XRFVGfE5a7qq6PHDeLxWq8Vrh4fxQ0O1mjSIcBe9MN8fQFh6OfUsD0XdKQMf79RlWQb7anFDXbxDb60BFtoIl/5oDz03V1fP8zAsKorudPKq2y3HrTq0SNpfWxvsoWHiSA9PTn76PxBWGOY5HoqqKkLjybriJs2oxwd4WGv0EU7q4ccfTm4WFx9ubh5uTgjgcwmrodBYwp2w0lHCVkRR5Z0xnpdFGDZI8/Pz8gAPG/tDPdwd6eHNwyLR3OLc3MO3Eb5jHWMJlbrP51PDIhQmsMmKAtap0ISq4nabhGqfh+Dg/nAPo8M9/AiAW4uU8eEECQGWShZCz6SEH1xWQgTZR9jx+XhA5HWFV8NyLAZLATowxjt5Rel6qPR6WFt7s/+1Hn5EiJWtLeDrIoI2Nh5AGw8pRPhjJpvKHB3Bw2N9FeFOu93ptNs7FkSo0U69I3Z0X8zni4GRyL2wGnM6nei3rFDCeVXv8VDfH0KoaVpLG9SHt+vlym15axEIbYBAuLGxjfSQyqZS+T1QPgsfgTJHhHMYq+eTQfhi5qDdqTdXQM16p/0zhgPgOnwSDndk3seDZEUG+2Q0aKBGVUB0qpTQr/d42BhIqEnFQGB5ebna6iH8/uPHyvpW+XZrC3toI8SImBG92cOaNZRPZTKZI0DNIFv7Ee8J4Yt2neAZatbr6A9ev4byfN0ED4G001FERe7AjFEUnlcg1MjOuEmo6GYf1nS9pjdwkfYSLmnFZUOBchkoN1ubm61K5fy8Ul4v3wLeLUbs8bBLSPm6hF3l89lUP+R7w8N2E2mlS/maCopzBfHBB2AiZBinE4KajjpQgUDDK5iwu/HjtYb/zZv9N6A+wmjaBFxeLZZXV883b8/PFxYW1rEQ223F6uHc1xBiymwKWtRKeQWEUJ9QoDY+GyEo5osZcsZivC6rolsUUaKBnT+PCKmDYB5kU4SH8qnU6CEUoEIDBuL57nm1UimvLtgJtwb0oY1wexQh8TJjyWyIsI0qcoSHhighZDWYOLDkURsqKvEQEx7qqh8LABsQT70k1HQJpQAilCRMWAbC2wULICbcGt2H4zycnc1msvn8UZfwzMVOwQglhCtDPaSEPrQqZLTqFXjv5Hk6S8k6bMybhAhRwBaahGkEGAhIUYGYWIYyxYAmocn4DR6iTdL10HNyxkammtTA8R7CgMGZBgghAAAp3Yd+1Ic1v79LCGVq68M0GqJgoRCVjEaEXwbhgt3DxW/xEFyc9pRKHkr4HpJ3k2qchzxgEcnoE7eo2DONPG8l7JmlQoBoN2pMm1UsG+EEHu4NJsxm86m8sT1g0ny4ekfHTalUQoSw9dptuhCHEPrqIo2mCt72MEy7mcav6rJ/FGHRIBQ0TahWqzbC9Yk93Dh++rw9gPBoOnOUB7psPgNkL68iyfcVM9lNAd7BDM41O+3mUMIYH7YBOnlRJdsQEaJC9c+PIHylBQJFRFnUotFqsTyQcLyHn8+ShcdrRNnd9yk8WjxAmPKgNAelWYhwLmA0fJzqtGfM6N1pDvVwRaGEOMwAorNLaGggoZTGk0aTNDRqAJCs/QFVOt7DpyQTcbGhwuPd9ennvdk8zmzTaLR4MsCb8dDzBMe4XMn7G5zlptptGkwPDtr14X2oK9RDp6H4JIQNr0RmqVTUigEhGhWKgWf34VOS5RgHkost3F16b05K5C5m2pNClh7RpMZw6GsKn2567mlGeQjRW8ejRpQNPliHNsKBfZhueAVCKASKkpCODpg0k/fhccgRSUQchNHlCCXP7ktGtx2hSYNMhA3hcrAJ/I0AxpLHRthujt6HvCjqMafpoa6M9nCtUSs2BK+GCTWYMlGtWgwMJVy3bPzju8sBhKchh4MhiC6W45hQsmyGtAwgphBhBb7IwSUMq3/9ZDsBjyGMybQJqeTRHgreQ2Siln5F9iHFG+khAB5fFiKPW32Ee6csPDSXA39YLoFsukTDxth9gJhF76FI4e9zDLXaRrgzmhAs5E0D8Use7aHgLaYlL7xJ020xiNDeh5iPjUSSx/0eXrPoobkgw+QwQfIJp23iIrRiFt2uFTAYl2MJosNepbQRh1SpLFsN5MlV1HAP8fXwobeoaQbg8khCAoj4XCGODZ3O9RMSWxLBIIefv/AFHyhoTEulyCRFCgUTrn7CHQjhI6uUHO0xHD4E41PU6FkqFAVJKnq9vYhDCIEP24QqsJ/wEj8yG0kQQMfZNs6i6GCIXfSQEyExMRgZ4GGnWR9ztqD2qXAEVhDpmFm6lhYAz0sJx3h4fJfET4eGveuuvw/v0NOHGCQ0TlyPX8h5AhajJWsTMDaY6CecgeQ2ISGYJ+rGNcaYfei1EPZ4aG/D07sCeToyLs+2+jwEQjbCEEXga5OfSdamdeqZvrlnDOsc3AUzgHDs+dCcoehnM6qsjNuHUKZDCIFxuVqmhOXy6V3IeLRQjgOvXMnj3jP+xqODZboKQa9iQk8KnXo9nlLlPskydMKwwVwv4cxOfVLCmE6PTmNTW3pwlZZb1dXqZpmYWD5/d5V00CfLkfJCo8ZO+OXRdNBgxGUKEzQF+e3kw68hl4OjFkInXnAuNsJZPeysTETIyzw0Yh/hEA/XuoSQTE3C1m6ret4iHq5+uC+46IM5Esacd132EV5fYl1fX58awoQQTlPV+zMW/g8c10wTL3LBiwsLYbs5CWEMjvjopgbV6RgP1yQJ1gUhLAoCpFKNIlbJbSJGPH0MdfnQtjM8eBx8Ap6dtZ+dIHCfvAP70P8RSbAmHxtKvH0bTEQsN8L1lUkIZfrzp/EeSl4qiDWSJFkQzfvS2+vHpKsLyEJp0Y9h1Iw/42czRxViHxpRNMkYAymBatYkPKivTEDok0UTLzzOQwht8AL/pKVXS5KGwrcmnBIPW61zOAmfS++T8CwcGhuYk7tImLT/OZ4bf0/z8O59gX6HIjny3WFDZrtGLD+ZaRv3GH1nX1OoQhVyTyPiN6Jl4fu7ol24rxMDi1paSy8J2lJaWD68OvMuozP+MtkWlyx8t7lcLhjMJTgmwlgAUSOO8jCfn91+QgGod0RZ5y3sDkqILGy6fx+t38bq38YveP0XVSmysAGnX0QYjcpXSYa9C+zuVleNjX8aokXFJWAqvDXTJGnEER6mPKnTxyRrKfAc/ce2gRuxENZ/++t3z9MvtneG/vFPsu2FV+kldNuWlqGeGMaRvG5FW8bGXz0udIFYLhcEH0MmZOFpqId7ezcfrqwDCrYojWl2QsZC+Pt3z9cv+GX/k3/tC7VisYhuMdLpxv0Z4wKIEMQxKfo/1s3HqY3jiuMSPjut8AT3bohdYSYde8xQXTqY8wxlJkJSEJSCENUPS6VBdzUaJAthgQaflchMoBZEDCKyTGKCnfiP7Xu7e3d7p5Mqd/IwYLCN76Pv2/drdw0Rh2+fW08pW6nca2TEXhpOVzQiEPxVkSloxGD4d4riQnjt2z88u7Ey9dsZEM9Dc7F6548vv2rWy1F8EimIoSD6AtLErd38bj5/e7jRDchKMq/k1XuvwwYqBU1iOh0UIEgpAQtQLLfrmmJScpHm4MaK57cz342VzZeLWy//VVUhV9EXmjZtYn139wtIF/mdk9sQalwAURz8XqP3OqywxSdAkAoEwxygV6wODdVO62VNUGyE134ghE9c7P8lnIc4s9WUhLBCA4KQpisluk7S4ckXu5Duo25rh8l4frOHhtev56zULgSLc0WBi1BqFkdwhdopQnIZ/9oaEr76rtuehKh9LOExBhrIB+hN4EoSS1cgItvIPxweZqGmCxBMMkKNm4aXMleeQWpnnk1fwRodK/oLtb121UnYWeCsk+S/Wih9HOHUKmZ8XSbVVBqXjNG6CS9ozYbtE4Yas6COapqKpmlRfGQWaro0xEQo94lQO8a+BWrpJJx/ytn8Av/VcTIUGlxNQgimy8brnEbfQxPOF6Ge2cljUToOfw6ACsCdV/RcJpOBbmoYPuX0hhrVP3fV8LIRtQTk5af/l3jKb5L20bCTjJiWjHQ6HevLgQkXx/So45VW1MokJArsELGzgIWoCGq9ncuM4+4ojkvv00HizfuZSxcN3+c4Pq+jnyKuKrb7ES49Nm1pf8m0zvE6Z8elwTX8MmoHVBu52/wUI6NqDT1zeHboskPqrNqmH/xyqdMxhaR0V2iGjGJ9qA9hkrMS+eApoSVtNvg6HFvUeECtMmZNMbaJn4J4YPnPDs2Z932XmTe2+J9cVtSo0d4GrQClGMZkxGDam/Bo5Ni0kZHjkeNO6PU73jywDH0fsQ7HNOZKiqCVK9BZTJqEh/d2zTHN9lfrO4c7xmmT+w7Cm5eXuQqsS69o1miC4aGaWi5X0cplVSO0khlq3Agj+5x14KuItRqTKKbHE0oelAbXcEwVyZMA3phzEnVCxhhkDpWLam0MPrybsh7/80tgk2UvV4WSNgJ/rKI0a9kC2OjoaKGQre01q2VNsYUaJ+HmKjv7sgq2ubDKGcRSfPTQwVVxJhkaWMNzKapWK/riWPc08fAe1G2UsCIJstbYOQOr1Wr2M1E5RRC4ngMnHVBlS1CUSrjmyJkoIzn4C5AE6/0Ik7xebA0aRvhKz66gTvp+bdBYOqZXdIAbc52X5tFPiZeeQ9shSuXTMzx9+WnLTijL4XBYsEQkkw42zYnuOk8JYT3TJ9Icb1EbKbmqFEpeFANoV88G1XBsC/icgKx7Orx3QgmhtJHDEu4V7Z3h+dkWT5iRcbwBLTLzVMWc2JM6O9v//F5PDd2fe+3XALO5n0qhQWoa+0R4rKJPGgISEU+om2JdECZjUrm6B4RnrVbNJLwkAVSGHhkbCWyUeJ+15/f/TdivbAl5Dq4oHtFxZm0wDflxqR6F2qUBfgvpHkUkI1MgbJDSTqZ+19y7+yh7lrUIae0qekkjkU4Xw/yatOcGh0H4cRL2MdNDDbs66F95r0Llpds11JWwInolOYol2i10U8iJ4KQqPiubs4CO9fyjR5aGN1WuyE4X59IYQ2UwSYJ3uVzz9zohDJG1PDhhiHlokUmInnrR01NDU6WLuibIDQchBA26AQ2U6nnjVh5W4vg4Hdco1jBQa+ZNwk9qZS5RyDiZ48o0da+nhP62BOGpizDkMOORS4aHBjhH7eWpodLBzJyM4fHcTggNr0L32CWsPhqQMO7tjI+zftbY1sT1qDYzlLCVna2KrpMA+Alao9b7oLB/F18OJ+GTVw4zPHRmzuIKWN7qFlMxo4Shr8cRu7boJMRGGJYUTmu13DAkjJPtYTatkQNhursEDWUYKrybBHBioi66Aipac3s63ucMdFYTbfsW7h0waX99Vgw1nZT9pstTfcmLK0EUvaKAI3ZZtxE2qFQQ+lHIBlQ02zsn2zmz2gxAF5km/awsVTNIWJudmGiKLlM04NsZ5bYOXQgL6N5OwuevXz+33iJH1J5dOaTjbSbp0E8hYxk6Ypcq3YTeIB38Svo49k/5w4bEZtVCoJhm+7tiOd8ihBMTE22xu1NSm+TQUyoVS/RWsd5NGHoOhmz0Q+RoE/g2/x0o9rOrSIhLmILo5cKG1LCli4bR0ZNhmk4213bzuPMksec3Ul30MURTIMyahDygepolx0z8sZRxUsFNxKaLhgubYMulI/y0v48fj5JTF+H0XE8rBoNrIcNBZwKiMb8Mi3RwTQm//pHYufmgMqTuCtFw+1Thn55JWL/7aLbFCE+5VhB6JLWSa7FjNP54LBZPJfpcRuginF9/+nR9KTnyFD4dHa3j9GLfdyFLwWIPQAgOBiHU5OBpNFGZpz1YqPn5b8QeSjKHck7PCFdsI1za2sp7jyAlMkI8XyFTOq3czL2fNk86xxOpeB9C/If9JlH78IafShd4FintLiDUiowwdBAQwuEgbrPAkg1LEmGMklAz+c0/0JDQMBw8ETcdz+gNjTw+N2zR8nh1rUVC6cQuznIUIarWc4eF0fg0O6OHB6ESgJjofbFL7iZcnu+yTULodZORzGFNwrUArCYJnx3Hh+Q1BzUrk0j496/JOvyW2YsX+s+6nps0jipk9EpdNSBxEKGe4e28Vivbak1M5NVytdne28kWNlLQCKYMwKFUbAgImYaJIWdqJMeHumKpzVh2/L1ED4EEHAJST7S8dMYlbWmU8MeIL+TD+oHVEL6lb4bZWQzaIG6fnZw22Zwa/KJMCLOzWfTT2XyW3usqpKbj9ptd/vjGxnVKHItns7arCIkYnuJzEPpoLGXvSSD8Dt5+ks0dWqeAPKEnWRT5+RCZW3yJG9xjk28i9ioJCDO24yaHeLPrbP2USCkxDWdnwVGz7OoaMhZiqYRJ6E9gpkjEr9Nomhhqqu0Cp2MiFq+KrrH0iL4vmPPgv5jjV2s1FoPGNy1Cz4ViJWYlCHiLW49frt4ZWQcNsS979QrHWAjZRZhnd9c+O9lr11Ulmp9tzZIbllnzdl4hFf/T6MZG3CBMpIDNTzlJglcVpcyXqX7zzgw/ibIGUcuRZWb/lPmNdixm5tLcRgGXLa5EQ8L092urj1dXV++QY9BbbyKbHz58WDoeOR5Zxu6TI7QkZDcsP/30bK/+uMYIufuHrQex0dR0ihL6Y+S8JdfO70BZL0rqXsFibItyrw7YtJKvRCONucb+8/bh2yjfoFkahg6w+1YEOfjntZWVeesk+9M3keWlpaX5zYXlo3fLnWTISZi335J9BL+yXbdkCw+mY7HpjcQocVEATNXaTeOYMLmohrMO6KHN6winUtfOzOaIwzq+1+9+ZxGKbx9Se+uiIdgMblAGfz0oTd1Y2eTuWxDCzSP0iEgJ3NROuJ0f6KbzX2PTD2IYbOiJ2V9yDVWq46F8cosErwDR489ydZcy+mvtvf47MxGaF611aPAhotitoScUKYpK4BkU4z6e8A5omOxESh4PG2jZ1yEADnaXG2IpqJgY9SdS0+91VfYKUjUWj0N1ijToWLQ188r12hCbv/XMhzjLX2Zz/R/kbkBLRp4Qgk2Q9ow+p4Z0a9LDoilPiIBdhHfzd2dnu+5yFzZwGUJ0yeAxPykMDWjremwIMqSflGjG8WcvXkegYbXXRDjim5qa8oXojrWxDu2ABqKdMHngCbkSkp+8vLC/39lP2ryUAP63lvPxSeuK4jgSWFaSZsljtIbUxLi6/nht7Z7Z1h8MVJiWvBLhqdQWoYVIpxCFMsWRJnStFoYtYXO1WZf9sTvn3vfjvh/ge1QPsVotpp/c+84959xzvkbC6U612l2+ZJpWF2ERA+lKI0rSF0xAmwkM3tyiWKXtz0oRR27VN9/MrJNbmXX28iUsExoBZUQ9oSus3XLrCPO/7P83t5qndyEsYcFqHn+6kPNwfKld0M9yB4rS5DdduYmGJwfWVpJUhMXDqL5zdoTjot20+f5QV/7VE5oBKaKB0NWHsPbqH3A0NTgS8bdrhGVLxYHpCg8rxPG5arfwI0M4XtG6xEjfA8ToOFSScLf9SsEffo4Xz1hFLrVt1doIIWcFSBBtEkIsAYSxGHjTGHNabB4whBc0wrafTo9wI9lGpaCtYUNQbns9S3RrZcsYvRTlSgjEliT8D5FKQdQ+IXe7j32wS4i3Wgvow2obrKcps/P4hY5K2NLmQjh/rtpOk8dwPFCByD6CPSa8nIGCU6lgGiEf0X5+6afrIQ9ttMH1tUnYFxBPDXuEPTgJU/JTyBBusoR1zZei3/DIzZTA6Cm16oQwjbUXAVbp+nXMXfDWEE4GctzLPXsRLMnS97UG1byZQBkIbw+wD/YIyT3rRtjnC+vjUutd2sni/zIUIkEgPlL+appqKhAUDr8rFzS6eObDce/XCgVK9l238KW6TgWS4YeBMPr7IFuyu4ZgtV5vprfBnhYFK08zXYjKLd/+CNlzXK5Od2mAjoyo+Uu1jhENZIK6OhVN67YSFmsYe2WwlM/nS70cbBsuG4TxBQDcjyOh7jy09KXT1DNykefXARIrxC1V+aPr1/KX3M5hQpTEZLAIyWVUEHQdC3xTguTYopqo2a+9BcbyMfIp7vIZLOxy2fQ0+wtw4qee6WKapuVp0ZAfq0iInn3C9rhCmM6pS1itQJJPS6bBYLHSqqp1AjwUc+kEJMem3IJN8VMkQ1RyqBjNpmr2+9oMa1gDNwPZyjMD4S0Lwg76E57ZcbBJVW2TFv2Z4OkWlagbgpekO5iulCsNcplPEHNpt2heQ5If5p+RcvfrOMkTexC8+abQQdBPQxLiMU/cjCEubR6UIarpFHSEhdyIzm9w2bSmT4MHg+CBZFcOrkkJQ8pIYjmarTZarUYVNiwg5tJBC09DIu9XtLj/OkZi8BlnDW39CEmeUkuZorbyRLN868LmZoclXOX9TIWRR0JtDdFvCtGWmswnk2SE1Ctt8x4eBy9L2JgIxz25djMRLswtzKmPHnw94xsK0CJqi9dqsTyE3r1YyuRLC2NjLOF0oQvPFDa30WYZfiRa1ggDFT+fVQfSIZPKJCQy4gXfj/D0/MSLRb5btCbUDBDnZqY0j+KkQ9Hsafbn8vmFmvE5bMKJ30FtE0NcOn2pUygsV9pd3HTwbLUZwnSpod6KAqDXS4fxRXDAnpCgNYRFYSO7B9ZL4z1d3ZTeS70ekjCWh02KpvOlENJMFDYhzS9bZ8DfwuvOnU69XGZ1otKajlJS0mZLdsjFlqDepI6U0mbCWpyx2gz7t3iKvVF0TJia2WB2gUwIcTe5Ih0jj6Fljq/kThqhTj5JYsZntjiKyHFCCDs3/G0LT0NvZrB4S+Ir3JyQ8eHL56yF1kSofzshhOR3QiZs2lekK7Yr9SKtb0NayA4IkfnEkdAShOYkogVXk7Rew9gp9XnrCV0mwosEkBDSWlunY4NwvAoPWKtcRCeqA/xOTqBCz2mxmisVk5JoJKQ+5SwIp3Rx0BQSkj06MdFUN6ktwkALGxD4bKO7MunVE8pPYEiOSxsBd8arJwyfnhmqiUf7hvueZVxDlbB5wYFuYpXzYHsUx/Hv3qwdazNQk++0e1RyaFSL7oRElLAo48svTtfCTEX4oXx/yJiOsOxAGRKvW2jmiDkUnQUm9m+WaamF2JsjQY1LU8X4a+MUB0pgI9a+V1SURoFwUeba26NfLGq7FJ7DggPCNk9qNIAXiXj8b7Rd+inHXnoJwoi/Qnzp2yPF/nwy0NaXDbY++N8ffVRsefThAyBcJIBIuEjXkDqaWwfNzY59wm0ybyosRUIhON39awxhVA30otEcWBRL/q5zvy3aNNM+m7fzJvy4OkrXUPkV5Ou9i9uyrKAj/dJyFpJ5XhBCSyRAo+Pc8i7FudmVlZXj4+NmnViaRG1v144+PjhL+3i0OvrVk715eJE/5ufJRj3aPBhGobVYaUSZro131pJRiaCqq4jP4bX3jx/PnmgvZmd/XjPYi/62vr7+gnSqLq8+RHET2uV/Vd3DKxe3h9WgrVTpRBMi7liLtiUN3ZfnqKF+4g86hc+/r2kKrfCxe16bJyX2yGpO9soVdpqbVRVUBIZIhynOAg9FGIR1LCEjT7U/bBCeO1GD9iZR2X00e5dV/rh/flfHd3mAEpaqfbmq9upvf4aOME5v036VyT6SZpYdtCeq7OoI7yvyNCcoDhgIbyjaic3hlZKDAYhKD7eykO5uWS9hYhhCqzV86pxQltyDo/DztKCDkvfTTo5/kpHEhCgNAHSyhvc0/R1GYegkTQUj4SrR9pQFTIcnRNEk79jOYcJNehUymQwrQeAecg1v7jLyO3epxqfjNVzdXrbWoHVGiJf4CbfSIxQUxUwfQEfP4T1GYuixKiPscA0ZqeTP0WRPiAm2Owj12qy2qNM1fM9s0d2n9rRNzFrQN05Dk92kHCxZr6Cz51AWFFQQjYSXba/hGejq03qiV0oMmrcwEP5ttke7sqGW/pdf/6G+tK3KAvYjvHEWuvpJSZK8olktWfwf2hRMlwEyDyYAAAAASUVORK5CYII=</t>
    <phoneticPr fontId="1" type="noConversion"/>
  </si>
  <si>
    <t>https://lenovobeijing.sharepoint.com/sites/SSGSSCLogisticsHansonTeam/Shared%20Documents/Forms/AllItems.aspx?id=/sites/SSGSSCLogisticsHansonTeam/Shared%20Documents/Notice%20Archive%20of%20AI/5.1%20Automated%20Email%20for%20Inventory%20DB%20reports.pdf&amp;viewid=8f01aa75-ba60-48df-b62b-3a3bd521f953&amp;parent=/sites/SSGSSCLogisticsHansonTeam/Shared%20Documents/Notice%20Archive%20of%20AI</t>
    <phoneticPr fontId="1" type="noConversion"/>
  </si>
  <si>
    <t>data:image/webp;base64,UklGRl4aAABXRUJQVlA4IFIaAABwpwCdASoIAiQBPlEmkEWjoiGSaF1AOAUEs7dfNBc4OzLUtVax/sxOJyHmWp8e+p/1drM/YD4I/1P0C/yn/Get56S/+X6gHSs8/X+1XxB/4f/gfsd7ReqhfZO6J/Nf6zl8fa/5RcH/zf9n21v2v9v9yf939yvp3wC/YX+s/K3itNk8Hf63/zPWD/H8/vEA8uvB59R9BX/U9pn/Q/a/1h/VXo4/9PsaftMS6kx7YPKn5479q4b73Da2IHU2+DDggA//nPeJl9IJr4FFpSeUe03uEGPEvMBQiwazVOhMmFxikguKAahE/LcIGGsk0lTstaQcAxfoJc+cFxcXBhCL8LcTBeQGlBuGKmeXQC2xtotnstFmpb3WoIMtT4y1VrX4JCBy5laGzl6nsdM7a6yP1hQCtYydTgJdZVPtm3rap4J7td4msH31bmFARj5bTSW52sV8+9Dsg55Lxm/IJOTItK6LAXtzCEUTqS7fHvdn1OKB8aocn8zj6QODkGw1pR+B+rjL6qMBE0/7kUmi5bOI2BaYdYvFMIRnWgc6+6bQH5fxFwf0cggXbxxA3U31w881hWpLAPNE2oAfNtL54rETTworkgY5q4QRqmdIl8EFRXoKDT3YlFtNHsfHoGwDax4Oyqszzn9Lob9Et+nXMzPXkjxxt8mjOL1WSWs+ILCUKYRl0TcN34ienxkszmE3AaQ7IrgwZn+RZArlNz8x1me2KSMZ9Ot3nilB73RIIwaB2pTpZWUM2ruRbFP/lsHX5hl2RqO/1WzVDQPKAydtICFVNKMbeLQAP/Lq+oHzoSdZwMyV2WV/9HlAHsDnUgKkxh2BPktuIkxZC00O7x6SxLyfnlT7DfMGk+RwTLS/KUm2YFTuhVaXdttNozksBeLuoJdv/lGVZ8YgzJMM+7ttvK3ka3c9CTHxfWYGALmzXO5mUf+QbRc9VQ+ayELTPI2FeDv5czvuFhpXOrr/kLFwN40u+nZgF0dFiAuhDW6TNc828i68bFhelqahIXjXqwFryvoz7uCZURxhre91qACCXsGr1x90xsm2lAgjyp7AXsCKDQZRYTBmEllTkyVRF/6PItuyqR3yf05srQhYd91I/jF5ucdOh9p8a4XhnWWvDGLGhIJlmhwatsrOSS1mb2PusjmX2RyV3++pWqzWQ7l0NgVDraRTHndeHBNuFJOkM/ZH6D+qLmBuyo9MlBVFOeVPKfgzIeLHpSO0/Fqg//EO+x2oZXhxejW8ehi14zRbG/k10026zZ0QHT98/F0b+66ye4NFrmAMqkgoB1Uqy8vv5yPK1I/S8mTmXJVfBWyStpeB1LBmL/OJpaxb7kf9aMTNNJg8qflKnrcWHNklki/LPu98lg7w98LfjVBpiNwRXKyW51BWpQcrON8yX3H1MzqVZtxPduvqhGEXJLIaUMl5UIGDqMrk5vyE1xNCT41TLq/YA5FsDVbG/LfXhYC3ddShnmwXyevZkrJYhAwFlzN8dQl4+gon7cDrtpWNr5JG6ryglBSJ9GrShNQKRN+ofwzWAC1pdPxD1QIS2bJQ6AdB2bjxZMfXTsBscBlRSYfdlo/1gavFzQ+7pRv7rrH9aQnQpvMjpLLW/H3+CaNZ3XvowHG3LLMfYjuLllA71+DTew/7Dao2+KuLvy9AIJiQQWvwNXVbS0SK9BeQtMU/J0sj4kiBgLLmepy40rbTV/BH/7i6sH0hmLdeTvM14x8MaVRF/e175vr69zncEJOiEbwpPpPhXWskty/33dKN/defhWSvv2GCIA0QPHP6eQaETu5wq6xvibqAXXogAP7oi36xi187/8H4CxkqZek+CAEeioP33S8VQeGunq7Uk/vh65rD0L4pUDDeNIKJ6tmH5/8PKJr4hC0uDnQWZMuyhU6qBymnR6KsdPtdJtBu1fXNcFurJMAbUKgpgj11Zc261YYnSBsRP9FB0atwrt5E1kD/bkTpFyqYFKrBIQC4FXiTAGVzgtvHM83mBYyVCagTFWEjbBeTEROHYSHVnO7wFDY16PcZTd1rK2Te7cgZlLFfutxhX2UrB7gfLdf2ZGjJAGkCJ38X/HP9bf/9BZv3/22jEEuzRAuHhiqFtrGuvcp6xlVEOb9gv03/np/7ywaRx6KkZfasSDi504qcpVxf3iA6GYNExdDKid8Q6BVZrQi0yWp9CkI0yH/m4neo8rH2RQFceoi3DLZK2MIuMBcVRr+ovRc5p0+/aV/F6r1WRrn+r7272+/fEAPYKeWkLhigFH4E7l8GPBbsP2HPufSE8gt4XPMVQ99BcqiAxHCUoi4iEhgpQJN838RBmXI84BijtpGR7QPRNHeVd+DhP3XGFzxcuUVmHttN9n8ZWzBg37jFvatmen+J6640Ir14ZH1HznHzYXBHVf+PmckJTSvwiCXR/glTzs5+vYF6ULGnMHrXlx0x+iPBG0Gagwx7cBP9AhutHLQ+LC6w7vYYcEecekkQ2+xpkgwFlb8gTpttC0zenfm6/ctm467XcYtVNFo3cxu0/5Hs6JHwHtMuP9Go8Z6gmjPMFD5sDv7SZhSfjqZd+boPYSBmhHcyvpkk4bzxt9mmZZUD+Gad93INcBTArbt/e/pUh9LPPdjSsM8piPE2kJ3+TtMIPwrC3cYsDYmqUdfpkOSrNiUVh6ALknmxQKX3QM2CMmcTv/BW+oVqT4rs+WkLg1mZwrD/Uv/lxyNEUlwd49yAV1iwWQNchBMnlaMtA4YqXyl9efxswj1WR/eGY8iMcU35JY/4S/T/Ly8o/mCzsH5H5Jgh/u8V6hAAOZ9bKrwZyy6r/bQYL4StsuOyFwDO295dY3CIdJINSGVdHnL1axVTp35OMr98IxFdKc+azBnn11RYHDHLDz/Bz7dWiyipFLkjx3vjuIZudzi2/KStxRdOo4HCjBFB+nFjTYnso66qGBSlW2GIioavdxUbkeW9Ic5N8oYimTA7kGkf2kKC0ZL+l5iZvXaS4pf7KR3xWR5wh3nR34PpneOetZw5f4C7qSt7YGmOf2NqJpI5ljCYOtBK4mQg4sswY8OMiOdKkYv415qxqndQWZA13vs7Kkv49axM8DBXlye6dl252vAk1eJrhBY5OdaTOffVOZQEXl/YDJ36UebA2n3oteGYP7/AZjP4CfrJ1mUb2C+Qjoy8mjXVBO7bUIVCrAkFqk/t+E1O8L50ZkaBi714XQOX5K79M9aTjz8cfoDgdKrCzilr8mULo5KiYo9xqoS7MqH+njCgEZeIg4HeXnYsykEM/pft0kF5OE7v/Af1b4MqmSu6/pelvpzHi+D6AiYUt8XfDNdUbi3XyIKVlSjABAwZvAeaws9X8U2sm3JhErJaYuWaTTrK3E7rc///P7dr8adcV/Tmhr/+gtzIlZFNlr5G7CxjOml96pQ3kxnmteb7+O2JgjIrxYQFI6IODIs/CtCnlJ2z1w3aAHcraRUCQ6SL3Uk0vi5/H+CD99HE4UvPoLvAIQn90L3fAaUW+dOt+hmHHgbpliPA1lYhbR7ifTZjLxK7XmHo5Zvep0q2rGMQpIGbXYiZwzNm4Z7BQydedARf7a2AOyTjdSYDYfZN0pO3WNgqsBNStoBlzAM4CJqFhf4jX4q3d/D+r65kmh9/6GyooVymyLBcNYmLGHk0eBpYder5TtAZm3atZOjCd0SSaJPwuPouUN7LKNhRUJ9mJuvGTVR4szgZRwvDnX+eMjDgfjjmVSXTi3wMWkE+j3TtySIspRezbUU1CISUkUNQNVW4Apq/OszhK3Ri0vDvdbQf0T0aFqzQrbkSRSjSjsi+tfAAEUOGIyvnqYgHNLzAJXtOj6n5kEyvZMW518azloHFbiA3aTEo/aPYp08VcTfUyBGb2PDva5tlf/d1XAAYuYenEphhTTJ4j4R9n0IeszihItq+JT2lacUlKqFfxsKBuA/qji3ho5MTGSOYTIS3/yUuIb6BqLwMnHg0ZZ06sTpG3njwYBlt5IASo6H6a/oSouRp6Sgju7E1AKm9NVnNEznvLUwfwdc4bQ4f78umOkqS+srfXqwjoXwmca3Kuzwp0PjigK7KvS5x5wTQFCBDOzkz3ewZzDMv8fmjfVukAGzpUbFwcgCdjfpJgvwKdvrCg9/kDxuKPig3Fi6TIdGslu8i8DFIrvzQEYc5WuNkPW9Bv3K23UeukfuRbak1OlXnAO0xjpZW3lF/Bvo8wdgJg4t3O4wwRF1kb/OImTGrnJNM9NZvShq9iLf6ndTp/i7nF2+O2A8/A1wa1EytQ5McT9KRAKzi7PoZOWiWN31j6USoZszaXQIwSf5BxIQjeZxz6LbxAbZC8yjpb1VFbxYUgGpIRNO2XkQ+ieErYATrS34sQMpPA+UBgCvdoxHRVtcHllcPEwZf30kRDOKYaCWHR952DUcKRzE1X/1rw5TJ+nxUYTbfrPhXWIAUynpCIIZh7sj09tc7X12FFfQBI6dgOs9AxXN7NlTC9w/cLQO+MIZ77o5owxYJKRI9NO/T3w6YkZjWaF1vYM0/hpdQD5OavZaMyJqk2FgyChj+Ap6+K/V0d9OiLqXAdNRsIaJw8SR5ACsrA+yuDhxREBXuXvN38nXrP+k0AjqrPG3ltlqQFg7gEdrjop92/T9Kn/ec6Z+FZxMh0eL0aoBq+IHllzn1PlrTZSC5aJzitXRGJHS6CYi+91jX/FhwHGJyhOcmbeQ46BAB+gQADFnUUXuunwMPRx9bhgwtYD6DNs+UReZTVX48EnOVz4pSg7qbHNkIGG9oYDELLLEfT0Wl+gF37wMfpyCdPFeTEIdKjnqJHB+lZm7vyvjibaEjEty/FJh+5FHcJkYvXeam2F1CqPZyqj+t9N2Ef+I66fwWnY79tl+UP8uP5gvD8i0neuKpoVjSlyvSroGMtYj6a2Fxo2/ZCoL+kpJqsqXBOLFJrZjoDX7W0PBsLI/8HTZy1/gfzNcD9Pfd6VHF8ORD3sOuFPRk6Vg/LIvPXiwjzpcmGn7Ppi79m1Qv8wxNpAEO0/SAopitJfA0Ua9xrQXVzer92Ze6EYASxZe8ODJOEf4bYyIYjAaFKHyuMWS54GTCpiKmV1QrnBDUBb225lwUriYPXZBepe0UaY+elWexJILiMoy92S60zDKzKz+LxlWGeGqdrDUzoLLncdKHtewma/1HGipld/3UGjJNeQ2OVUfAcPLXIYUEeSlrVyf/EFS5BzYcdGWlOj3DeVfNl1P6hQATKvEs3xQr8U7DkS9K/f3w3xOA7+/EFnL/zPzIr54/a+W9V8CYOGx0ooGCA1cfkW4PVLCPzwYpFbdyhGbTR6za9VlXKIHuzVFZ4dVTU8sup28eVg5spNZf3XJjxhPPO0RovIhnCku22EcU4v0i2VmKMudzdGUOpHzRpaDa6MZ3hGViq4EKl7d9pJu8VZ0s/x3XTAFe2EeiE+8MNTgvQTUEVxfDvtJx6RnaIA4ZXEJlBPlqQ/y/a2nWPsrNnbnNKFWmKs1LqjvRKtMXmeZLeYmyQRc9hkhWX21oyS87Aqmz5uyJ7bHOdpf/3A14Dkt2UgTAzemZoy6R5qVbaIh2Lbzxl45GqUv7cXqG/hIqzVYh9rBo8yg3Lqb+MUqNw9s5sxQAE9lTpNEVKX5yRlVQ3lr+BUcf/9oeCx8iymGtZANhsF6oiWvHp0sBLjgG34UCGo3/jCrumJhNgOzNqQUeWBvVFWOVRUhiZ+rstGJtw4Z4hBYObfl1uu8rnJYE/cuQK/GzkUycoZywy1hx/jEmxDC1n2zkam1mpw2r6P8XVCba9iyJGxVMHgi8Opq282ZQhHxua2ibivYzXzYhvX2sz0LB9+8+6qD5JbR6yWXUoAE6I6WAsBdQCi/co2Sj3fcRreLHWIoucfKSGs7c9NRBD2+TFeCtwTNuljNuPPyYvqxpkBz/0B8/TPDr6L7Qn6j76CsQP5ypsmCf98TjIxx9eX7O1rpQygBytsGkHzDukH+JGvECUZkbLNS3nf8d/+6Zzt+z1vY742ANJADuBoV646ymXFSngmjH/lq1QBke4cwy6vBVwS3bEXnayr4rpDUnYB5+rnde1+MVsQDahsMesGNEL5oWuiY8Wh1+jy36EZgKf6tJfTmv4rLsPNrbRzwJ9Jcgx/HDS2ZAAAfpqXY5B8gDxL3RhLbepWSsUtkympWP4hUdc3xISk/Bm7PcwO6UuYifBY9qm1cGduo8sQAMiKq+07dctDLMMiCLyxXz3ZlkFgGnlSPKccM05INQoIu0hg3XGYNC4TaaXIH29xjpLdwiEc3P1o199B9PSVwrC0x2lZKQU1XaryU5F7iYjJLS4Kkajj9okSheiyzQRbB4Cq6hmwMvmFeGKX4O/lciaP8W7/ljMjpQNdUDLPHcex/dfBiAf/mvLwDW1aPhNrMeRCPAU44hevGEh4bCb6spoQ8wEv+k14ZQYNBr6/QjFZDMv+lPxg1tR79P+GgelVLjkexc2qw9ny/mUJxY0E5ZVCTBRSWCB36FtWtcOOKj0ZrfODk9kmlz4gJgxfEFfTmjZL5cJwwbpTuk8EfZlMo+6Kr+vKLUSxoPFE8W2DdnpUlhGk4cUJ39zykrkT9KvlBXD6dxLMhNo8VT2lJYjML+sXT1JZgZ7hppIftCT0MOmemPKIIIXBMib0EwtMhqrp+5S4D4PUo/59p1qVzLSa1T3vB6+wmcmJzY28mCFFp60qBBo9LKtX70Sk5DQOkUI60a5p1/svsAADG7C31hBEHqb/UPiLYRFg4sR2+01XgWXNTz2RNngSk7RmiSU+GUtXGoOBkllAaSvLNibX6Y+hjxGj2ayPjzvZH9oUvJiirBpoWreWTsbsl4NHE1zvrqXMWJ1u23MRKsoiPHMbo+QnGGUc/7zZvpVnp2ps6UNibQCdtjQ4h9ANI3Pvs77lkgG4vhsWYC9RKawFjPf/91sV9dXZ9e+x4fzuPjiXr1C59SfISMYSrFVh1/zMAu7Pcleno8MQ6kz6BWFEVMLVRcaQRFDboyLnkNtKvMkVUGSCk0GmLyfQIsQvZ4eZVGIA8x3SKOOQQMeuJrFDfsLztIAgQ+567jZfrdY4L3OEwSwu6xMxNKjgvHT/s5/35Q9N16tyCz2E4TqYsOBqjB4gggZ6AxE0If2qCGM6Zf+cH7rQAhnmN2bw6vCGMqkwhjUlVuYw1NStAJnIlOsC2NZiq9YOk7MwVMvWv1d4UQgcuerJAXAnw2tENj/uMhRaVuKmlOH7dvWAEmE8ov7PR8lUU1gt+D9T8E66dtRHba12+xGAAKhh91L8SI1hSnYMa33ingoyKk99sWZUXyxK7GYV0e9EVlB10w9j/dac8OIYOuNZkWJa79jHsYt+H4JxV6ptLPEtmXW/i20ECsQi6bGgyptNrXvzqvInvMrZIBn3oVOrIgsDkOBV3F+2+mM2hIxJHSPNEm4tXGZZKYSIxWZiY/n0awxTvIGoJqRSbArR8Ek8VwW8WYSmICZiYQ8/3ILTItF0B2KsogVwS5G/cpOe0CrPjgTx7DeuMrlTDXZejVMd+F+O4Z2cQ60uAoa79Y+hm5SRax2jQYVaXlicgnHdG+yuspr4GeD7c4thIAcq/4e0O8Ca/3MbEWkd8wpRHs38XI55iz7KgdbHwneG11/4L7z0rtrwzCTAIxz5UAhSg9KdhSyaYgMCUhpHOQWhICpoikwVgid9+57wuwifkIza3Ph5hAddrEHUJ0Icx3N4oJqYivfLytMloGLpBBTmpfKR7dG+2fq8xzB8T95dHVyz1FsBdOiiyMBU2ym5ZYsWTcQ4G7Kd+aLFVaOumw2elmfRi5v9j4Hd7ehOvERGxO+0o45kHAZVuqloZ/zfmWmAuG9XVvr6ezorDAj2ZlwHd5r58d33SFngCxRxOxDXvR9WwKy7juIPo2rBP2RDn5u04Y7ngbExL1GFHESkBf0Srw46z5dO7Snbyo5USPypNqn68cH0AmWexKqxR2ALkozSXIfrypsWPVZlbJ3qQ7yLL2Q+BZ3CY2Qo5rXFDc71VSKkNsJWl0q46xRci2fkDOA8q5GCpRi2LBxC+4h10uEWr8ZZG7+lu8f3sbEUDxW6DogprLoWHG134zZ+sQGJ8gbd5ttBA+Kd4AT1OGUJQR2c6s7C52meO3ICj6B9yJ/CEvMjcLmFid/S0lNWv2aRu+P+vwq3Ritr/8+JKwyOXgPOpuB2pk9TQyjmobhKtU8PRd/YyzKz8G6XOrBw9AnAi8RoLE+W8oHrZrYp9+AAAJyTXtWhOPqitwMDq6Y1Lx3XRqItYBF4UrN4F/F5XHcbP101Ze65R5F+jBb88kZuFyHzsCFD4zeKjOu2pWlKz2ZN5JN82t5FBCTylqks/yS4pD2Kp0UtYaC0kXHHfHLaxEmGC9pTYQ0h6zkHpO1g/+iibsXx+gp4NYYour/id25GpaP82OlSX1aN3Pkr0wX3lmthYftb5DxKMtVsLKU2iZKH09JPM7m0iknLFqo6X3ZTr8R+j6cEXu8tHpT4M+XFMfI21Ts4ckJ+KAszel3pYIogqfi9uRj0I6UMZZgdivZCF2jKtwEKEx1cM8o1YaJ99lUT1BPe34DAYkSTXC4tqcNJrw7lPyaIAI80Llo9qlkQbdHsl8mDXBhM90Pr4q13p4Dj5VeKmMCtKDjplteQzBj9v8n+zcl0TwokAL+azZixnG2RcgVPpbSsjpNPw5xklScBXLoi9Sx2reVK3QcSOdsWhToSd5x9UYlFDSo7DHeR9RCPk7mwWpsMbopTAKopiCUfBW8T7TpKCsh8lMkJqAMALvvfoY33mnPh3qCDKBUEDhewJkdTXV61nY3jWKIntcz7CaGHadDMZIQpr9ChRfnL/JiL9Y2gD7xqNH06znzDMnJLsyEdbMagnhY5VnqCCflOupIT1tl7MtB/tgxKRLQcnaMT/h2o0zBO2ZlmY/j5tFnroO+bn1510czs4bxBVmqRT+O1PkeN5ZNlKbDgF+QwHgkchwMWglIEoD2uNhPUgRgaVw5TJbIIM5li7+AAA=</t>
    <phoneticPr fontId="1" type="noConversion"/>
  </si>
  <si>
    <t>https://lenovobeijing.sharepoint.com/sites/SSGSSCLogisticsHansonTeam/Shared%20Documents/Forms/AllItems.aspx?id=%2Fsites%2FSSGSSCLogisticsHansonTeam%2FShared%20Documents%2FPMO%2FRecords%2F01%20Tier%201%20projects%2FAMS%20AI%20Projects%2FBattery%20Master%20Data%20Platform%20V1%20%28%E7%94%B5%E6%B1%A0%E4%B8%BB%E6%95%B0%E6%8D%AE%E5%B9%B3%E5%8F%B0%20V1%29%2Epdf&amp;parent=%2Fsites%2FSSGSSCLogisticsHansonTeam%2FShared%20Documents%2FPMO%2FRecords%2F01%20Tier%201%20projects%2FAMS%20AI%20Projects</t>
    <phoneticPr fontId="1" type="noConversion"/>
  </si>
  <si>
    <t>https://los.lenovo.com/battery-master-data/pcg/batterymasterdata</t>
  </si>
  <si>
    <t>https://lenovobeijing.sharepoint.com/sites/SSGSSCLogisticsHansonTeam/Shared%20Documents/Forms/AllItems.aspx?id=%2Fsites%2FSSGSSCLogisticsHansonTeam%2FShared%20Documents%2FPMO%2FRecords%2F01%20Tier%201%20projects%2FAMS%20AI%20Projects%2FBattery%20Master%20Data%20Platform%20V1%20%28%E7%94%B5%E6%B1%A0%E4%B8%BB%E6%95%B0%E6%8D%AE%E5%B9%B3%E5%8F%B0%20V1%29%2Epdf&amp;parent=%2Fsites%2FSSGSSCLogisticsHansonTeam%2FShared%20Documents%2FPMO%2FRecords%2F01%20Tier%201%20projects%2FAMS%20AI%20Projects</t>
  </si>
  <si>
    <t>data:image/jpeg;base64,/9j/4AAQSkZJRgABAQAAAQABAAD/2wBDAAUDBAQEAwUEBAQFBQUGBwwIBwcHBw8LCwkMEQ8SEhEPERETFhwXExQaFRERGCEYGh0dHx8fExciJCIeJBweHx7/2wBDAQUFBQcGBw4ICA4eFBEUHh4eHh4eHh4eHh4eHh4eHh4eHh4eHh4eHh4eHh4eHh4eHh4eHh4eHh4eHh4eHh4eHh7/wgARCALABLADAREAAhEBAxEB/8QAHQAAAgEFAQEAAAAAAAAAAAAAAAECAwQFBgcICf/EABwBAQEAAwEBAQEAAAAAAAAAAAABAgMEBQYHCP/aAAwDAQACEAMQAAAA4l0ckaSxoxITJZQUkipQCIJY2SSIwhAA6AhUDDE8hK7HKErjNlNhIqE0kMkAKEEFRFKa4vHZhMM8fM4yzxyqy18VeZVsbUWcsiUs5ZYpDVo0RSz1w2647tZnrlYQoVpYqMUVbEEoAhKxZRxG0HCxKjISMSoMRRRAKikMjRBQEAhK0IVFGMFAkVKnChgJC1WkiUsSgxBAFBtTCMqqMKkKZGUSkgK1ICRK4SFEOFaBYKI4VAwgpylgSldk0kkya1GM1kNAAERARbMsRM8NrztGynE8cqmK4xtzjlXmVfG1ccpk5ZRKJyymSuMbjSylDdohv1SzxdwESoSqlRjASAKpSxWlIcKCgKMQIVOliBAjpCUHSEAggopQBSHIoKMYZUxoKwHIgWIwpAAColApQCJG05YLGwpVEQlAUEIQQIUQSAqKJSAEWR4jIDxEO0QoHUlkTSZNJsZrMYwRqkiEyo1imWImWNxzjjkoWOVXHK4xtzjlc45V8LWxyrxXwyrzKvLWia0kss8LPbqtujRDfpnlipFaJEJVYUpYyA8oEZQJSgVEAgGRyACHgWQoxFhCtcRygyEUAxKWKCkAQqMQFCCpBGAggVCVokFSlAoYqKI2vLCONiRpVGFkFWNBUgkBIKAAkJRRChBWEhRAEPIU4CVSJMJkyoVFmsmLBQEiqMe2a/GJlizrxUxs8c3qtfDZcY2vM6+CrjbnHO7xyvsbeYZXGNilplMdt147fptOjnp79TyxUCRzEqkFSFRxK1oUlUOxSoAgoEEGZBiIMigAKQxAgKUpUUBCggCkgFEqAIVNiglABASlip41UhSukAAbXlgsbAjSiKlRFaACRhU1MYUQrSQWNjBSiJYxWO0kKFcgGVkNZEmMyaTkqVUUYyJMkCJLZcEzwEyx8t5bepkYyWGV3qzho2w1bqmGycMqS3Ut/jb7DKvjaZZZY43brx/RotunRR36I3GMJVYoKQIqJUAlARWiRlYkdJVDhZFRAFKGhjQQZCCoo8aWFKkoIeJZFQEFEIIEFGICqBVcS0gRU5VYCZAoAA27LGmQIkRSpEsaLSQgxqyxFjTHiVqECA1IKbEoV4wAYBTprMZNjNjOZVbjImshsmwRRZ4hdelxEyp1cWZOtks2Ws3qzyHBuxmrbi9PTQmUEhVSLzHO815V1pSWmeNhsws+jno9HPR6dNDLC3hUoBUhIQmSuKgZFCJRAirohCxOlkQ4QsY1BZCjE6ihRCtIELUABCpU4jkIYoACQohZDEIAK0QhKAJTIoIANtyxjESBACMJVaWRHCgpAK0xMViFY5VY5k0VOGFokoVBKGgTV2ymNS4zWoxmTGJYEGWNXBssLitrZVWM3y7925M877fn7pybe8fzT9Pi/Tw4h+5+Rg9HTj9WdO2FVMVxjlWlglDKWWzXQ36afTzx6dNLbrxOONCUEFRUsMSpCABSpHSpSiCJSFaxYjIqIMRSoGhKhUIKSK0yAkMStaApVSGEiyoEASAUQkBBQEJRQVKGIVu3XCAoiRiFERWNFqmIEqsSloIeJUoLBQEYwQWQrHEoVpTRrNWkpJsJ2yGQWiyoFAoLjrcYtrjC1pl+Pp638h7eY05230Pi+mfwb2Ncymd83afR6eO/unk6/wA3TitG6jKTGazZJKDGx2y026bnr56nToW3Vibjg5IwQhWoUEK0RDpEbSQVDRIDFMgjTCSKgIpk7AKEQWqQAKBBDljYWiKAVqHIUlJAYgBEKVoshjSiWNhKWAlDbc0UpwJCERljaMVapFaBjFaSlKAVhKkdEqphDGjsJWhTpjgtkSGjSJQWgyti1q3WkU1okIQkynF09Z+R9ujmt89Prn8L9HW/V5LPfhgvV19G+O7a30vPyn928bA83Th+bqtteRKFKra4WWUsNuq+6OfJ9mie/TjMsNaYYnDKUrljTsipIsixqoBEqscK0QxJSwUFieUjIBcgWIooEACkLRBBQSkIB2IQlVEOFYBRKIAoAmIJQQyIxKqZtuSBBFMVjYUohchiiKuVWEJUFhKpTKCEJUFAxw7GPGu4ugYKrQRSKBbFqWxRuVMjCGgpTMpxdHWfj/ct9uNTRj6o/Eu7X/U5LXpxsuqdf/O+/h36j5nRfje27+l5ub/vnh4bl6cJydeM0bqOOVC429xscpj9uq636M92c+S6tOPuGt3DVcVtjlVVSAqUKiECqx0ojK6EVKHImTSKtFaSFJUKngKdRpU4jTxgFEpCCxWqjEUkJSgSEAWoIcFiQUCEFEqohBRW25SAiMixUyKoEjaoBSqlRCQBSohACgIDiVIkMp0rKK0yJAprRLa2jFNIqARAqErRMrxdHVvkPcttmNXnx9Ufindrvqclp049U+B9HxV/S/zXo38d9jpHxfZw39T8ro/xvbkPp+XQf3/wcTz78Dx9WC5enHa9tsxscscZu1V9+jO9WjZOrRDZhgrr1LFq+NkyqBiSFqkiFoiVAhK7EoLEWK0hQUAFKAVA8SyEKixWmIFkcGIEMjQKmRCiAUFEAAjRKglEKFUiFaQUzbM0UjKiDGMQxqyiFKkUqVWGRY1U4QCokjax4lTAkISWltvkpS0yjbEgQIQhgIBEAJkzLcfT1n4/27TbjW0z1P8AiXbr3q8tpvw6L8f26H9Ty+ev13ycP3z2L/PPu7H4e/hn6r5XRvje3K/T8ej/ANA/P6/q6Nb4enCcnVjNWywMLu1VN+rOdXPtXRqyu/TjM8NYxw0bG4HDOotapRKBFSlKUNEqoxFhIlLVjASPLJQBlFiLSAVEK0QsMSVizIYoBQUAIKQYiikOCQtUgCqCFa7iCpQCC1xt2eMYjEKiRiOKJHIrYwkTJCCQopSuFSoFBKZQhjKZj7bCqUtOhILKEAAMBAIgRGmb4errHyPt2u7C55nqj8T7db9bjttzqXwfoI8p/vng8n+947Hox2bxtvqn8I9nonx/bw79S8ro3x3ZlPqOXmH9C/P61z7sTy9NhzbcPo263kjt05ro07X06tl36TbhrjDRMZoevZaMq8lWqxUKkk4gUVqwWIWJ1GR5VKpBQQUQCyPEgEABkIUFIKKUOFAEKlkB1EMQLIQBAgohCtBWA4jBRIlLQ2/ZIxFIkBYILFYpGxKLGgUEKlQilQUIpQYQVTrGrjraMOnTpRGGIY6dRgCCEQTL8PV1r5H27Pdhd8r1R+KduuetyWu/HqfwXo4T1NMc55W/d/F5n9lyX/NlYdOO5/O7/ZH85+/l/O28N/U/K6N8b21vqOPi39CfP2+vZa8+/F8vRqWnPG54ZPdr27o07J0aslu1YuzRJObYZa3jsqJVLiWuxy0bhGOxvrvVu4Jnr45nrVCpAja5AVEiuQFLEUUpCLpc5LrZ6Z17POW3Xj7AJABBaQqApQhWiEitSSxXnPrst2zbfC4NW9jspb82IWQghiRUpRQZt2yRiNRliixkFhLGkxjKlVIUAVEIBUyI4IWRBWPjFLbWzJDyToIkYZKmiIqBChSZjh6ur/Ie3Y7sLzneqPxPt1r1uShux6h8H6JLK4eK/wCmPntC+n5stwZ9B+V6eTfd8Yer/wAF9nsf5v6hceH/AKn5fRPj+yP03JyD+hfnKGO3Hc+/V+bbrmrO62Y7Nu1bJ06c1v12OeOmzHneF0vXspLMqGWXe8VWPZWnZSlvzzHs18Z26lgKVpMShVDqMFClGJUF1W3a7X58vUWzZH5/bR97V4w6NFnSBFaBAiVU6UqsUSEIcmU4tF3o17F5PH1X5jwcB3dfDPu/qKPRkCUCBEAshCVm354wuSmMYgsZIkSFJYwoVKI2kFAhUChigpUi1MTLYq6qDqVVaQiBIkSYhFlEiRjNef1dV+Q9rH79d3y31T+Kdut+tx22+dT+C9JQ7MP6enwN/VnzOc83PafD3dK+N7OEfqPnYX0dfqb8M9jtv5h6qHceHfqfl9F+P7D6bk5L/Q3zmPx267zb8Dz7LeZ5rbq2Do03XRqtMsNSs0HC61r2WsqMpJu8uamXsTTnRl6sY058eds9fEtmpWiEgISulCUyGIhF3W3YZUPOy9bb9lh8ju6D+A+jpH6Jz2n7Z5/jnfqxeULFRiQsjkBZVCHCHCkynJzXmjDaPF4enfN+GQGC7+vhf3H09Dr2JCUABUlEFDb9mMbViSU1jjFECFsaikYISpSkIQQQqAooikYqXFWlVUbJWTqZIVRGTJyBFSoxl/P6up/Ie5jd+q75Z6o/FO7W/W5aG/HqPwXoKULDv1eQ/wCg/At9zYfI2UdsvuTLZ/Fz4l+lce5fPbfYH86fRxoHljxD9S8voXyHZU+l5OPf0N8/gtWzE6NmP07b/ZhlejVDfpxuWOhxrWOWIwzt4yZu2FuZfa+rOhL1cqAYk0Q867NfCtuokBQWkqCClQEXcu2y3PmZeqejZi/j+jov4F31+cq0D9J0UP2/z/FvRosrDIocLIYkGRQBSHjMrxc91qw2rxODpvzfhoABMJ3dnCfuvqLfo2FABYREFQVuOxFEkYgsZjHGxKdJkpjBVKqjQAYoq8pGiEOClFjWGmVsVskldKyUVCYUqROKkSSKiZfg6+ofIe1i+jCtzT1V+J92uerx2++dR+C9ElAJMfB/9V/M758r0XGm97/KfUVcB/V/Mpbsaum+rvwL3wBhceIfqfl9D+P7D6fl4r/Qfz+O154/Rtr5Mt06LfPDXstfO8csDr2Y5b/FukuYwvszXnZy9WOaFoBem8nOjz9s18Kz1kRyPFEdFIIC7l2/Fbeds9d788N8Z0W3511ct+o0+qPxrrwHsY+Zf1Xl7z8/tt/2rz/HnVpw2WJCgpAKGBDKywwyvJoudOO3eJ53SfnPEVASiCC4ft6eEfdfV23VmlSEAUkAXcs5CyNIhEEjEZYUmUcZGoxFVQRgEKnRiAgqlWImWMplTIEqZMqE5JEbYVOSrABmfP6+ofJe1i9+u75L6g/Fe3XfV5LXfj1P4L0VKABOY+Qv6I+foZvYX87/AECxyAyx8d/0X89unze70j+Le6gAB3Hh/wCp+X0P5DsPp+Xjv9A/PY3DZWM7v1UM8NZY8yx2anrzr43bcbe432jqzt5erlM5idUA5QdRLQ54cIzw887dTgpYjKCmILytt12483P1Z0Z4P43p6L+F9/zP/pvy9d9DD6Vfzb6nkj9d4+B/cc/ur8N9Dfdaj+5ef4s6dFhlDFHJKI08SoDGZbk57jVr3DwvO6P874yAZb7tum+l3Yro6Ns8/hwnTv2bj5OEfc/U2nZtJFAqsIKLdxziSORRCSCwIxGI2rFCWOUiqCI0QICtUSsSosjDTK3yTHTqpUyUVImkkiQZTYzCsz53Z0/5H2sb0a63NPUv4n3656nJa9GPUfgvRJQAAaed/wBl8a85M++fkvroAs89/r/kZTkdx/KfYVAAFSY8P/UvK6J8f2y+n5OPf0H4Fwxze3BbMdUuPLNWeta9uzYZ3+N9n6c8bL1U5ObyeaDajZzhp7FNcNoObHCc9fn7ZraFJRFF6u2a7Dzc/XfVs174jp6X+D91rteL/wBv4aHTNW9nXvnjbNd349v+I6PQv5X06H+h6Lf908/x316cExEVqpyJXhMty81fVjuvz/mdC+f8eOWWtd/Zovqejo/qejpvf20Msmd0+a+f6H43k5nk5sX1dHBvufqbPu2uRWgkBG5Z2NJYpGISRqMRWBHFEgJY1EIUpBYUqlIlhWJjFXJ1UFVSqlOSSziaSRCUJWZrz+zqHyPtYvfqveTP07+K9mu+pyWXTj1T4H0SUAAADWvc5uB/rPl+ofwv3SAdnlb958L0T+Petn/G6AAAAHljw39T8ro3xvbU+p5Oe/0F85kt2D2Y6pi55pzxmrdcY5+wNOy2jqwzzmUwOkGBNRL8rndSBzQ43lr81btUsqoIvTbddr+Zn6v6tmvfD9HS/wAH76umFEU918K/0P5/ob826e0fne8QA0T9D0W/7nweLuvTjbiqMgGrHLcfPX1zd/n/AC9/8Hxw4T9Z9LyT3faBGV06d487h3zyfM6R4fkOYihjOvo4P9x9RY9+5UQpSwXcs4hEMkcUYiRWJAjjIEFiKojhEVdJGOCLWsMysmM8rO1lSpjRy1CaSsZEJc553Z075L2sX06MjxZ+m/xXu1v1eK16J1L4L0VKAAAADuPkz9+8Hs3516PTfhu4Tlv3nByP9A4fV34H7ylAAAAB3Hh/6p5fRPjuy/8AqePU/wChfmltx17G6vp2apq2+vtG7ER1UYjXTJnlk2otC2PRJEzIFocwOLZYect2ll7Ltmunm5+uerZrfw3R0z8I9CppxAol88/qPN4g/auHe/Hz+kf8x+pX0QAS6N+gaKH7t5/jvq0a9nI1LDHL8Wirrw3n57y998HyAK537fscs931958vz958vz9k4eJ4YCiiAKMcd09HBvufqLD0N6UxKmm4bbGhElOZIjEUgqiEkEWOUKjSVCxFCIlSFFguFtppUyrJlXI4BlSJsatk6hLmPN7unfJexi+jTkuTL01+Kd2t+ryWXVj1T4D0SUCgaJQIELbfo1+cP2TyNQ+h0DHcvnOn0b+N+vX07CCiQC0CAY7jwz9T8ro/x3bl/quPV/6F+asLlp+nPt/L020dTGBqhyAoG1mOImOL4zR2IALU5acrzw83bNe24J+Zs9bdWes/C9PTfwjunqCFoiXRvptfDvu9O3eRl3j856KuuEIaqtH+/wBFr+7ef4069OIYZbi5quE3z5zyt68LyAFLHAW2zZgO7quteFHZlneDlrYYCgIIFh1b+C/b/VY70OgRK7Nw2CYqo3KmIjjCWmkVjEEjLCIUUhCGEPIRTlxC4y4ytllZkycMBkyoxrZY1A159Q+N+hyfHv1b0uLvP5r39n/L+jzR+0+L6W/FfZlrzDR/q+O33Yax7evefmN+j/S8/Rfj+y16ZiPQ1U85cari+zDpHxvZyD9D4c95OcMmD9TDd/md+u+vq2Dy9lj0y03y0345LiyvufZvPyfWSWXdr8/frXk+jfxz2cL/AE58rrH2XFm+LpzOvPejKAAjlpsRuICA0g1I7IMANNMeeOduq1xnXdWzseOeX+M3bTradVkWpjqIzhCsUuLTZowtb1q7Ksme2ckJeLfTatf9jV5b5+C91YbN4nB0r5vwmyQWASC4Du6tU9j08Ns25CToHz/i5Pm0CiAAFWO/f5z/AEL646MkM3DMIJC5RICIQoiUyMkZYCiNKkMUojoq0xuGW0qpUqqVMnDACRUSvlhMS3nF1dP+O9uGax2a++/l3Zv3xuXFf0jzvQH5L60sbwn9W8eOTQfqtDje/meiCXWq8v8AtuXOeZnYdOv0R+SerkvO3eY/27xbnRn1n4Tr4t+jcOV4ct1+b6bbdjk+LPl/2/Hvny/Rg/T09q/NfT3H5jssOzXwf9W8rv8A+T+rif6C+cxf6V5Vnry0bHPqnH05XDLdjLgBiDh4jMkzCGYOiG1gBqRiTyJs18zz1bUyuJfROvZvWOW1GlnNyJemPICOxHNSmWJ2Dl9q6ym+dHjcRMRlj4v26q+vXmOPnjqnXvkPnqurXQ378L0bpZWrIY45HTpxHR1Vko2XOrFZR3O606sJ1777Vhs3m8Fxrx419d9HpP0PpugabftJUKEkRREgsKjJCIywIkaQlAQAUuOMQsMlSnUyrUsUkAVlSytcJWuKUXnF09T+Q9wyY7Zr75+Xdm/fGZcX/R/P79+Ueryb9B82hvxq6ctf9bVju3HM+fsuNFliw3qa7/hzWc7H+b+lqfv8+te1oyXNcd1Y4j0MamLNebnje2Yju13Gu5Lgy3P53p2r5/o4P+q+Z3/8p9TFf0D85afpfk0rcDi1/Xlz7Rt9Ac+/YMctyMyBgzmRphmTAlUrHYzcwNQMCeQNurnWWuUVF2u3IY3vGGzouOWzmCNFLwsy+Oyl6MQEimcSMTlj453abcS1dOu/59Jpx6R835Ftv26309Ge06cZv25Dm581xc+K6NqzzxfRvy3Pz2m3dDO3OGOJ2ZXeE6J4Pkcl+p93TfofSaEyAt23OIKcJIkSMQVVTiMkCMQpKhCh5FDKUuGMdVXKzoHFWqsklaCiSsq3GWUeNhLRlyHJ0dW+Q9stxmzV3v8AMO3oHxWXFP0nzvQH5L608MgAAAEMQDEAwAIVMQVZdmrg36r5ffvyr1MT/QPzdr+meXUijccHMtGwanz7NV17fTWnbuWOW2mcA4SZYxBigLI9MgaaY48S7sOeZ6r5KmJLUTalupl37Xs6RjlmzYjSCzJmeNxAAEcTNfyx8c7tTygEKKurDL8nPPTOs/JeBnODjQ6IQ7SYloAodArlxX7D6PUPoPSBAgOXbMxSGIQiERpRAhMYEYjbBVSgCiEWK4WW3qvkq0oZVqpE0YErHZO4unhYLRliuX5d3U/kPcS4vZq77+X9u/8AxeXFv0jzu/fk3rSwyAAAAAAAAAAAACy7dXB/1XzO/wD5T6eI/oH5uw/TPJu0RQMMz0fFy3TcXq3xxy9V6dm4Y5bSZ44Qa+ZUx5lzEHpE00wR4m26+Zbsb+S+S5xSsMZNdqmWQl7nhs6djlfDMyY42IyACEcWMLcfHe7VRsBUBCqppwzHJzy1Tq/yXgZ7z+MBRBRAABBVleJ/Y/S6n7/osESxHDjbNpAOERyqpYyMiWCQWEkYhUFQCHILTjE3LDE8laqhKmTioTQHY6lJOxorY42hMqZc2Zbl3dO+P9xM8Vnp75+Y93Qfi7xT9H870B+T+tLXkAAAAAAAAAAAlj26+Efqvl9+/KfUxH9BfNY79K8m5LqoVbLh5lpOLlOpzrXv2XHLIS+ldGzoOOWzGwAAABpJYnhPbr5jtwq23UZCY3kVYVMlW1Y29l7hhs6vhlnDcgAAKBxQ1fLHyJu0goKQUCgiphhl+PmnqnVfk/C2HzuJIMgAAASOWXEfs/pdW9z0HQgKClKS7btiEOFQIUkUUtO2ERSMQIqiNEitItZcJcrBLjNXGMkTJpMEAyVMU8sZkSMtrMqS3Fl0wyHN0dN+N91M8TdfoL8w799+Pw4t+j+d378m9eWFAAAAAAAAABLLt18H/VfM79+U+pgP6A+bsf0zyLlLyq1US2MRMtMxvKtTmWvdbTLb8bXl9R6tvQMLsRsQABpBhTxBu1802YQWUlar4v8AGXOMksadTjaZcidx17Op455s3MALY4sYDLHx7s1RsWQDGiIYhQWz14Zjk5p6cep/KeFsXncQogoCBDLLiH2n02se36DQogEAkGW2bICEALFHSwRqCRlhJFYRCkLIoQoxtuEiFXedqkRlSSasaMLAZUyxqrKKRaY5Wq3Be3CplL7j6Ol/He6aOm0yx7/+Z9O7fI6uLfpHnd+/JvWlhkAAAAAAAAFj3auEfqfmd9/KvT0T9/8AnLf9O8rKpf3G9qZRltUxEz02OV6XMte3HTORt+OWTxy9G6s+n43PmxgaMWNeEduvnezGIiJULpL+S9itARiWRm0xkMcuy4bOy45ZQ3YtjixqGWPkzZqEFLEKikOI04KRPVjl+PmnqnUvlPC2TzeEsJkAlPZlw77X6jXfZ7QUGQlWNLiWA42rMSoLFaCCliRTSCpIxTWMIhRSikYZljJK2VuaZCpyVhrEkCSRVKyvcauVqRRlspbKZTMgwrWPHK583v6r8d7t1jtsMp338137Z8pzcX/R/P79+TetLCgAAAAAAWWPZr4P+q+X378o9TgX7787T/TfJ3DNsWTKWXrF1RltYxEy03Fy3W5jq24yZU1mbhLeY30nq29UwuZMSYk8K9GvQc8SEREBWq+kv8Zd1LEh2KJrs8ZNl2vXn1zHO6NPNXzw8hbdU4QhhEcjEKDKFqgxLJLVjmuPmlqnUPlfD2bzOAUSnnnwv7b6fAe12GJKUQgFa0WINr2njFahUwFCEkCmsSMxUsFiRoEWZgmVvVeqtA6lJUkipbVkmjp1NjWylQlVKZWeNxsylGQsrsZc/Qc3TnuPq6X8t695h0UcsO5/m2ew/K8nGP0fz+/fk/qvDIAAAAAEse3Xwj9V8vvn5T6nlz978Dnn6R5PTtuG8bG35TM1e3EKMW8uHZaZhOYary7DbjGVOWMTXcMWVl9A6tnYcMseeEt+vQNuClUIiIUTL0yEwvKqKYmgkJZ1tEyyh03DZ6Jwz4llj5W26Y5CCDIYlBUcjhBQIIQRPDHL8XNLCdP+W8TafK8+lsz4V9v9RgvY6xSFRiUrsVggyJCXatohXFiZAoAIpFaZEjJEjLEgAoxVYe1WzqQEqkjgWtVdKjFVEkVsk7KksIssbjJlEvy6051ubqr6tt9jtynNv6h8r7GUw2Uc9XV/z3XsfyWri36P5/f/AMm9WWGQAAAAWXbq4N+q+X378p9Tyz++eBxb9H8zJ3Ho2eHQdk37ObDV6xFoJay4hlpuDl2F5hq2YqWLKERWZsWM1y303p28H2Y6bnjEiRhERCiUXpfsb4q0QYoggslvspjjp+GzlueuQgoEEIBClAsVClgEIlhjkeTTjtu3rnyHgc79/wBjBev1ljhWqEOwRKQlaKNq2hCUQoVKkIRAiRIzGJGWFqhLSXCpianbUp1IZUHU8VVK+eDlgCySaOqyyks5cXM6Jea8r/l6b7Xuu9e6817stjlnObf0v5n0M9jlxL1PJ7t+ZdG/fG5cY/RvP77+T+rLDIAABLLt18H/AFXyu+flPq+V/wB7+f43+k+ZGqsbtlh0bLHqO3HaLcjZFKBay4ddLxcv13mGrZiplG2ONgokFiRWmQIkSMIiBEkXcZJje1WxRxCCgUggsVERlApUwiNIAFKWIKQ8SooiMrinE8yQAKISiFihqgkF2nMAOQpAoQpREiiKYYoEVjUVt0wEyxy1bjVtdTJVMlVTFUYzsdsBEiqlQkNKS4zHO1S/5ujJ8/RkdO+/w3XmGzZNW3eJdl0rP5/q5p28uJ3c/ffzLs6J8VlxX9I87v8A+S+tLDIAEse3Xwf9V8rvv5V6vlT97+f4t+jebVtlYrNiTo2eHYdmO5ZMmKyjFmYU0qXl2q8y17MVMkQxsFRBlEgkbacQIihEQIlSS5rISZAq42MNClkMbGSDKTG2ZV7JWAgRY1ZCCUSOZwgFRBjVTsUMjLTyrSVLGlxKJUEiUpokShtQUldxFQEaQCiBEiRkiRliIsl19lZLVuFe2dSErR1VLhjXsVQlhAOpxK4zBbDHK0xyzHF23+nov9e2+wzyGvbl8NuwYbdkafPnr+Hv/wAt6t1hsw3Ro9Bfl3Z0H4rPi36R53fvyb1pYZBZdurg36t5Xffyj1fLX758/wAQ/R/NBW1bEmRxnQdmHbtmO+ZsurY0SzMIaRjeV67zTXni5miONpqsOmrp9S1y4tj+e/Ydd9v8vte35+CwFERAIJLlbzKZDGXWJhYpQIc3S5/ao7fNyvz37TZd/wARa+v8BJEFGJURG0sIIVFJVYYDIAbpjlgY9Ja9uPPMO3VMLBASlggqlBWCbSoGNM46iJBQREgKSNRlUkSMsTG26+yt6r3G4tqESAlGNdb643OWMqgU4pTKIBFSypZZ4Zmjfk+PsvNfTfa88jjne6917jlnpMJ2+ZxX1vJzWjd1b5D2bnXuxG3R3j806+j/AA+ziv6R53f/AMn9az6cODfqvld+/KfW8u/v3zvGv0fzbbG0ojUyqVbN2y1922TomxmkqpTqzXCSaNjeUa7zbXnipmynLDX1XHN7UdXVsPg/rd5ze8mOj/V/z9Z9vztNYxEAEBUkubchMLtbjGFpCiuu1479T5/V9qZ+d5Q+W/ontnb8nqnvfjvDdumSAgClkVGJCphgKQLTSDLocvHdWz6Zy2B8zspte3TUsJVlCCVSljsiErk2jMIKCsEUyAFZC2IoiRRQogsDGW6/MoVcZS4qRTKWKJKrovbhc5QyspGQKctOGOQq0xzvOHtvufryOrfdY7L+XNa9mSOi68OY+l5XCPT8+/rJ6M+n/H+3da9+H69Hfvy7s6D8PnxL9M86Nnffyr1PLn7789xz9I8xSwLWKeOTK2Ummz5Y982a+lbbn7K8katYwhoccl1Zc217MbMmtPX01+X24aurYPB/W8nxfWa16f51snl/pFDb5uh/U/z9Zd/zsYiACEOSvF4t9cbzFMUQx6dsx3VJjv3mfc+2PR+E+Znj/qnovX0eqfc/I/l1w/a0fV+AmAsogCEpCpUQWBWlvcWBZ9215+VZfqYY8+YZ6Ts5Lt1SuKyEIMclQCCKXas4h0hQ4BZRKkjLFC2KQVTFRFYLilwKqrnJVpRRKcBKrovMsKtlTJVxlWnEbaVkZRIFto3XnD35DT25LTuz2nfvGF2rGZprzqeRvb8PnvZy31t1cL3Rs6X8h7mR5d3N/q/E71+Zd3cvyX1rzVl5d/ffnuNfo/mkIkW1tvhUTStkzjDvm3Dp+xsdlykbKEuENCl5FqvNdW2wmRh01+X3Y6unOeB+u5Lj+s1v0/zfEdfze3+R+n3nP7tDb5+g/U/z9YdvzaoJCEA5Lmr9L6LmKmOyXL7+Xy4peB+z9gurevf/ABHyH5f6N33f4vsXt+V+dXyX9N4P3/xvEev+eVBBCoCFKlMorCUTescsPL6Y17d4j5nH1MMefMM+lxoNnkbbqnliBAqV3FQoRtGw8RkIQCsAFKqiQFCiNhEFjWIXBrLJcDKZSiJJKtyq2XbG6yxrlUmSWmkAqMlOW04+zIcvdl9HXktHRn9W7ok17ZNV/jbXdp8SfQeBbbMbyrxhUsuNGy/5N2F9Lmq16T/HPY1r3ufjn6P5oKURiWzxtKUKuWOauPedmvqmxsuUuEdUIwlaFjOPas+b6ttlr67rl96GrqzngfruR4vq43TgfQ+F577343tfnfb7p4v6/PDsobPP5/8AUfgFh3/MtWCCJkorJfW38xymOe5YbdU5/W9t7PK8v/Kf0puPX816H+g/D/mDh19D0ev9BenwPDvyX9Od69P891L3fyDgWzVOxCgClBkSqynjXjd/XjGvZ9R5dVPmcfUwx58wz6XG3Hyts2vdpq5QxqAFVxJk2OzZGitYhAhCQuUEiqkRGVWRlSRXErhsq6qlMpxACoVclWL64XeUqJMkiIrEisJTl6crx9mW09S1dOX1dGd17d0mGztGRY8i9HzvNnreTK29q8uNS4sIjUiZWslUxREaNaFWmGcYlWYuvuu7V1TK7Ul2xlVLK4NefseN6NnOefvfL7q1dmd+f/Xr7j+pLjQ2+Xzn6H8Lxu/x0y3DzPvts8j9SqYehT2efz36f8Ax/ofLyUABSTLtb7X07rr6L1htvkfovvL1vzH59/Kf0ruvZ8vzb3/xPg023+vt9Z7fN4n8x/RHpPr+V9N+1+T/ADA837619v8ANKiEKlSogLnG3K4XG98w2+S4+rZqp8zj6mGPPmGfS424+UZ6Ss5Nv0tCFBlRAS7PlHCogClCYpS2nQKFIoikVRBcNlli6mIhESkSK1XKXCXWUuLishDgEPDO75OnMcvT0zg9DonLnm5cRcuZZ9dln07LNWwOfItXl73fA0Lq5qlX1l3cZ2MBEh1VsnFRASgyNWeNo45CX2WPatmrq2bcZMoxq1SzYPK88xcV5O7SeL6Clp7c74H6/f8AH9QFh0+Bpvsfk+sd/wAb0Xw/1/VvR+GtNvl9L+d/d7vn+gCls8/n30/4Fj/R+VkrEASZTHZkOX6DP5cWZ+f/AGLf50e4fovwT58/Lf0ZqX0X4dzHf4uzeR+n0NnJh/S+A6J85+9ejuj57077X5R85vkf6dsPf/Ftc9j89q2RYlyUEob4a/jl6t17Ngl+ap9WzVT5nH1MMefMM+lxtp8pD6LmNs8W7tNdCkgEFbLlQJGqoSKoEckaiyUkREUSooLhbbG0ISJZECoXlldJ2V8oWOpQ0cyho21OXpuNee183Z1rk7Nm03PYYZPC1McuT7u7V92WyTn3XLm8g+74Oo9GirZdVeJOyaAUwKllSqkAhjHZbraYZQlqWdM2aew5TfjYbhXzkM8sAvK+fr5F5/v6dz9+b+f/AGK+5PpgAurkv1X827r5H6bsXm/f47q+d5z7/wCJ9I+f/csjyfTsRT2cHP8A6j8BxvofKSZAkvsct+x2a/zex73y8nzP81/RGR2cHuH6L8F+ffyn9KcT9z8d9R93x3Jvlv6R6P6X55zD2PzDB/P/ALf6j2+d6c9n8p+c3yH9QehvW/L9U9z8m847tNWxQqpSuXeplxfXn9UpdIPmqfVs1U+Zx9TDHnzDPpcbafKM+jB1o+SuU2vZpr2IKMRZs2VKJEpQERCkQohREVGOKWC2LLCZKVRikSiplayXaV7iiOScSykglq6NsOfday3cyyOrb0Ph9HqPLsyOvPK4zOtV7MnrzwXRnf78FJ449rxOcdnJWq7q5SdkpjLIxATylSKgxqgSaJlZRb45BsOWrt27X0rJuGUvao26Pp6+Zcfucq4/Rt/nf2S+5PpBQAMN3fG2m7ytj8v9Gx/X8zrvf8Tufi/riVgKqefDz/6b8DxvpfJBU19m06+rMY69z8L9V+g3ufj/AIN+a/onIZ8HuL6P8F+fXyf9K1+35fb/AHvxXmnyX9OdD9H4HWvc/I9Y+R/pvvnp/nvpz2vyn5zfIf1B6H9b8u9E+x+YfMXzP0W29z8sqZY3WNuFxGN7xht8lR9YTSD5qn1bNVPmcfUwx58wz6XG2nyjPowdaPkceibOY7dMLChUmzZGGBK84iMFIQiIkIiIS04w9Yq5RqnESsXFX1lxljCSkos0ECGrbHm6IyTZVpbvHZ0Lh7Oo8e3Pa8svr2X0xvLleYV47LLeuujV5q9PyvPvp+dWyXZXSSTsdjCJVInZVGMQiSO2jLZ45U4rp1rdo7Jtm9ZMmYLV2aNx+5y/n7tG+Y/aLnl+jYABa7vLxHX8xDLkqY9Vtt8u51erd6fTynJ9O1AEkM+Tn/0/4FT9D5W45voM1OXf/C/Wczze771+n/nbwd8z/ROQ2cHuH6P8F+e/y/8ARdL0/wA/7h6v5t5Z8D9o2rt+Q9D+j8P5T+d/cvS2/wAf057X5V85/kP6g9D+t+XeifY/MfnX8j/UJ9B+Iah7H590SXV8b7G17IHziPrCaQfNU+rZqp8zj6mGPPmGfS420+Uh9FzrR8jj36bBZ4U26q1ggbLnCBSFkBKrCEihEUIRBQtLcEtjbEiVi4q7Li4NILGmVUlaYrTk6I4ZiTZVplXx2ZTTt3rl6N459m0admc1r+ZZUupaeGw6ZoHocXib2vBq7LcpcIyVTsaLE6lmqRUSRISJZDIlnLbY5M2zLV3jo19LzZ1db0d+mcvucY8/2sV81+31NfYIKAK4GWglKACZvHcAABcdQ9z8ex3ufl9Xl+i3m+fv3z37Ta6vQ96/T/zv4O+Z/ojIbOH3D9H+CfPr5T+lN27flvYPu/i/zz+V/pTsnofC+pfa/Jvnd8n/AEx3v0fgfTfs/lXzn+R/p/0P635f6J9f8x+dfyP9R777v47y32fzDe8pj9W36Ay6ycBPTxhTz2emjGHnc9KlA85HoYyp5kO+G0nlo7ib+fNrLHTd2hKo2XYUjESWIyFJHigrSMISRtUYtlgkpU7altxVaVJGxBLKqiVmNfJLVstOTfaZESKmNuptvdWzM6tm78u/a9G/ZtOWw4TNrkDIJZ6t2F7MPFPv/O652aa5XBJkrjOwhDqrbKySSiZEQxlOrHDOlF/cO479XX9ja8lI5xzejy3j9rmPm/QZ75/9pnr7LLo+ehs5cjyfTY/p+fV10MuYW619w2Udvl3XP7lvu8u85/Yra/TEwfvfj+B9/wDJ8csNHo7Nh1XPP6HTfB/WPfP0v4J4D+e/cqe7yfc3t/kXgT579yz+/wAr097X5J4i+d/dOy9nyXof1fznwV4H7V6D6vn+1ep+ceIvmP6J9I93xPoj2PzD5sfP/uWv/S/hF9s49yXIY5ejsNnoCUOLGuFyWxnzXTqJTNJMSZoiW50o3QDzLZ4426pUgTZNkiGNeJ5QpWRBFKpSljiiMqWlWFXEDzVVuKqwi1KYQkSuqiXeOV/y77RbLLGllIWyirjll9O+/wBe3Mac9o0dG48+7b+e7GmdTJsa2vbiMdvG/T8/y/8AR+FVqqiBajGrYICqRPKPFOpgRHUhlpjbTHKJ1Tbo7tum65pVpOLiPF6XPOL3rbk9bavnv23E9nyKYXOHdge/4mbXC5W+fFkdPr0mMWN9p9y32cOe877q70+ufQfjuzfSfkmHk17HLAa9sdfRt8uE4/b+lWzxfCfi/rdjh0eoPd/HPGHn/cZ+6+reh8X5v8/7Tck9Beh8b5L877jtuXL0Du+U8+fNfv8A6a6/lNv9v8p8I543O3nCpG5Y55CPQ+Gz0RLyQRhyoVi3JiLgxJmSiXRthup5bs8hbdckGKZCbJshAqGitjTkikQgI2mOKljktplgiztMlSqhXiSUVjkiEQIxW15ZXm6KuFoZSzzxo5LSy3yTlu9ezLatuZ07rrDZsujdvHLt3fRdpa8xZdY7KGG3BL5o9/xOYep5xlBUkyqxkhSqRNWkx5SRFCWRMpzKxlto27LV6A6NfQ87VrR5OI6Mud8fr3PP7E+T29k8D9jqYdkMuapj1W+zzKWfLUm6F11tXXUnTGwipNuW+g/Huw/Ufk1lccRLgcLrmN1bXnj9PRiuP6PfMvO2H5v912PLn9j/AEf4N4S+V/o3Z/U/P/Q/q/mnjT5n+herdfyvd/b/ACXxb8x/Rfdu34v0n7P5Z8+/kv6Z2/1/zDk3vflEbiUUonjluJlJl6A15+jZWeZDSjKFoYkzhTJETs514DyrZ5I2aZUAgKtkzqQlZGioghCFIkSkiWGVsFwUtGokBlxVwlQAWokkhMrjj6XjVVzLk8Mtg1bMvq21sbqe+aRvmw6t25a9mqtVbG7Lp39C5N+7a9WWjJrXZUWWEmXP+7j5D6nl6l2c1lngVUSdxdADsmSGTpChlWoltMrLC3zDvHTp6hstxWk4zhujPStW+rr78hzewcns7H89+z1tfoBiO/4dbODX+v5nO8n0dxz+9k+T6wC4bB9H+Ld++m/J4ZY20WFyxUYHG6zhdQwy1Lk9TJa+uXN6PXfI/SPdHvfi3zx+a/fn6/5p6C7vjPHnl/o2+8/reivc/JvJXz37h6U3eX6c9j8o+aHg/tOv/S/iFxs5iAKVA43LHLJR3fDb6ZxvEjKmCLkolwVyzEbUdGPJ1nlHbpnYIIrksYjY9mQKHRYREiAoUgRQVLTrEVhWVHEqdSK1XqVsjRYq2UmUObolo2uoJdY5ZbXuzWnf0zi6Oh8+eVuHPd85b15eg+bbpmWPDOnmq45bbzdHSea7NjjbY7tmz1XFysNW2rljh9jWtmOm9PPe2Z7Vjis9POvR4dC9DiAp2OninTyAoqQyFWeGVvHVt2nq/RLytT1uL8+zWcNlUr6++95vZjyezsnz37RV199LZw2+zzbjDut9nBcafUq4dpcNn+j/ABT0b9N+U08pQSiW8ytDGmBl1bG6Vqy13R1ZjVuxfL6/0g2+R4c+W/o/Z/Q+G9J+x+V+Jfl/6I6l6PwfoP1/zXxV8n/THfvR+B3P3PyHw3nLjPQqVLI4QqIqYXarXL6M17MjjYmCNgM8ayTM4YgzRzezyxu0yRQgsKBLsWRxHIIApiQiIIpUihFplcDbj5USqrVwXKVM5OIY2lUyeNXL0PHISJeY5ZjVuvcNu88fZ0DRs6BhourjzffeYdOXbuPbpW3HiPVz1sc905d3TOfK2m7PTHPTB45U5lr2zZqmzesm6NW0XljoXGGPLPT4PN/veNQzjykgJjpY0qaTkFoXKywubuvp3RhkLdfwc4054fHZWK1xq6+665vahyevsnzv7TW1+iAAh3Xtv0v4j6V+m/LYMaJRKNtHG0EtLlj0wEupYXRNOeraOvEcf0e85eZmPl/6A6X0+H7J9/8AEvnT8j/TnaPS+C9V+5+QfOX5H+nsz6/5jzP3vyaeeKghQUUqIjkcSjbscs1Mu2a8/UErAAABHj7LHzFu0yFiKLFKUCNg2JQCHCFChCkViVLES4rKYNlSJpUW9yV2M6pS0i2WmXGGWQ5t1tjlTuElrS1plmtW7fOTr3bn6crhllNOW65c1XPDkmzPnPS71y7eO57ue9XDKTeefoz2ro2TXjsGvG+mUJlkt7iuzrG3Y8dfRsuXYt3Hh/P23s1+WfofF5n6fHIeUkhEskRROKgxW2kUNdz+3HIWWEuC152y1SvcZ2PV31+X2Y8vs7L89+zV9XpgBde2fTfiHp36X8seWNvLSWEUrKMyoJby2tuONbl0zU55r36dyelsuG6ej0e4+V997R9n8n+dHyP9Odo9L4L1X7n5D8zPD/YcB9B+NXOznVqsIULIER41ZHCiZtsZvHPtGGfqSVgAETx3lj5l26ZgsYdhSCWKOtgzFhKDhKoSERkVJUIhGDyuKtCpV4l3ljGWkyoVb4oQzJc23Kat+Dz12uapZd67eYbLrDPf+Tq6fy9Gf151MGamOcy1WmbjO/PmnRl0Hj7MjceZ9PNistG36d+46Nue1ZXOO7a+7k2DOYfR0ebr253Xv6jhq3PLnzOzmxfFq8+ev5fDvc8uVgTp2OoQlkTSRIp42yxypQ6gtNZFwlbLCZEhp76nJ7cef1tt+e/Z6+r0y6s39N+H+m/pfzDMXCNlKKLKBSilVCKBQWzXFLqmN0HTlzrTusNe7b9e+05/S+imfmeE/kf6d7R6XwO4+7+PeKduq4ywQgFRCyKVAgRpykM22ZZ2XsWvP1VKwInjLLHzfs1yoYglLEKZCFjM/sIIFUCGJCRCUsSxi1yYO2ylZdZLmSJbLTqMKAq4ZZnm332rZiNuGI24UcpWlyWrPJ69t9p277zbui8+7Na7l9bJplNmOOycY33Rd16Vz9VvN2ib+PF5adz0bNw07stlewenxZ/LXT0ZeJ+b1KWv0Oh4bOitG6b+W4w4fL/X5vE/b8uVjJ5HJOoVCHUycSgKEyssbZrRWRcl0xrZYyshMqOOVDV3Pn9ahr2b/wDN/u1t7v5H6H+l/MeiZ45dExpLSWmU4pFEorblsWK4GXS8Mue6ctC1bqWvpr8nvbVs8rL/AC39D5L0vgdC978nqZYxp4FkQCgpCxqygOFCyBJdrxZ+Z9Y15+s8ajxXlj533aZAFLEAggsVAs2DOgQojlkpCCEiFIqFgYfK4haRXqvkp4qQ4gRJEDMcu+4xzy+rZb2Ybdqx+zG3slLl9W7MaN91hltfPu37n27hqmTwuckyWcx2c5Huy0bZu2TX1Rmeo7+Kg1dK5ejeOrDdtmO03Tc4PG2ru1ab9q19XUNboWzny+fP4u9b5nSu7lZIlkkkyJHGlSskTkZFbTHKwmVqqLsvWNfLEKEyoxa22uGy2uL09XS+vy/Q3Vq6Hky7ESmlNaS0ynFKqEUFti0Maur4tE1bOc6s9U17o4brjPXdcvpXu7z7y6gQUqBY0sQoIWRUBCpQVKNmlxC9717LOPPW7TMQQqMRYrRiCmQKtgtLAVKZIUJCSKkipFONcyuOWRWplMjIlhEhpPHZlufbXXL6duW15UbMHumC3a7LPGqZ/l6Mpp33mN2jTs3nn2bLpzz2uZvLHMZ4YzK8+u7mnTsusttrGEy07xo6N/2asljdzz0yaPG+e6hN2Tw3b3p6ukY6q27k8c/Q/J2+WMqkTCJZRXKOMCeckSxOCqRY4bMcsS8S9SrljCKMyt1t1oRbSQmXVd/L6B6tXRcpmGJFK2nFIpFMgUForbLbJZLgjStV5xq26Fq22OC4tvovkuKcRCAVEKFkIIWRUQBKojnCUgIWuRooFQ8ooKIQoLBQzuwKCoxsQELGKCBBba3WqsWVW4yqEjIzKAEyBd4ZZDTtkmU1bdk0bdr0bdx1bddzvOerTo3XzXEuc078po3Vscth15brz7Np0ZbBhM/ljkMsKNy1e58P7MrfZcdcL3V092y067q255p5X08OjbMTHoq47s5p7Ny1bObev8zonf5oBKpANBYDJ2VAGOoxaYZY5nQLtL+4zspFLHKgyoFDBaLGOn7+b0b16OlZMxAWqW5RILSSC0lolsW6WS4xdR13nGrLnGrdZ4bKEmy4Z2eWu6JAFIUqgRUSoEYhZFRhVSHlriybGCuZkgqBCUEqQQtVjXOZxwqIVqgkRGFK6UFloayytFqXFLGJWxlSSERL3DLJadsbK2OeS15dY4e3rXHszUuKXmHU4x382VxegOHs5hnNZymWxm36Nu3aLtWvHNZ45GyEz0zZfPnoY4/Zjb3C/wAbm89ePxowr3VqfXzYnNe4Z0dumz38rsBkidJGpERDKljohgW2OWPmduXkxvLi8lJYY2JS15ZvxtmI6L2v4Dq3HjZb9q8Tr26ZiQLNLNLcpJTWK0SituW5aLjjWsLoeu6ro2w17sxhl7d1bOTZY+RdummFAUgxqRUBCopAKiFLV282a7PJscN/bfsPye1w38I+H/YzDaACLGlFiFKQshGb2JYxSlRuQiR4oiAQFpWszK0WpZCUEAEiIi5xyzvPuppAyMy6n5/f0Hk3bXquwYya6Xsy03pnWdWUZlyjbeY7sL3HHbdGe76LnMWcz15SMfr2cb62lduGL2aL2TKY3LRk5Oad/n867OUKyVSpcZ2MAKg1WeJKsUBkspMYwi3xysJlQW5Lq4OqcsSWu5/xdj5MusfFdfbPz3p2vxNnHv1jh379t8XdtmCSzuNotApRAprTKC2y0S0SwMNLiNOeF07KOjo9X6dmOMKaxZ483aZ2BGgcICIBBCyKmKWtt5s32+Pa459t+z/Jsbz+hu/tfHad431XBPhv2hatxlFAIJBYqZBHGazEhBbFVkJDEhAimRZaLrRas2iEIYhgA12Xm3TxygKXo/N07Nzb945t2zaMs3jctcMXldW3bM1UJdH2Tkm7GKbhqu0acsjGxYYvXdY25U+nbHfyaTsxyMO6+b9vnc+7eWIyoVUnZUsmgBMlYlECEoEsssZZHDKEthhnRK63FxAHruzeJnHRn1b4fs638R0aL9Ppxe2ehfyzs5T+r8PQf27xNg2aray3tpFKKZBaRRW3WgWiWYa8rXXnj+bf2zm6InQyucZNas8d7dJZHM8SAVAoSgrARX28uc7fIpHa/sfyd54YPg9fH6enpX0vwOq+P9TwH4T9rp69xAgKCkCoZmcgIVEiUsJUIUNQtTW1smTQIgAxDEMyWrZsXPvolKq0y2nn3bzydW682/ZdN2FhlrDJpd30NjH2cx6JqWzGvMM5qyzGOe06sMtqze3HoXp89Dmz4Ptxr3Hlnd52i9fI7RJEiqk0nVS4yGrSdEILCo41DsMkhy0cVljlbrVLgklTXdn8TZf8mXS/iev0V+R92I9fDwl/QfmZzmy7x+b9PXfhOnnn6Txbh+3+HsG7XSlplIjLTKNtFaBQizHryr67Z6ejrHJ0YQ0k70cnOvnKDXLPIe3TZWAhCoCAKVKLjbyZrv8AJeertP2H5Pm/Q8LFcPscR+Q/VsLzd3evs/ybY/S+d1vzPo/PnwP7bS0dZYEQpDxsbXZlcjkcFhCFagRqpVYFE12XHsgBAIYgGMpG0aOjL6dlqUrBc1p377w9XQuTdt+EyyXEzr5Wiuo7suMdM0zp58vgucMsjJsepVw29N9Dl3TLKw0Y+Zujm0js4dP6NUBjAq2VJJhVayaOpUxoUsapFQrqMOwqlhlZY524y4S41ts8TZf8mXTvh+v0L+Sd2nfR6uC/p/L59+55+ofO7YbJ2P4To77+WdfK/wBU4do/c/C2DfjTWnMaa0yiyolAt5iYbJasrfRv6xy9Fkc1NgMMb+aCeijjZr9njDdpjnCFRCpQBEaud3HnOzyTPV237T8jyvb47l1nyfqvMHwX7PdG6+z8r1j6P4TbvY+T1/zPoPPXwf7bb83aAiVQUqa5S0HBYYlkLEpIxUQVA17G4tkCEAAADApl3jlu/L1VplaFsgZnRv3vi7N4589txmQwyyFyyEX2WGB2Ycf6s9A36sRnovMN2x6tm1xs27LdsNXGujh4n6fnYrLG0ZRAiBOypE0mTsqWVbAKKYoIMggKVDWjjbDHOgIutTb/ABcsryZ9U+F7PQP5L2qPI37l5/JfsdPqf8s69q8LZ5W/X+LMcl9qfzz6aOWfqXFnv3Tw9i364FIprRZUUt5Z66sLbc3R0Hm6Lk3E8InMD30eFzLn0BNnOPGuZTxju0wQCFkQCS638Wa7PKezT277P8jyfZ5Ml1LyPp+O/KfpXNPG+s6x7vxuv8fq7J6Hh99+6/G0mF8/3fPHwP7dacveUhTNIWMyeQhhjRDIqUojFTlckVwsYS5IQhAAAMRTKhtHN0ZXDdXmy/wytWGOyxymnfs/N0bBq25vVl0rDDK4WWGdfKWnQl1bOQbdPE+rzMzp6et6s8LnjpG7m5f3+dmdmuxxtO5RIkRATKiVEmVLK1kwyiJKkUPI4KUEJlb4WxZW6T03bvG25fida+G6+/8A5N3GINE+t08c/Q+bf/m9jwtHonDPs9Htf+ffSMRXLf1Hjy37t4Ow78KZSWitGKmvI12Ojo3/AJeiR0M4KZY0s6mcoL01U9cgceMDZ463asZliSqCxWXfRxZvs8p7OfuH2f5Ff9fmFOXy7+cfvmE4/U639H8Js/o+F56+L/Wspv4/VP6N+By3cjMPwez54+C/cLDk9JQxWiBk2SoSQpClaYDOMUOUCXGpr1ypAFKEAiYECBIvcM9o0bshjneTLK6ttbHPWs8KSXuvdmNHR0Pl3blqmR17Mhcd39vzstuWXL0eC+3zs11ed23px87acue4Z7btwtccqUsKiQAiIZOpxNKtlVKmUcjqUyLCxAOAKUW+OVhM6eq7Z4eeU5cuxfA9fe/yrtWIAM3H/wBH5ewfm3UHBv1nj7X+a9V95+QAVy79N47n968TYN2umUirqyMcoc3R0fm3wOggacbOeMzn5v57GOVHZgA5Ca5Z4z26rRiKspe9Pn5js8utu5+4fZ/kF30+eABzr537zmnz/wBx6Q+//ECznPzf3nP/ACPq/Q/3n4qrAcY3k9bzr+f/ALjjeP1EoiZNMkplBBVTCBFUsaQZQlUtCNdytiAUQDIjEQIkwMrhnn9G6/xzvMN2f1bdj1bcHs16tnqjM9q5ujcuffe4bb3J1f1ODOY2rhOSep4976HH5p5s+V6t2x543OUscbUVRGoDEIQEyRUSpZVY1adxkzKTFQ6MaWFEtvjbXRlsvibb/lz7N8D195/KuxYgADJyP9E5eufnXSl5L+j8vXPznqWIAArl/wCl8dv+9eJnujXcasjDKlz9HQebfem/gBqZzc5UckPR50Q6CZAAA5GYOzxLs1UMsL7p8/M9fm1ejj7l9p+QXPRxIAGOZc0+b+/3n2fk6+7m5H8r+lde+q/NLjdyIAGY/k9Lzv8AA/uWI4PZQBGSzjgUCQyjpBAEOgBS4YwjKNKESIgICNRiYx1kMMszq25LDbldWzZdO7P692UmWIyw13ZjDC5TVt3GbI5b9kww2Lr87n3teF5/wy0nDbmsscjnMNha63AAkRjBIMkxkMkskrWVaqZYgUsbGGjJZI2IpaM8/wDP7rnmz7Z+fdndPyzsUAAAVzT7zn5/9PqI3TwdnVfz3plgAAArl/6RyWX714uzbMLzm6d25t9+b4AAIsTGGwloVC4AAADkxgrPIPd5T7vJut3H3D7b8frbuQoCCjXt5p81+hQx2MUyMsSTdfc+PzPf4oADiz5u/wA7fAfuWF4PaQjJ2tBSCiwCAIMilaA1tTX5lZCAQiQyIimTqqUyoXWK8x2X2GzOaduz6s9lx2ZebVMTp48r1cmyt2Mxz0/PVo2zn5Vjlj5lnMsbzJg8aoucl0VRopHaIyDIRIlkNKpWsqZYlKljVK8pJHDqMUtWWa8Lfe8eXbfz3t7l+XdZiAAKK43+g8+C9HAhr3n816a/PQIACuYfpHJiP3nxdo2YZPm6uh8+6mdCADyoTKJfG7mpFoM2wxp6GADjxGzw/wBvnX/f4t5v4u3/AGv5BW3cgAAA4KAAQAAAMs+bv87/AAH7jhOD3EgZOEMVrgDKkgEFCCuwFjlijB20RiAZIiUyJMuatIkVquLjuGc6/tw6WbjlLwjccMmmyaBhnzjHLTtezA45Vqz+eFOXDYKMyCvlLurpJKMRQkiUSIhgTqpZVSVBEjYyVSJYo1Rxtppz2LxduV4r2T8+7u7/AJb1mIC3mf6ByY7qXGajljaZrXoX2Mtdd3/5Xftvym0DJy39J49f/e/EzO/Xca854WtzdXXefbSOjEDkpZG6GtlqbQaeVyJdnWxnHC0TxVv04nOXe/izPV5Vx0cXcftPyC56eIHLiOH2L/o4XFObKGvdRw2FVctd5t5bfXvqbNV10cQWXL6PnX8//ccPwe2pHYqymItWUeNAkKLSVZYulDAYRStwUuKVEhECrY5bcAL6yyWMtQq2VLK9xytxyNl2itt2VjLi8crHFOsplLpjbMsfFtLFUSS6suisrSSBOkEQqMoNJE6q3GWUcRliSETslkRDC2GOdPW2vxdmY48uvfn3Z3j8s7FjSuZ/fc9h1Yz2RYXA9uOc8/K+xUMmY8jZvnyG4OV/pfHrH714uY36rYtccpa86eGWT5t/oPTtxxhTjRsJiSmZ4141I6wa8Zc64YEoWeKt2nEZSIy53cWb7fJrb+XuH2n5Be9PBLDLiPx369dYZ1tuiw09uX6fNrxrXJ6u1d/i43DbQ1dW0+p8xu/v/C47k9Tzr+f/ALhjOL11aIgMmOFTlKIFACwyhiYKDlKtJcBViBECoQIAMuKuKaTiFokARgJVJc5W8suqplniprIoFOKMQUqclzkuSqSSSSGgQWKpQmkrKtxkTICACVksjwsCwxztlra5uHi7MpyXq/wHb3z8p7ViQxAMQwAdcm/SuPTf3vxMtvxtsVpGPlw2NtteVHXu37Tt9Qa8tGNvKQFMzBcmMLYRTNNMrZ4V26qORXFBQXO3jzfb5NTZzdy+2/IL7o87Ced9CtPRbzK119VPHPKdHBQZ2+nsUxgu1ex8lZaOzzr8D+4Y7j9VAIBrkYKIkgFFpiiMMo4KYQTJwLY5TCLZERAIBgMmMnVRLjKXVtVJiJ2UoprbltFKJrXqsRKa0UpYqYS1LLjJXK6TSYEmKZQIq0kSsnZIkhaoiBOxjILZY5WcTZX2GO0eNsyfDn1X4Ls79+U9iwoAAAAGTkn6Xyc7/dvEye7C2ltIsDGY3AY563jnda9mbjp+vP1NhlZnTQAAACJxgtLPE2/Ta5SOORcUIcJbjfx53s8p7NHcPtPyB2cb+P8A1nae/wADXeL2s32+Re7eWlhuwnN6Ww9PkZ3v8jI9nkedvgP3Kx5vQEFjKXEGuQxsgFlix2mJKUBjHRlHSh40ViLQsKt5bWrcpgMBjFRCAY6UBOx1MCMBOq1VyREjVKSlFJVLOyvVwXCVkLjOghLTlSyJWVLjLKMeQxscSDKSGKWywysVa3qXGM2XxdmT4c+o/C9noL8m7FhQAAArkP6Zyct/dvFq7MLeLZbTG2EY/HPDYsRNuPjPy7THSMc/W+vLCnTwAAInFS2s8Vb9NhlAMSoohQUquc+XOdvlPZo7f9n+RZbt8lJKVUkBjlwPB7nnf4H9vtObuFLEJRAZkJXRKwsLHijawVohgOx4FlXRDSFyWK3qxMctqQBWCJREAyVMnJJFVNUMmk7alViYAIplGKMRknbWyXBdpVuM7CIrSWMNZ2TuMiUPI4piHlGMhFphssVC9S4YzxbF4u3J8GfUfh+v0H+S9xgAAK49+ocXLv3Hx3sww+FspbeW3ZUJKGOdiYxlYRbstkNoxdHwz9d4ZYE6kAETihj8p4U267i4V4dKC1WkgiUhFbdy5zt8ieevtf2n5Hmu7xEAAMwHm/QeePgP3C10dhKIUqBAC5K4kMKcohKrCV2AK7HjSwxryhKWOiBVYpbdbEtiMFkljVKWKMqpOqxVWjJYMrIayuMqqFSqxIkIZIpLbTGlEVlVUurLuytcWMpy05UTslZJJq8o4gRhqWAS2uOWPVLeF0xlljHDLYfD25Xiz6j8R1ehfyPuMAGTjv6fxcx/cvHuNmGKxYXXnjccqcsFgRktMrjMcsctrUV2XFtUdCxz9ba8sUdUIHFDG2eCt2qWcv8AGXKysUEoKwEGQglq7OXO93kS2a+1fYfk2c9HwUFBrvl/R+evgP26hp6gUoFKwAQy+yoThyqHRY5AjRUodpjXY5AKJSDKOASuwILFCmOFKAkqlKCssTDzPHjyNGVCtVQnQEMqQyjVApxERVq7Lu41LJIinjYLOpXFkqY5IUYhSwCWiyx0ypl1V2krIQa7sfj7Mx5+fSfjOr0V+Q9xjeLfqfDy39v8fIZ4WONx+vPD42ymUZIqiFtmY6XGlrlkhmyxtUb5rz9g68teMUYezwrv1WNl4X0XVjohSliHjUGUIKUlTbozvZ5Es8OzfYflWxen82GseT9R59+D/aqOnoFBBagRTIQsZfqSPKvEU1VgjhshHYSokpcQJXYAChKBCiAB0hwSqxhCoqwjDM8aSqSSqSVVnVSmOGVEnAsUoVRWnAVKu0uLKtxYpYQVKxgSGIjYSsB5KeNx+OduVy9QsUJZYTYvJ2WO52H897dq8jPhn7d5Ge2YQxtrgs8bZTKnEVgqI1ZGMtsMZbXMFUjYo2/Bs2OXuDXnx7KeEd+qjZOW9i+Y3GRhClWUIBStEACSps05zs8my17u5fa/kNPHd5/+E/aaevcY5KxoqFSKZFJGMyCIdKpYUoyGR4RhBQSxopkWclqizESUQlBgIdhKWAAAUYnEclgYiZ4wCok6lUydsklUokSSorJyQqgtIpkSqXaXFxlZIhBRAOnBQAK0IKjFhM7Vahek2KEsklSijja9mW2YXaGFljY42KRFbCFlYlnWPlx0WtyVICZkJLWt515aHljDKC1ovIvkuLGRBVYY0FYQAAgQuKZPLWpVhuVxBKSFyQMVMkO4tUZBHSHaYmFipwxypCpSkGcdPE5kmICuAdAggyhDGIcpYUQosLcOyxglmk7jUtmSqRIYyZNJSVKFgsEpLTIlYukmk7CmixKkSoCHQMQxS2Uys1kXqVEQDqdQilLBL9L+S8lqRCRUojbGWNglquOZY8sGUAGTqdxakkLQZUi8i9S4DKAQQQqAhSlKwlEUpaCC4qVKAgpYCFBaDMixSiMAViyOABo4B04KKeAtVkggURwZCAFEYKICoAxxiJnjSJOp3GazJI7ZEhEqlATJWOVJEVtEIrlZKiSqSIAkeSQCGACAtJnZSheMapFWk6KhFFYRfSZFL+JYlZEREiIitJceY5cetBUMqVOwBEoMliui9Lq4yoxFABKoEQlaKVUQUkFEirpKTEpDECqVDrIwWCFNQYBDlAR5QVyiA4B2jEUgsFdgrQxplAcLE6VAESwMOzx5EZJZXF0yRIkMQ6ZIKkEAFMRMrFRKhURgOpXGQgENUjVFrjlZKi4SqRSqSEUikIvsWRsvoqSIhkURhCtjbGLCMcyxpbLEkSJ0UxowFiuS9LthUtBrGQgC0RQlJQiMijVAGRSCkFFRkKFUFSMggOUQygEPIBK0MUlWUKMTp0Y14gMjgpWMFdhKkBwQUCp4lLj8phmePEMkOx0ASJgBMdMkMBESIxlQqVUkqFRGOyaFBFUA4VMoTKwlgVcjhpXiqkClbBYxdSZJjfxXkCKqSJGksSK2lY9cfFmypgSGOpJOmIRWxl5V5JVHkUAYigQoaK0kVqCUokSlqQQErhUhBKUzIoxUK0KMa6EYQWOC2SJSHY5UNABqSlFhDFlHiAAKMSFbYGGXHqEiVjklkSsZIYiQVImTGQIiAqU4kTK5Ji6dk5CkRWMqhDpFOWyWEAwq4qtIFNIWxlrSZFMljLmRUoVQhRG5JFbQrHxjmViQtQokSqTGdoApKpdy3iVgQCBFMilYBjUFitBSlEhaCgBIysLEJSinGRRolBqAMAh2KJUKwuIMAHjTOGNIcArGplCiCiAYEaIx0uHZWBEmVLjUJ0KIWgxDABk6mkJYgTqY5KizSoSQQtlMSgVsZSEIS0izlpoLIZXqsSBIWUmTjITHIF4wcqwLMoiKWIqpW2EY5lZFLKoUSqTGRJQQkqF5jb1jUmTQQFRKkKQQSq0lLiClKQhioFidRp4lRQMyIXEZAIQLKwBCGGQhq5SwscohBkeORYY0R2EOkNRABDpVHFjlxC49kkkVLJ1UJip04kFEMB2Sh0liOKlkiUjWYxohjAELVAIQmVIsylILMdViqkwEtIiXkxv0v5K0RiIqURlQqhlbIx8tiW1yKY0mSEAEJKkXq3iVYdiCFK7CxKlIFIViBUNEKUCkEGQhUBBTMjIqcoFAxyFKHQrRyDIuIrygSxKgeNAoscIYhq4EVKpQqjix1uHXHskkydOyaVCVrGSJjESAkA0QLNJDETQGAAADEMiAlgtkUYZVqaVFbFWuAiU1rpf443yXcNY2RhYlkSxVFtVhLYlmQuUrJJMaoBRGSZereMasgoAoAoqKiEpIrSUsSFALHGmUIUryKAKIVM//xABAEAABBAECBAMGAwYFBAIDAQACAAEDBAUREgYQEyEUIDEVIjAyQEEjNVEkMzQ2UGEWQlJTYCVDVHFwgQdikSb/2gAIAQEAAQwC/qjo0Sfmyb/4PdG6Lysm8ui0Wi0Wi0/+A3ROifysmTeVmTCmFbVtTinb/wCAjdGSd+ei2ramZMy0WiZMmTMmZaLROiTp/wDn5OpCRvyFMhFCC6S6S2LatFotEyZNzJEnWn/PnRkjJO/JkCjZRghjUdcpT2AO4pIHF9HbR3jW1aLRMhTcnTp07LRaJ2/5zqtVuRmjJE/krRvIWjJ4Hi7qDR1XiKUmAG1elVCsH6lkaTTtvDtJJFo+jto5RrRaLRMm5un5aLROyJtP+a6rctycluTmiJO/kgiKQuzKCIYx7LsTKOvIczBCOr0Ko1YtPU8zlBos0cbdSxi70N+v1I+xXqjTNvH55ItOzt3ONOK0WnkdPy0WicUYp/8AmOq1W5OSc1vTmt63LXyV4XlPRV4WiHRlPLt90fmqBaKwIAO9UKg1o/1PM5NqTNDC3UtYXGPA727b9S5lKM1Ox7TxvZ8Zehv1+rF2e5WaVtw/PJH9nZHGiBaeR0/IFotqMVIP/L9VuW5OScluWvwIISkLsoIhjHsp5dvuj81GqcsrMzbjoUwqR9u55nJtTZoYW6lrDYx4Ce3bfqW8/lHpnFBF8/8Adlk6E1Of2ljOxYu9Dfr9WPs9qu0jbm+c4/s7I40Uadubp+QoFtRCpRUg6Jv+T6rcty3Lcty3JyTktfhV4XlLRQRNEGjKeXb7o/NSqnLIzM248fTCpHo3c81k2pM0MTdS1hcY9d3t236ltcQlvzNjVcO22tY4Wd/xFlKE1Of2njez4y9Dfr9WLs9mBpG1b5iBGCMEQp06LkKjQ+iJlIKmBP2dN/yVyWq3LVblqtVr8SvEUhKGIYx0ZTzbfdH5qVU5ZGZm3Hj6YVY/1PM5NqbNDC3UtYbGPXd7dt+pbnMwico4nlepmas03QkY683Eg7c1OsTcKjcGZvke7XaeKFz0dZOhNTse08Z2fF3ob9fqR9nnhY+7fMYqRkbImTok6FRqJaIxUwKYeWq1/wCQu6Ik5LX6GtC8paKCNox0ZTzae4HzUapyyMzNuOhUCpHo3c8zk2ps0MLdS1hcY9d3t236lvlxeAtkQJlNLJMTFIW51PZeWhWrv83D1x7mPZzfWRZSjNTse08b2fF3ob9fqxdnsQ9RtW+aXt2dGiZOykZEmUbqJ0CJlKKsCpOyZ1qtVqteWnJyYfV/+Mu6J07/AEVeEpC9O0MQxj2U8233A7lRqnLIzM246FMKkejdzzOTamzQQN1LWGxj13e3bfqW1dnKvA8wwlM1G3Bdg6sB7m4mnafLGzeisRHBOcMnzKlaOvTmeMtDpTjaqR2B9Fk6E1Ox7TxnZ8Xfhv1+pH2e7W6o7g+ctdzs7aOnZGylblGonQOm7qVlYZTty1Wq1TOohcnQxjtQVZp7AwwBvkwODCrjzjuhHNLxJh3oTsdWE3q/RALk6KD3UTOz6aO7xcJ9THhI85xW7MR17MleTtJ9Hs7J+3qqmOOxE8khPEpAOKR4pW0P+kk6d/oq0DyuoY2jHRlPNp7gfNQqHLIzM246FQKkejdzzWTamzQQt1LWGxnhne1afqW+TKK5JjclZev8ru7u7u+r0Y+tdhiXFg6Zh358Im5Ywg55ShLUn9p43sWLvQ36/Uj7FfptO28O0js7PtdtHdkbKUUTaOgUboEzqR1OrCL18kIOTqNmBl7xGICLkeIw9bHO9kn3Tu8mYLQDOKjWsSV5vAZB9y4gwcmP6lsDYq30EYbnQCwCo2kllGMB3Fw3iSpRnPdaPrT5O7Zlc8XEJwXalHP0CtQAzWpoZoDeOeIoj+hAU7sI6v6Y+l1SaxOOgK7VC1FtLsUgHFK8UraH/RydE/0VeApC9FDGMY6Mp5tPcD5qNU5JGFm3HQphUj0bueZyfg2aGBupawuMes727T9S3zuzNWqSzund3fV/WjWK3KUQfPw12zUOq4xg/DgtMvDn4F7f+RcHN+wTP5MnQmqT+08b2LF34b9fqR9iv1GmbeHaR2duzto5MpGRihZAgdbkZKYlK+qP15wxuSAWBlWgntS9OAOpJgsc2OosVrpvP7+YP7hjwFhFhFmZrdaK1A8Mw7hjN4X9m5P8WPibC+zzCWnCb1/jRg7ugFo2Rl/Z3WHwkFQxuzO7zTzHmZXhgJwx8QBFGMcYsIW600Fjx+O/f361fiPHjJBJ0p7kElW1JWm7SfHAU7sI6v2ahTeV2nsD7vO5VjtR7T7FLHJDK8UraF/RXRun+hrwPK6ijaMdGVibT3A+ajUOSRhFtx4+mFSPRu55nJtTZoIG6lrDYzw7vbtP1LfOxF1oSi3nGrmQtFTkx1kuoVWgVjEyzwg5y044sTZGe3Y/HPLVmt+JixkTST50LcXRt0mKOJ6FvCHj6RP1bFOevBHNMOxcNdaTJBGM0gR+TKUJak/tLG9ixd+K/X6kfYrtVpm3j88jOzuzto5siFaKPk6kfspzROi5QxuToBYGUQlLPHCLOR4nE1cV1J9+6T38wer6hj2ZmbRm0blarxWYHhmHcFeeWnM1K8+4OIsFLUOe7C7FW+JGDk6AWAVFHJPIwRg5nw7jHp1XmujH155jzUjxQu4Y4AEAYAFhHldrTRT+0Mf/ABFmrQz9N7ABpamhmgkeKxEUZ/FAETsI6v6UKbm7WLLdvLcrR2oth9nljkgl6UzaF/RDdF9DXheQlFGMY6MrE2nuB81SrIZsIDvkx9QakWnqeaybU2aGFupawuMes72rT9S35G9VZA5sjOEbbiOc8RR8HEf7TiMGdoevaJ444cZj4m92pGpsXj5m96rGsvhJKbeIrEUkTTHmKXhpC1t8IPpkzbzZShNUn9p43sWLvw36/Vj7FfqNOO4fnMXZ3Z27uycVGy2ohUzdlN2RJ1DE5OhFgZVq1i0eyvF1JMNQixlBnn6fWETy575NQoM2jaM2jWshMdoqeNhaWVsTPN71/IzyO+Ili708lZiejfmGz4HIgMVizBFZgKGYdwRSFULwGQfqQcT4QaDBPSiPofCjDc6AWjZO/vN6u+Hw0NA/GSyOc08p5uR443cMbnMrBh6wgAM8vC+dns3zgunryyFuKlTOzL6YjimR7Wy/p0rdaUZ/aOOduvdhg4kxn4RdGxerS07Z1Z9Op8MBROwjq/pQpuTtYsN8C3XjsxbJFNFJBL0pfX+hOjdOm+PXgeR1EDAOjKxNp7gdyo1DORhFtx4+mFSP9TzOTamzQwt1LWFxj13e3bfqW/KyxjbM1Zsl6YOv7Syryz+83kzED4vLMcHYagtHxPDLF+782UoTVJ/aWN7Fi78N+DqR9ivVGnbePaQgdndnbuTKMVtTipxVlk6ii3OhFgZVY3ntxVw7nicZWw8Msry6kAnlpGllZwot6aI/kdcLMzYln078uKRb2U56e8HyMrEMViEoZgYggmkoStUuvvg4jwM8U816ttKD4EYOToRYBUUUs57Yo3kLAY1qVNproRdeaU82ewNQxrbIouzMIZa2V3ISzkojKORjB9Cw11r+PjsN68Y5N7dzwsevSXBNx7GMeA31K9VlCfx9D3bUtfH8Q1ers2WZ4Zq8xQzxvGfwGQCidhHV1j6bu7WLDeUzCNtZDEVNlacfoTyPBmYDk2HG4NLeqRfNOKgyteay0ICat1wsxdORTxSV5elL6/0EnRfQVoXkJRRtGOjKxNp7gfNTrkUjCI75KFQKsf6nmsm1IWhhbqWsLjHr</t>
    <phoneticPr fontId="1" type="noConversion"/>
  </si>
  <si>
    <t>https://lenovobeijing.sharepoint.com/:b:/r/sites/SSGSSCLogisticsHansonTeam/Shared%20Documents/PMO/Records/01%20Tier%201%20projects/AMS%20AI%20Projects/WHS%20Battery%20Certificate%20Management%20V1%20(电池证书关键信息识别及比对%20V1).pdf?csf=1&amp;web=1&amp;e=OcR6R4</t>
  </si>
  <si>
    <t>data:image/png;base64,iVBORw0KGgoAAAANSUhEUgAAAOEAAAB0CAMAAABExqW4AAAB+1BMVEVHcExKGZpcL6P///9bl+87gvTk7PlS0b30tUVbLaT+/v/t8/0AAAA5gfVbLqHz9/30tEPq8PtbmfBZLKJalvA9hfP/3ab7/f1VJ5/5+/8bDjVGwqs5gvZQIZ1IFppMHJv2t0T2+f71uEzo7vnw9v7m7fr18/r2v2BOWMdaNaf1u1X6ynkYCDJXLJZfMqH3xGuVuvj92qL81JE5eeFZetk8fufzy5dXP6VRyr7kp048r5lQzrs7gO/q8v7wsUWBXrj7z4UcEDakb3JWk/ZSiuH+9+q7qNlmNpj979ZXedhT1L7715zhsFlyQpVZk+qBr/TinjBLx7JOhNqxemzrrUhEdMlXS6/Rl1lJheVsPZndoVJCjPDEjWZBc+VNo6vztphRrNtQwcVQt9JZouZHfdLLrG9nmeTq6uo/eNRTuLmPXIJUZaiAT4zR3PByTbFXdtdSNZtSkOfppjb75sG5hGPf6fng4uiIVYd6nM1bitWaZXqox/R7SpDv8PJRaMdRha270vjtw4hHGZFvkMFBhO5SVqVxo/SbnJiFl65End7W5PtNKpFzQIZQdqlRlLCATH/q4M1Sq7dFuKGypIbY1tamp6jBw8vyyofmuHlq2Mdxbm6RobTb9fLepo2J39NjVUuMhobH7uuVs9qPdrzKy9Cn596okM0qDlhnSo7QNasSAAAAAXRSTlMAQObYZgAAFilJREFUeNrMm41PGmsWxttBCoMBURQwMg5gFYXACLlF0ZYSWsUI1FaIKCU2Ta4hVWy9VXH9qqLWNl6t3tZb3c12vTfN3uyfueedGWCAAYav7j6pDaIk/DjnOee8521v3bpdN3WDKnsFSRIEoc2KIEjydn1169ateqGRxMrQ+6WzFcF0gKZSKbBcKVQqxPl/Q0gHjdCuzLw/2/v026tnz0b3CIF0KhVWXCoIJ/k/JeQG7dP8q5fDksnJydFno5J5rRA81QCmwMpJVR/ISgnzgzaK0CYloFEIoOTVUFkjEtqBdz9Nv5nBBEilJX8YIW/QaDIJi9c1KpEML5XPTmxmuq2tqenJuwGFIEai0YR5QXs5movG8nV1PUMP9kp/5KRWpRjo/wX4QO1vhoQgYliNjKUJiweNg0fzQQAlkyVNCOFTYIqhN+0MYFNT27SgTK2VsSTh+2JByw0fwyeZLGVCCB96rzM/NWXV9qR/QCGQkWwM4a97o0XR8vlKmRD1BtTqbP2P25q4EpypmKrqulqS8ODg/avJEniIjzEg0hldjgpF9z6kgXdPmtpz1TQ9g6tKS1FjGEv78OBgaL5U+LIBlEhevebXw4z+NsWj4+8PS+u1TZUOY0Nq6cGve8NC+CR//3O3r4wM/CrzquT4QxsbR21DCA8OlgoylUnPrq4sn2TyT1HD1Deedms1mVq+4+dnKhs+jgGR/i0TNVDjA9WbUcBMcwCZOsptfvkJCk//y9BIQJHmr+rrjaCpDTL15SQ3fLl8YMJ/ihqr5OsMYkMIScjU3zh8Xbl8DTUhLVnn98xZi2gEIYriyudifI02Ia2/MoQqsiGE0DXm+RM0z4Qng+W031JVrcmelytEFHw+ZAkL+GAc/Zp9I61t8nISb9dIWKEVKyQcLWz+w0vjWb+cdIjLST4lq5GwMisKJCROvciHn3kQ97BxTpI+LxtD+WCtMawsT4UQktq5kCuCCEdGPufNcJPzQyoOYed2+6MyOl6vmbCiPC1PCCc7fCvq/Q9k6ecRQHyWa8IZXDHO7c3ND8qoutkglxDlaXedCEmtYieI+4KKFZZwZISbqcNLcOwbFzVeOYQ4riWtPqIuhITK53V5cQynCUcYccK4h/1oQhzHbXOJrbWIa6sOhKQWD66FQ3MIAwg/s4Rn7+czJvyhhAydNxYNS/V6fYSomZDUYrY116INzyU8W7Gu7A1PMiYsIJTVT7mEQBfcQHQAJ0Vy+bprJIQI4lhih71OSBPOI+dZrejQOLyEY/mELa31E7cmjdN07jSdEn2d10gIEUxsQGJkCWnA98y31pn50T32R9xu0XOnfurRsPV5bNV/7UrTKd3ut2/fuqVSvbfGLNXiG641W+ZKaGUehfBTesWpsK4sDfEQ9taRsLcT6CZW/RYzxCxL9xQJEcaImggJfCcamcNzCfeGsrdgivSJjUuoqVsMe3vvxCdWHRTQKZnEdIdZurdvwwAo1QszYjFCUjUXiQRxLIfwbIBvlZnjQ0NzfRS/sF8Vo1NKmWfd57UQavG50A7OwVj5NLLEC1j3biEbm1B7KGMxOpDRRFmMQo1YhJDMv75UrOwtFVlH15MwS8fySZV5dGYT5XHY1XYTWDOmrZ6QSHhtuRjWIazBhDSdyahUGk0WkMmYJoTKmaazePx2tdruQJ8CGHGuekJfJOLL48AaTDjmQHTAR6EQXV3ZHZSRyVJEZ8zSWSgzm8LuDaJaQtIb3sAFXn3lEso0nVVq1cjEyQMQVPipy6G2e8x0GI1myuLwq9Vqf4bOaDLRRsSJKgl9rpANq4ZQ1tzTW5V61i9pHKND7TC7kPNMgORBUaQK6JATGSPayh+G+QkT3EZRCWH1HX/98hoRWtRqE11anroQl4Vm9nssJjNKYZaOdiJ8IPpoEC+7IuYlJBU+TDjgQH0Il1MAaAILBp4GrgOugOsKCFGkzCbUF5U5dQZylDEiXva8z0totVUQwaE3+5yZprXqIWbZyYTQHrh2Op2p1HXKzgRRmkOXyVWU1GDEsnspHsJu69qicMKZ6aZ97hajpUr13bkwKyEjIUtTTqTUtRO+cYATTRY+J/pNaDSFcqEgKiY8F1xIFQP9s4/a9+vSLQxxSmlGJFcMoZMOot+MjFhQZ1A0EWEUTc6lr075sjQUEWhDfOCdWCzuGOysy/1S/EppRm89xRKm6MBBMlKFdLQTkRETeLntIg+hNRoSGEIaEBCnTuox0uzapSiG9tQ1Q+i0s4S8dQYKDRwYXTRhScRCwm5fLCGMUDVzXyen19iPtu/W4ar3wkz70O7nECIfQuwK5hn4CkfXvDu2steKfFlq1ZZNT8znw2xbf3z4eHgk1unEcvHxMnMg1xiqLTUtu0kTqqUZRPSQrqVSD6fOMLXVaLry/x60WlXl/8ENb7coR+jbCEW9mG8tGggsbMpnN4FQ/nzwTm3dAnVEpcnOIkKzsDhQP0QhpAroLi7iu/GHKiFr8EJCYuu0NCEejISjoQSG2fpnNzeP5B8CXzbFOrm8fd9Q2xYDdUQPHTkHBf3QbbTYLVJWynRfBLp4fLevpVNmeCho019A2O1zLRIl8Gw+PBhanINExRT9OvCh7vGHQODjEbix4/ik+k1U713DLnREM3Ki3xROrabcUspjTBNCWTFTV3ZEB3jNaA3HuRcuhVhIeOo6L06I78TQTM5s4BT9dCnV6Ta/LDwGN6JUPaly8u7t0UBHRDMaRNEC5/pVymhhzxZ6vTRwff3169ft7cHBwamp4+O2qWZwxHfOHhxUZLgpJDx3nRYltC1Go4vZft/PXgnqjmbF8Aepbb+lqvOTYVcj6oSOSLvOQ1GmKw99ylVK3YGFD4eb07P37t+/z1yxijs6jh9kbr6h6gUTGxs7czb+zl9IuBH1FSPEt8Ix7naqP3PtqZMfLhyiziHvmFqvbqLRQEf0M+dBCp3xKXTaN1NfDn/++d692V8etR0fT00NDm7v7y+fnDxI3+3jtkQo4gq73eFobGuOEFRprOcEWQQQX/T6uNupLCG4cSGwWUNzNMRhMNq9MGZcpzeaU04omcvb24C03vvgrqFTgxb9MhG77pehu4xELL3lh7+jXmu3oLkUTk+8KRrMOxVzCcXyzQUwI/0ImmPFF9mdiLAlaaLfqhKaeezyMhnfhZKZcyei0SAPGAwG9PQ4bvO69NKs9NLIqZBu4SNJvv8oYPNyFsSFhGL5YeCjnH34fLC3YkIoj33JlFIZjqx5b7w3N8t3eprRFMEQwURwF5TZp6JReNwXcuuZFmk2oxMyuq45F1BpItbbfIRbYW+pGII2mRjSYWzb7q1oA9ya7BPJmpOXzrWbm1Ds24tvfyThWaDuzPk1RAmwdAxlX0N0lzR7VifGxiZW7RRa/hcg8lQal49nqMETnEuMIoRy3VHWlx3H+5UNNLsiTfN6MvmPm28vkL5dIiD2wAlBhFBCinLu3DS7TjfwGR0TIs3YxMSYRjSmRrubiE9At+jmGWpC+TlaSKg7+vJRl+WF5ljBhLPcA+Fq7UnGGMAX35yIkMfPMtqNMg3MB2g1p5aNqS0myFLKPyGaQIghslzHD59387SLYOFuKp9QfPRlYZaDCKm6LphxOU4nZM8LljB2iUwny60vWTca+uJXqLGoRROQnLQLleZV0SpQh0+7y3SL2Gl3Qbuw2fDCE1UBIafYiNmT43Lrf3k5F5809iyOZ3nc62jGUhwKTYb4KN2CBqh1CRCxMSxcvVugiQiCaMNDqFJNL0EtPqpm1SKtba+xmli9Vlu7f+ee38ygM/CbYWh2+0tbm9qafuZ7nr9zxtv3ZBwQjyU0HS2yhJ+PTYyGrbd48eXGG//+HEmoGdaP2jUP7oz6R4f7ngw/KLYOIxEbxNJ/Wzvrxha2sBd3h1FLSO9kD3eEzCg5Ig0antfIDxEh64dTXzhCvakaX7r53vj6OaoOekf1wxo7OCKEGr/S39unL6KrDWvDfFhLSKyjfYzGhGp673CHFiJCOS4rOb5+rmxFMJ++IMSpL5+X2FiqBB7TWbfy7Pv3Mz0vuaAKT9PXOtoDtunv6wVMZRGIR3trp264Ht9bly7Ck0FZhNXqVMCYeHhbxi3N2te7aPg4NHR1Uf7rr6MLxg0ZpFvfT07OlGfnJyfnZ1VvBKO2Q6q4o3ykedSKTFNzRwm/7xn1o1iz2uAWY398X0hIxCfDCoUsQvzRbjW6q1p66sh1MyK2HV+Ur46PPl9AtmD2NM9O/nV+CYY6dPn95HvVE5eX/wSUnqLe3lNUIt00/Uq/HRH2Ikc0NrqJ8tYQBvE3NxhCcm8Ph6h7+lZqq8S09k/SETIx6X354jNzLq64XHF5fjnExZehNtNZG/LG7udMoEGSPfAr76CKDUB7NHb/KBrYhA3ShJ3hCWuNleJvFzGEdJmfL/gR5+GSSFS9fW/rDWQWRwHZ8l3TvasyMF4cfRoygY223mq9e+vudYBR6s+ZdV09ECINgdDuVz4BI0WgmpZ+ZT8qT8P8uzfcPc3HyX0hocgcCqdhOYAlRMlxC5sc7y88TaAM4/HdZ+/MTbeXFxaW2kxMcX1ZuyN/eXKuZ+LSMmelDJoGPFLfp+nzIzdEd/0GaULjvlXohoKJfgMrFSGEk3i6cP960YL73f0lMFAmhXpiXF95l7mt69azPnhejZ96+PO2+0tvv/669ttv//n27dtEFxNpwA/9w/Z+qNnsw379I+aaOE90NJquGQhBrhjPyyVUSxCSkBxZGUGk5SXE98vWGx1bIpCemPBauRWQTOe/Lrxd2NpaY+4ucqGCL/bS+eHgD6v13bt3qy1stkDpEI6y1d/qZwC73EGivbPBdC2f5xO+Gp+XS0ivbO9ILEBDOd5muvfp6vj4+Gq5zbT0MHFdAnkG1rpNt39ZYojWGKJcZrAScwzwj2Na4Yy2t7cD474bZXzlk5YH/cVi3yMoa4r2lh4UaFCLYJAmNIbdvPzXDKGaJKUTR+Lh8qfjr3AAkYkwN4SxUMjnExA5Kg50PB50R+Nh/tq0RcFsC1qt1sUuENGv7+9FV+DMlBH6jCc9LcxcSZqw07DOn3JD4ySfcEXUSDmQ2ZWvb1QUpcp9Lc04+J9h0RgiBsjDPq6aJwaEivfvFQog/Ij6+2G/cnSYndL09hVb/X3sxI03ycBGGoVCsKkw8kputqB92T1JER2RyFiIe3/UNxOZ9dTH3BtLSBTqvwAi3JxzMiJ6UQNsL0KQGS3eKRZH9cpRAHSzYdEoRWiA8DnFL0QJQiYhNBfbpJSAkZnCzTuyobFIxCHxONJpHY6Q2EVrn0A4soha/J4+aC0gV0Ib/KhX0zW+WvPGAi7jo3uokREeVnBdbj48zEpYKQjoowTvARdwMl4XQqk0XkPn3CbrifEp9sIfbYH12R/0QMFWBbxxRAyhgSvV5q8l9OJHpvX94UqgTEsIWDVQ3qvOPnEZE6kkiSVUfPhgYxHZqyhmwIhmjF1dN/fVEoRc50SsuquuSOTxY+/6/nCl7BMjHIjM1Ah4bap4GUlxQmdUwcVTa36yhVsbho/jizelSYfEbSL3V+JTk1wIldtb0KS6KQFvIg5WRl2yIkLIORBC/ONZeXES7YU9Hp8Iz/N2SK6DaT2h4WaINll9JOHJeOP+kPTtiTnhgCDCyJZRrRbRkNsDhczvfLZr3f+YX13Nr48oCNybQ3WEN+09EVx8xT4tIuhtTEjHDgN4G0UCUiqpU8DLqMMTEi/YlwQYRqeVOYaOmoAvTmgU9BS2ICc80YgQAW6LCRhSNTgURkYykS6QWA3fz1VXzKMW/j62PEJDzbg3zKhHBPM2SUJ65zCAbX4ds7M+StX4hGYiA3WhJi0SSw9YKwUxd8WWKmQSKmxe98QrGxNO8xL3pTRN7+zhFPQMiEaY+ogzWyMjmXTVxRpEaDn4wCk498yiaJawbigzPwFZgyBGpuovo6qEpHqlvELSNE7AGZ9K9oGIM1AjYkqHI9xklYseXPtjM4S1Nk3EV4NEPE4EJ6fiIoQr5QC2WPMMzDYWkOKbsG+GLyNJVpIJTOVdTdPv53Ylln3E8qERMxclIFuE1/N1O6ftZpokaahFA+UVrAdKpYjqyWSEMs4OeAR1uE5H1hBaolxIcEp9Bx+DfEKmyw+73VPrHO51bG03+7bBPH17K2oaI6AsA9WmU9qaxDHrEPhiWiDjtKWdzRUvNp2Sm1vNEYJdBL2LQSIfzs+jQbBtZCQeh+gzEQhkt0FFrAfKizBUcjBJ1UYcvowVV6qi4xM6DyCSOjddz5ySWz/G5ghZzYjVxy3j7lUivjgx6Z6IE/mpve0YvkgbmJGVItBJuTJ1EYcvYyI9mNRd3x1MW96ndondudSmNGDzhFzuGHd7g8SIdzHsRfnRjJVPvoCMZBlXkqovVXky6ioV+JnQIa+kp6NzB07ixYfdRluFnT9EqFDkqyMa1g/FBCzITxEqbSaDSxw8GUkS8oYrlQZrLVSesa89Ntqe7PjbDxIq1oNolig1t3DMyjZQTjGVVosrVfneqE5U0ilo+ZOugw8vnHK+OdgPExKEzRvmynAcoWdgDCtgTooxncYgqsYEN1Uk5A21OnngVMhafjX+MCFaynBPsEUqhtCBjTCU6jRbkhA2OZjGdhxjAhkBsjJYschb7hW/Ee6U8f3TXk2Ne7GEICA2wpSyj7MlyaQ4mMR+wieQUVdxpaflEUrMLTo7ZCywj6yuQk5UEOZaAQvYqiyXDZzmVJQkoisjUqo6PPxeQyeT0CgxtzDI+QKEgpif8MbN/FzhcfjqBaRypaOcqpRrFE+1GS2FfwS+MQc3EVDrEjpaHqHkdE0WISrIF92TF9DTVyEduAiTOwX7zMkLqZmkFssY8oGM4IJQvZFcf9iMkUr3+JKItvVF9x6pjjHlBghI1RmnSnv4OHsqExDKt1RG5I5jzJFIulJMfSqPUHLKjQs1FgveVF/skNvZw72VHUcsRAnaITDOLIhXKuXk58aky5UUoS+kXFwfJYvQIL2pUBdqnOaNDTPuCxNmmvaVs9A8FYCllMsxaKXTEootgSw4INVU7s+kUJ9R828o1F9l0hUHqZZNaJQmrHVEZ2QjGt2IOPE3UTQd2y6zSIFsjjqFD4Ejler0tCQdPbFSQW2jTSczWtYUGNRMMu2CZEmFCjGPXELhGzSYO2+hmbZvbETRD7PIXZsnVkD/k9Lp6RG4XOmIYWtSPH5QTbugAtWiahWFnoxrMJVm3JOCiCOT0NhoR1gooiUSjYyNwS8WLOFONcJwz5z78MMH8kYSEaYHXeCWlBYpWv2CIKOcbNHR2YjQKJ/QEwup/teHfVCZZJIxV8Hzonw7MgiNjd8KEoho2zDvzsxEzRs4Ky1Qqv/TofDGEPrd0lQgFZtyC8JpNGKORs24SGMzq3720Y5ZmrNRsU0F4XuwGxEIp9jZE/XTCV/ampRQZNtEmBMtTnzPSTjHtD+ZMGRub1JCkY0hY135gkeM+rQ/9YQ2LM2FGfHvi2Fol3OgHNj4R/PndznnJe5EOwzSx/jf4dkVtFwHGUg5YgIpLMARm0JCQIpcoEMSWI7mQx2e4QZ0miA+BADtUepGsJg+WgAAAABJRU5ErkJggg==</t>
    <phoneticPr fontId="1" type="noConversion"/>
  </si>
  <si>
    <t>data:image/jpeg;base64,/9j/4AAQSkZJRgABAQAAAQABAAD/2wBDAAYEBAUEBAYFBQUGBgYHCQ4JCQgICRINDQoOFRIWFhUSFBQXGiEcFxgfGRQUHScdHyIjJSUlFhwpLCgkKyEkJST/2wBDAQYGBgkICREJCREkGBQYJCQkJCQkJCQkJCQkJCQkJCQkJCQkJCQkJCQkJCQkJCQkJCQkJCQkJCQkJCQkJCQkJCT/wgARCAKxBAADASIAAhEBAxEB/8QAGwABAQADAQEBAAAAAAAAAAAAAAEEBQYDAgf/xAAbAQEAAgMBAQAAAAAAAAAAAAAABAUBAgMGB//aAAwDAQACEAMQAAAB9UemgVBUFQVBUFQVBUFQVBUFQVBUFQVBUFQVBUFQVBUFQVBUFQVBUFQVBUFQVBUFQVBUFQVBUFQVBUFQVBUFQVBUFQVBUFQVBUFQVBUFQVBUFQEMVBUFQVBUFQVBUFQVBUFQVBUFQVBUFQVBUFQVBUFfXrp08Eb86gqCoKgqCoKgqCoKgqCoKgqCoKgqCoKgqCoKgqCoKgqCoKgqCoKgqCoKgqCoKgqAM4AAAAAAAAAAAAAAAAAAAAH1rv8AL39IFv4+n3l19tleuynfzvEPXyuYQZwAAAAAAAevvHzhsjzPNZ3wGQAAAAAAAAAAAAAAAAAAAAAAAAAEAAAAAAAAAAAAAAAAAAAffrHmeHp72tu/j7IFuLr09Ok8cmZ5Us7V2h0nY8dYcgk6gAAAAAAbLo9D0VX11nnt8Ly7F+fpVvLzysibjVN/4eiciPQ8wAH1cqvuMZkoVpjMkYzJGMyRjMkYzJGMyRjMkYzJGN8Znz05YguPMhnAAAAAAAAAEDAZBgAAAAGQYABkAGAAZBgAs6Dl10vrv/Cnv9Uz/CHb46zXuDLdYu8kUQSqEByvVaztrzAtOIYBkGAZABgBvt5qdtV9g5beHlmIWPn6JeWu2Oo7Y5wW3AMAMj28fbzvtfTNxdxwzgs5mPgs4YLOGCzhgs4YLOGCzhg+eyx2+oGlli+fp5+m8KHWMAAAGQYBkGAZAQAMAyASsAyAAAADAjNSgAAADZa1q7t4+1PIAeXqxth+OyayJTeKAAlHE+W21NvHDcAAAIUAMdTsuE+4fTuHG+3PbrHM+2joGl9tc7TRZ+m6Y1YseQAGR7+Hv5z2pmdLwzxzsWY/HOxHHOxHHOxHHOxHHOxHHOxHHOxwm3NjSzxPP7+PTeFDtGAAAAAAAAEKhikKgqCoFgqCoLKECoKgqCoKgqCwKg3+94rta7sEbcAAAYecZnxzurk6dDp8NL0DrrUFQVBUoShBSFQVBYAFQVBZQgZPv4e/nPamTu4/Xm3SM8ebdIObdIObdIObdIObdIObGtgABh/H35+m8IHaMsFgWABUFQVBUoSkRnFQVBUFQVBUFQVBUFQVBUFQVBUFQVBer5PZ8N+qFX3AMLT9dei1PPfEvnmYkStKjOKgqCoKgqCoKgqCoKgqCoKgqCoKgqDK98XK877T7ycNEnZjDZ1zGGMxhjMYYzGGMxhgMdQBDE878+o8DUdeFQVBUFQVBUFQVBUAAAAAAAAAAAAAAAAAACwdv98hjQevRabDsnQOuoABNTpts/PnPOH26dzDDp3MDp3MDp3MDp3LQ6pyo6pyo6pyo6pyv2dO5gdO5gdO5gdO5gdX6cntOum4Sy+QD38JykZf3g5lbd+yY9fce3niy387lsRvzy2IMtiDLYgy2IMtiDL8vG9OISYAAAAAAAAAACGcLAAsACwWAAsFQALBYAFgWAsCwAVBYFgALBh6TZ6ytlefx9/EbqGAACUYzJYzjMkYzJGMyRje/wBMgYAAA+/Tz9NsbrN1O2tIlR20AuXho037+DvEDbWwLAWBYAKgsCwAFgAsABYAFgAAgYAAAAAAAAAAAAAABkGAAAAAAANX7ePa1nTzuZ8aV2MyWcYzJGMyRjMkYzJGMyRjMkYzJGMyRjMkYzJGMyRjMkYvK9v46yOG2uq2thKDvzAAAAAAAAAAAAAAAAAAAAAADIQqCgJQAAlCUAEKgr7yok/F9spVeg8vv6RLKK06fHn7uvDC8tl8zarXMjHtvPCdo9AAALhq+54rtazX08/u6w9l7Z+DBvIx2sjIY4yGOMhjjIY4yGPsM6Y2q6XVdYGpRLqqgqCoKg9Ca9OE2eu2c+w+UsjQ+txX7aV0Kr2550I550I550I550I550I550I550I550I550ODIxrEt5oAASgAAhQCFSgEDAAAAAAAAAADI+sqo9HKU/pAZAAAAefo256742WBf+R+BOqQAHv45eNdL2nF9pWPv6+bpE6jGydTXen9rqGk/bzUjbNSNu1A211A22Xz272j5eq2up7VOpRPpKjCoKjKoPQab8NuNPvJ07DWScbXaa7Y/PZBkbeN10Dfu+dA340DfjQN+NA340DfjQN+NA3+PpjUCBrz2Pl4n0yKErAAAAAAAAAEAAAAAAAAAAyPLY113RQ+tAAAAAAAfH2zrrPnNwvTeGCRCA9sj5uvLS9nxnZ123pfmaROrfP1XehAAAAAAanbaXrG1iJ1JUFQVBUHoNd+H3mj3k2d5Y+bhyNdvstbsvnkq36zYnTAZ7pnAZ4wGeMBnjAZ4wGeMBnjAmw88YwhFxocPMw/pUUJmAAAAAAAAACXOAACUJQQoABCn1rvl5EvlfoAc+w+j5evmxAyehr5maxhOl51y+AkATX7HHnVWEPReLevjmYx9U156TsuN7Ku3+/P088Qfb1xGNstiMZy2IMtiDLYgy7hmei9OZz+E3yxkkV4bagAAAeiNN+J3mj3s2fPDI+ZHLM2Wt2Xz2b6ZeD9w+mWxHTOWxBlsQZbEGWxBlsQZbAa4z/jDYBHxocPLxPpcUiZrQACFAADIMAAQAAAAAAAADJxs6FaZA857UBu9JvMxep4fuOHzV4Q1vu48/Xz38vxW60uRp6Ht+HzNdmJ8jFkA+fpnGqnp5+s+d+mX5euY6VjGk7Hjuxrt/v4+/NAsCoKgqCwFAAAAACUCD0RrtxW80e8mWAd+OfnYWb89m++20SP23rRO+d60Q3rRDetEN60Q3s0bAK/QADQYeXifTIgS8AAAAAAAAAEMVBUFQVBUFQVBUF2Ot2dXf8AoKP1YDd6TeZi9TxvZNqDgnesTcTy2GvzB4rf6Df63/TcF3vBZrsca3gAGB5ez0/gvYdq4DS9hx/X1+3p5+nniCGcAAAOk5vro1h9zXauD6HpXNMdOlc0Olc0Olc0Olc0Ola/Y7Q9Np+i52fReiOkbi95o95MsBe/H12uk+Kfr0Dmdn5+Rsz4pd/tpcO+59M5l2x0zmR0zmR0zmR0zmR0zmR02NofKRj6kep5VDFQVGVRhUFQVBUFQVAGQAAAAAAADZ6zYVl77ih9aA3mj3mYvU8n1nD5qfpgNbru/H089/O8Vv8AQb/W96bgu94LNdjjW8AAwfb5+vT/AD5Ze0KWDS9fyHXV+3p5/fwgBnAAADr+Q6+JZ/bXauF6DpXNMdOlc0Olc0Olc0Olc0Ola7Y7Q8DnOj5yfReiOsTjN5o95LsbF78YDC6PTfNT32Oo80rAWGoAAAAAAAAAAAAAAAAABDFQVBUFQVBUFQVAzMP1jTtmPL+9AbvSZbh3XD7DT7QfIa2vc+ehm1Fqd/oMzFr3PBbXS5hfA1tQEvzvy8S+p+cBnUlNJ13I9bX59PP7+EAM4AAAdhx2+jWG2Y+RCtz58cshjmuQxzOQxxkMcZDHMeHN7PWT6X0R0j8bvdFvJVlSd+NIMHOx9s+CNtqgqCoKgqCoKgqCoKgqCoKgqCoKgqCoKgAAAAAAAAAA2frrtj5n3YRLAAAAAAAAB5fflaechbnykKEppOt5LrIGfTz+/NX1GcVBUFQVBn7fnvLhLyPCO0aozrUFQVBUFQeljXfjt5o95Js1O/GWXXd8/blJ1rK+Om3g9x4PceD3Hg9x4PceD3Hg9x4Pby35wdOAAAAAAAAAABGVQVBUFQVBUFQVBUDYa+xpu4ePt5j3Qa9AAAAAAEvj04SL6f55Fm3OyiFNJ1nJ9XAffx9+ea++vpPK+k+fLYfMbtgK9f5l6sjyXpcby2Pl05YaPW+bqMqgqCoKgqCoPQabcfvdFvJNpR34328/Tz/tz7y4Vngs5nXBZwwWcMFnDBZwwWcMFnDBZ3mzi/H2b6j59vH1vzyo6cagsCoKgWCoKgqCoAYAAAAAAAAAA+thrUSw3LBzfP8AsaOEsAAAAlEo8fn38b7xZLPpYolDSdXynVwH2li8Pby57aeH93usDMwIO+SYvpfPXP5XdU1/s8DO10Pb08/Ty+j+AqJcaoKgqCoKgqD0Gu3IbzR7yRai9+P36efp5v3uRuudR5HRucZ49HOdHRXnB0bnB0bnB0bnB0c50dHjaU2DWbrfD28fV/PQ7xQAAAAAAAACCoKgqCoKgqCoKgqCoKgv18MbZuTqVfcbm6f0h2W0a2adtnNX59Y2xxcdOqb6eVlQNh7eP1BsPaeSPNSyz88VnWUNJ1XK9TAx9/H355r8TmOz+qX0vGdZ6/XDqvmu/NaXTdt81XpOV7Dz+eWhPn0Pmvq/H1nCwxYFgLBUAHoNNuR3mj3si2iu/H79PP08373M6XjnDp2LjmY/YuOHYuOHYuOHYuOHYuOHYuOHYYfNmwaWes8fbw9X89qO8WoKgqCoKgqCoKgqAGAAAAAAAAAAAAAAAAAHv4Z+HpDngCxSFIU0nU8t1EHH38ffntXVDFQVPJt7Y2l18W73GFh/ce1fOZ7Ntb953kM7T/LXrvXjdxKpt0+bIp6hioKg9L83Xbkt5o973t5Tvx+/Tz9PN+9yN1oMvh02jVsx9o1Y2jVjaNWNo1Y2jVjBGlqABrPD38PV/PQ7xAAAAAAAAAIAAAAAAAAAAAAAAAAAD2zfL254izAAoiiKNJ1HL9PB1+/P7+Nq4Mlnjjbz5ySv9b85+zz+1fh5hKpAzzAmDntevL4vY6SH6Dw6Ljtmb8TvNAAeiXXPJ7zR7ztcFd+P16+H3U+m9Hxa6++hxlE+esb7fHjvzyWMyyWMMljDJYwyWMMmY2P04eXmej8SG2gAAAAAAAAAZAAAAAAAAAAAwDIAAAD088zD3VywgFhQQolGk6fmOmg6/fn9/G9aGV53c8vEvXR67fMhLoQFgAAA0Gt67la/1XQZvNdLJpg71wHol0zym80e87XKnfjKg9fP0r7v6+Pn507WFn59g53ltjBHTIAAAAAAAAAAAAAAAAMAAAAAAAAAAAAAAAAfWxxsnmss1VBUFSkKEGl6bmelhaffn9/G1aGWo02djVnsujyCy8ge2RjOC22Rz7aF02Rz78j99n66duOyOq8OXfSZGXm8ZGm439Nx9t/x3otf47TOicts5lDthIqPuy655XeaPedbpTvxllEsZWVhKEU13xmYfUGQAAAAAAAAAAAAAABBUFQVBUFQVBUFQVBUFQVBUFQVBUycMq2chYLBZRAKE+svt4cj8h6VOUb78/v471RMDWRqPadRV+w6DaffzpC+vLkufgW36f8Af5p1e2vQCXXjzxnS8Z9ayFdbDYaD37Y/T8vjeyV/C852HHyt8by9/DPXe7HmOnsfJfdjrWcvvvXvY/pPztn4NlCljbUACwFCa3Z4uzFR0VBUFQVBUFQVBUFQVBUFQVBUFQBkAAAAAAAAAAAAAAfXzg2WHn6JY0UhUFlHR5O10dLY8zYuq766bl7x6fonLb/GqO/MefpqrGk1/wA43vV+39u84PstNes5/oOShbcjj/eJM67T01Ow5df03M1O21rmLlTpy/LNZ1XPx7jBybkyuO87zn+gicee4P8ASPzabp542Vi57uq5XqJlDkbDX9L2pdrpNnwce9+vguK91nJ9JE7/AFzP6H+fc94ifFqUIL82mrmRj9gZAAAAAAAAAAAAAAAwAAAAAAAAAAAN3z21XSdT7U8/WbHX6rh06jx5rZYTn+5+d9fzy7TVW9fUb61BfvzuM/ovJ9JraSy5RF5WD65deu98jXU0rnOf3/PTa/B9fL7rvWZXTczuXP8ARdPuHCN+UYn6Hz0a05/Z7PqcMr3JtQGdfDnOovCTxW53rn1lJcHH/Kf138nzJ8cPNwtpPp1Gs2Vj5P06zk+j14evG/oHBLb4sWMNuNP1XDpvPz/uuAi90LOFUFQLB8a7a4G7xHTAAAAAAAAAAAAAAEAAAAAAAAAAAPbGdv3vj4edtPjh8P6tYWP9drv+e/5vlfoeJH6cp2P5/uOnPqeF77n4vfmkXNdUFBvum/O+jrJt5/v+JqbXH9dp9+Jv8JjfPrPNtLucX0/lebqVPuM3Nwvpr+uPn60gAwxMvVttLufyrx2k/r2h/Pvs9e91fd419RiMPg+fzDqNVPqdNl5ztxqJNV6ZeJeHbMw7t/mv1TRzd6ubH3HQzQ+u8x5c9VxXkddLFEsKgvj6stU9PPrgMgAAAAAAAAAAAACCoKgqCoKgqCoKgqCoL0/L99Dkb7ge9/KYEi/pPNdkNNr+Ozj9Ryed6KFI4fD6XmLiu/QPjA3FNY/nL08/QVVS5wQWKevx8yqs9566DI+ees+bfP1nl/r4+/P0vj9fpup8ot1pvrYI1r3O14Lo0DdMDw4TNs0GN04dNg4PmlZ+XoZu3mHr9f1ibTH1CRTZ2L5unCo20qCoPT6+Ly2m603186+q7LTT5soXv4HvvHUmcUCWFSkoEGPhdd6ce3Gui0kjn4I66VBUFQVBUFQVBUFQVBUFQUAAAAAAAAAAE/RfzvvK+TvPyf8AW/y6P163pOP7CJ24XT9ny1rCz+5/Oe6h9/Tgv0XQc92/x8eP1434i+qlMiCpRFHfcB1UCVt+H73lYnLVfH352dBUZzUFQX7yej4TuWdU5S9X9bJzsdb9bHYab89gdi158LO7bwvz11fJzauo6x6gqD0+vjac9+k+/XS1HreV+V9DUEpKAhSFSgBKdhteWzqWy3fx45MXvynI/rPPWUThUtzAAAAAAAAAAAAAAAAAAAAAAAdPzGRx3/U+K7LGoLP87/TfyroLSH2/P7/6qJvMb7Jxt9clx/j259Zx2LJ0YJXAAAABtNX9abfomo2coLHhPP087zyQZVBZdhpvk7Pz11d6TEnGOFv2bjB2eTwbXPeuCYz3u0/Lt41/SuA/QePmed15LGjWMqg9On5juYVl78f1v5/zt/gW0AAAAAAAADF7jj+thyd2Kaw/LsXOwfU04b6gAAAAAAAAAIFgALBUAFgWBYCwLAB2fU/k36FSz8biv1XD024/YeuLKjzW7jYYczvt/wCkWRxeu6HnrCIHfkWAAAAHXbbhPnyno8nB+biLfrqtrc0XJbbdIth4+3nq+XfP5zPwOueAHK3AAAbvSbvGv6g+NTmq2mr2nqxyGs/QviVA/PnW8ljXM7b879qD1XVcflYvqvPBOiACkAWAAA2Gu2Juuh9qqdh5hCkMCcFL44MPQVgFQLBYFQAVAABUFgBkAAAAAAAAAAA+/hh2fS/mmZVy/wBDcR6Re3Z+fFYm+vV6HATI4SOIAAAACykHzn6EECd12x4bx9t876rU6tZ0f18kiJu4VnpuAET0AAADd6Td41/S/wA+/Qfz6f5P62OsTavqdrwKLP7Dj/fw8j7wKm8D3PigvKQAAAAsAL3fCbyFJ6mY/L10vcaXWLWDrvLPwJ/ANgAAAAAAAAAAAMAAAAAAAAAAALMrDLpw2LAAsBSFIUgBSLAsNXs9Lu6OwPr4j4D0HlAAN3tNXuq30nJzrXCx5J1o5LI6bYc9+Jdu57cRuN+Y8vz39C/PLHz9FhTALEOwr6U3oNRtdHvfQQ4skxywAAALBl4nXx+314bxUT/z7y6Dn7quF685q9pi7sMddQAAAAAAAAAACCoKgqCoKgqCoKgqCoKgu0ws/lkNMgAAAAAAAAAaXdaXdRY/15/fx2qQzkADebrSbus9IHKYBdhr9hy3o5bgeX55+h/nllRBYUwAH3ZdcaHeaPe6+kg78QAAAAHUcv8AXHp+iOT+KubdOW8AN9Uo1UycXvrUZVBUFQVBUFQVBUFQVAAAAAAAAAAAAPbDN9DhsWBYAAAAAAAACmk3Om2cXhkef38d6cM5AA3m70W9rPShxmAXYa/Yct6OW4Hj+efoX57ZUQWNKAB92eWmdRvNHvNfRh34gAAFgWAAAAAHxq9vgb4xx1wAAAAAAAAAAAAAAAAAAAAA2GFtOeQ55AAAAAAAAAAA0uDnaiundA5v4xF6dzDOOncwOncwOt6P8vcZX6u/KHOT+rvygfq+X+Otc/sT8da5/Yp+PD9C0nMJVf07mHTl07mB07mB0+pwfTTvtd5pN3N5h34gAAAAAAAAAPL1Zah6+XfUAAAAAAAAAAGAAAAAAAAAAM7Jwby2zWEwzWEM1hDNYQzWEM1hDNYQzWEM1hDNYQzWEM1hC810esiytX8e3jXTQxkAAAAAAAAAAAD79PnY9uW0zsG2tdmsJnXNYQzWEM1hDNYQzWEM1hDNYQzWEM1hDNYQzWEPbX5ON0wG2AAAAAAAAAAAACUAJQRmpWAAABCkKAAAQoAABCgAAAixksCiLAoiiLAoiiKIUiiFIsBQGAABCkKAAAQoAABChkGAABCkKBLGaGABCoyqUIKlBCgEKQqCpQlCUAIKgoCUEKQqCoKlCUJQAAQqUJQAQqCoKlCCpQQoBCkKgqUJQlACCoKAlBCkKgqCpQlCUAAEKlCUAEKgoECgAAQKAMAylAACAUAAAJQQKMEMqAMAyDBDKwKAACUAAECgAAQKAMAylAACAUAAAJQQKMEMqAMAyDBDKwKAACUAP//EADMQAAEDAgMIAgICAgMAAwEAAAMAAQIEBRETFBASFSAwMTIzQFAhNCRgFiMGIjVBQoCQ/9oACAEBAAEFAv8A9YNF3RQyC/8AfGgmizKkAq8e+H+8tF3TQ204c2SdsWLDKJ8EY3LN6UjLIIsubLB/7C0E0WbkGNyyhBhx2XIf5+Db2xqJQaalB4bd1nWVB1pxrSwUqHCHO0Xdbjrcdbjrcdbjrcdbjrcdbjrcdbjrcdbjrcdbjrcdbjrcdbjp2w+9aLumG3MzYuAOTHaceaL4Ntb/AGruphw5Ihd1EcYqrfCm5oNi/wAR2xT/AI+57phpos3QpAbrctaPLP8AAtjckxNJRAmi0dte+FNzD2DHIsuH1C4fULh9QuH1C4fULh9QuH1C4fULh9QuH1C4fULh9QuH1C4fULh9QuH1CJRmFHZPy+4o4CMF6IaehT0RWT05WTxduSlBvvzXAW+H4Ftb/T0Lk/8Aq5h7AFyS8UXFFxRcUXFFxRcUXFFxRcUXFFxRcUXFFxRcUR6/OFsn5fcUBcs/K4oST0gnWhgmZotzO2LFhlE69Bg1P0Lm/OP40/L7hnwQSZouvcdxyfAacmTVJmTVx2TXIya5yTXOCa4hdNWgdV5YkJzC7KkeLVGbTLNplm0yzaZZtMs2mWbTLNplm0yzaZZtMs2mWbTLNplm0yzaZVhAvT7J+X3NtL1ZziNi3KDItUUv0IvjT8vuQEyi9+kWrCJFuJJKUnm/0QuypxMY3DBrhg1wwa4YNcMGuGDXDBrhg1wwa4YNcMGuGDXDB88/L7qgLmA5pziNi3KDItUU30wuyjN4S1h1rDrWHWsOtYdaw61h1rDrWHWsOtYdaw61Z+efl91by5Z+QtYESLcSSUpSm/04n+NJ8X+6Z8HCTNFOcRsW5QZFqim6MiRitQJagS1AlqBLUCWoEtQJagS1AlqBLUCWoEtQJagS1AlqBLUCWoEtQJagS1AlqBLUCWoEtQJagS1AlEkJc7FWayjPe2vJorNZZrLNZZrLNZZrLNZZrLNZZrLNZZrLNZZrKU9770dUUQ5Seb9E1S7qfS3mW8y3mW8y3mW8y3mW8y3m6UEGpdugNvwpF/q9VPdGpdF+3Rbt0I7KWe9Dlb8p5tFPJ5f1is2S+ZHZR+X9frO9BQPVu1FTjbTBWmAtMBaYC0wVpgrTAWmAtMFaYC0wFpgrTAWmAtMFaYK0wFpgLTAWmAtMFaYK0wVpgrTBWmAtMBaOnm1wt+lVH5f1+s70Y2HSy+ZFVQ2LT0ff+ktF3TBWXFbrbMFuRTiZOJ126tayB6JbB0f40Y1oxrRjWjGtGNaMa0Y1oxrRjWjGtGNaMa0Y09ENFE4pdKKJ66FsX/o8YvJRGzdJ2Z1IXTZsXuHcHokhexHq4U78TCuJhXEwriYVxMK4mFcTCuJhXEwriYVxMKCVjwVd04onrt/lJsH2Ri85QpIRWQNZA1kDWQNZA1kDWQNZA1kDWQNZA1kDWQNZA1kDWQNZA1kDWQJGpMG+tgPHrSg0lKLx6MGVw7g9EkL2ItOMz6GnWhp1oadaGnWhp1oadaGnWhp1oadaGnWhp0McRRVd26UUT12/ym342UUfjVEd0v1Yx/Adt5pR3X5u+y4dweiSF7VWVBgy11UtdVLXVS11UtdVLXVS11UtdVLXVS11UtdVKlJMolX9ulFE9dv8k7YOqLwQItMumEtMJaYS0wlphLTCWmEtMJaYS0wlphLTCWmEtMJaYS0wkcA4C2VXu+qFDH4Uo7zO2D8o22XDuD0SQvb16/t0oonrt/kiNsovDZi6xdYusXWLrF1i6xdYusXWLrF1i6xdYusXWO2q931MY7zt+Phlji3KzYMrh3B6JKEt2TO0m61dNnl0oonrt/ls7Ki8EOGZLRSWiktFJaKS0UlopLRSWiktFJaKS0UlopLRSWiktFJaKSJTSHHZVe76kUcG+JOO7LbBvzsuHcHolsgWcFqjLVGWqMtUZaoy1RlqjLVGWqMtUZNVlZw1UCqo3mE9SV+pFE9dv8thGVF4KE3HLWTWsmtZNaya1k1rJrWTWsmtZNaya1k1rJrWTWsmtZNayanUyJHZVe76iLYvytF5LKInbDaw5unHNtlLSvUzlaY4Ti8Jcpmxjti2DbLh3B6ZdcVXKKfDHpxRPXb/AC2O2LUXgu63Jrcmtya3Jrcmtya3Jrcmtya3Jrcmtya3Jc9X7/qAt+eW0+5Vn7Wyj/Vr/wBRWw8BzkYcWPPNNyv+W2QbF9tw7g9MvmRRPXb/AC20rfhBk0CaoS1QlqhLVCWqEtUJaoS1QlqhLVCWqEtUJaoXPV+/6gPjy2n3Ks/a2Uf6tf8AqINOSofhtQpReEuYjYTUGwbbcO4PTLqYOsHWDrB1g6wdYOsHWDrB1g6wdYOvztiieu3+W2m7fFqvf9QPw5bT7lVgLKp05lpzKlZ409f+orT5qo9/Mbzi2L8lw7g9MunTAiOHWrQszKKJ67f5bRz3JNJpN8Mx4iZ3xf6iHjy2n3ctf+orT5qo9/MfyG345Lh3B6ZdOPjWVE6duImXEjLiRlxIy4kZcSMuJGXEjLiRlxIy4kZUdRM8VW+hRRPXb/LkljhnEVHvy2SnGDFrHks4iziLOIs4iziLOIs4iziLOIs4iziLOIs4izSfVj8OW0+5VVWeFRrqla6oVNJ5gr/1FafNVHv5i/mfLcO4PTLpx8etW+hRRPXb/Plk2DhhliLVxipzkR/uQ+HLafcq39rZR/q1/wCorR5qo9/N/wDfluHcHpl04+NYIpW0dWtHVrR1a0dWtHVrR1a0dWtHVrR1a0dWtHVqjEUUVW+hRRPXb/PlfDEtRMv3gH5rT7lW/tbKP9Wv/UVo81Ue/qXDuD0y6cfHrVvoUUT12/z5e6f8P92N8J8tNUPTT4sRFJmk2CuUxDNcZmGqapemfixFOW/PlftzXDuD0y6dNVx3M8Wx3aLagS1AlqBLUCWoEtQJagS1AlqBLUCWoEqupYuyKJ67f58xW+9HLej8SXPcO4PTLqUcN8xquAkU0zP1Yonrt/lzO2LfeCnuy+G/QuHcPpl1IklBuvFE9dv8+TBYLB1MTu+TNZM1kzWTNZM1kzWTNZM1kzWTNZM1kzWTNZM1kzWTNOzt9YKe83wscehcO4fTLaw5Ost122t+VlunG7fCiieFv89rfFlFpM7YP9Uz4PCe+3wCM8ujcO4fTLZ+BRAeFRFO2KdsHZsXKYdLCMmnFThj8GKJ67f57Y7IQkSWhqFoahaGoWhqFoahaGoWhqFoahaGoWhqFoahaGoWhqFoahaGoWhqFOlMOOw3s+rZ8HGRp/BduhcO4fTJD/MjizhUlM1MNFrBhKVCZVlJqlCLQihVgzFn+JdeKJ4W/wA9sdlOXJLxSC4pBcUguKQXFILikFxSC4pBcUguKQXFILikFxSC4pBcUguKQVRXxMLYb2fWwOmfH49w8g+mSH5PWnpjCugpqM4zadFAlQZE3nphXQsEK4AKu6pqKFNInl14onhb/PbH4xvZ9c0nionTTjLmxwUjRZSNJ9jEmyGR5NvbHbHnuHkH0y2VtLqWdni8JyG9ESonGUt54y3XrKF4OgGMNxTKwvgRRPC3+e2Oyk3c/wDir+Kv4q/ir+Kv4q/ir+Kv4q/ir+Kv4q/ir+Kv4q/iqryNPsN7PsWk7LOms+azprMm/MzYN0bh5B9MtjPgpPGajEUE8nltaTxUoimovGCd8dm8y3m60UTwt/ntj8Y3s+6E356Vw8g+mXRJUDEp3BSqzSTylLa05RUas0VC4KBYE6UVPwt/ltjspxZxeFxXC4LhcVwuK4XBcLiuFxXC4LhcVwuK4XBcLiuFx5zez7qDbrdK4dw+mXOQsRMasmTbGEpJqQzrQFWgKnpDMnjKOxneLgrljj0Iqfhb/PbHZCchy1tQtbULW1C1tQtbULW1C1tQtbULW1C1tQtbULW1C1tRzm9n3I2xl07h3D6ZcxzsCM5yJJCo5kUKQUF25XbFEoxzRqeYdlPUuF2dpNzRU/C3+e2Pxpy3pfcjjhHp3DuH0y5SkYUJzckoxebgpYi6XdVNJu7KOo3H5oqfhb/Pk3lvLHHk3lvLPis+Kz4rPis+Kz4rPis+Kz4rPis+K1EVMzy+6g29LqXDuH1S5awuYRUwMmPUqwZbqkLmD5Yqfhb/AD5o7HlyEbCX9FFHBupcO4fVLkOTLEqIW9Pqzi04zi8JUpMsvLFT8Lf582OCxx5SNjH+iRbF+rcO4fVLkr57KeGWLoNGUk1KaSa3ndNbJprZBStkVdaSdPNmxQ6iLtyRU/C3+fVm27L+hhbrXDyD6pclY+Jxx3ibGCSSaiO6a2ldNa01tEyaiAyYQ47SGGJNXU7ppNJkcEKgRqd6UqeUoSBWY7Yqfhb/AD6pY4t/Qu6ZsG6m6+Fw8g+qXIf8mo4vOpBQQgzRjHY5IRTSjLmr67KU6h3eM5uqermGdNURqBq+QwqkTuqM2/FRU/C3+e6+HVdsH/oIW/PUoxsSpwbC92p90PqltLUJ23lYKVt5Sk0Y1lylNZ6gaUXobhmPtJLchUkeTylgoFdk895Wk3+5X+P4RNgZ5ZVFT8LHa3lFmZmrRsOp6hm/oUW3Y9C3UkXhXUo5B2Rk8XorhmOqoGQSSxwR6hyuPsrG/wDEV1LhGct52JhKJMUGf/akLnA2VLb1OfyJ3UO1rjidXuONIidtkHxhFUwc8nZq2vynlJ5y2UFKNg3GkjudB2xb77dlsFHGXQ7ocdyF1LhHkpS5wLhHEMlWk3YIeywy/wCqvDf7ZdlHuPztn6u2vpHFOUVuMhj33tdNuMrnHfoVPx2D/A4q3RwFUEyQu+L7bUZTjvxdsH6Bo/n7kQSHkCxu6FbaUSaMY7JhGREtQHR6UlO/OPzV19/JbP1a39aSrX/2ofdWKWFQrkDNESG67wZ00WZUwZSkEeSLaUUDQNaZJrSXGntcYPsqI74E/ZDjvzUVQ/r3L9Tktf7KL7ehNt6P3FBbJVSEEYII1ypgqV9GmvzIF1pzv3UotNq2j0784CZobmDMFti284RsIVxngOSrPcoeStEt2u2VVsYjztpGcVrK70tFCm5Xk0V35iR3SbKQO7sirdP/AKlgxRyjuS22wG4Ms8ofSK2EvtrZQambNg1ZXDo41Neeq2MzyeNDUyWjNTwpqydO4yRLCcGJA4nAXmtlTuuqm2bzkFMUoCkRSppsqStkBzH1E5KujsbuqOW5V8tTUjpBN/yMGI7pREjK5UcWqP8AkQmYtWWqJ/x7M0/ISbDgeL78YPNx0kYvsigmyJ1ddI7xp5upikNDHIsqa2YOrnU49MkcY/ahFIxQiiAdXUxpAlLM0wgJUTp7KKCgKAmVULOArbUZZVdRYx56S5JnaTVkt+qi26yqY4Tj4yRh5g+22L4PF95uS40mtpaqmNTzl+Iw8acRCzpP+OynIY4ihtlOMGrazP5oqXamjvTTtvNTSy6p3Zmq7kzdWcd2X2ljDvFV4qM2pEORiUtLCkEj3WmA9OZqgKrRZVQz4OGeaKohmA6EDEEpSeUhkYkUcm/OPjLZU0++uyj2VuPm03K7M6nQUhFG3UY0zhEz1ImRLiMbvdXT3M7p608lKcp88VLxATcl3RCMNmk8ZEMQvWNHGP2llhu0aLLfJYg4zV6q5QZmxe0E/wCiuosYK1z3qdTbCfRbFZZyKut5RUAvVLbMUCLTRwjT4OMkhSFcxybXU6e5AZPdWT3Qi1RXZyzfkqPPpRU/C30BTUDiONPjj16OhjUjlYhotkPFFAUD/Y2r9GXirF+sr5HCrDH80ZcqoRx5olafWpvvT6QSZoijYo2g42l0WhKSySLJImjLDdkt2Sy5rLmjhK8tOZZBejFPF5MATACWeWN3xfr2xsKXZKEZtWWZnUovF/r7LPeo1VDyqmxF/KvFNnU8W3YqkLnARrZmGAGIB1pskHTtRN4Sr4bh5dClDnEZsG6VfSxIPniqEe/UK6E3Q/Ap7iwBRuonQqgR9t2oWMP6+xmwKr2DdLSH01RGTTij2vGULTPEAIU8Nh6kYGqaiVTPp24mXUq5D3hS6FvRCRDDjolx0S46JcdEuOiX+RCX+RCX+RCX+RCVDdA10i+vniraPAauRN+o+ETeHO2Vb1YNlUPJqfrqcz05oyacaunaqBODjlbLlkJnZ22GOMEZ3I7znX1E0749WL7shy34FhmDn+Obuh0ByINJpWu/6PRsv/ozbeiSgONO2HNFBhlilJoRlJ5y+FKO+1qpZU1Psrpb9Z9fZqveirlbtS0RvmCqShXFTKdxqJp5PJ4wlN6e1qtp9Obq2wm/Tu7RVbu5+yMZTcdtPNDtYoqAoD2FV3/R6Nl/9HZMUCIlrFJEtpoKUZQfZSbrnaTSa5E3Kf4MBzK4rVJ0GkEDbW1LUoPsITkOVBXxrII9IKoU7TNlw2oUbUZ0O1DioDgNlcakRI9Wlq5UtQU0zSTdw2+n3YwjBtkyRGxLmGCBVvVPd/0ejZf/AEZPuxHcwyUCQI2yUYzY1vp3aWGKGWYZVVXKqN8CkpXqZjFAMdtTXBpWq6ydYT7GM5QlR3lpqM4zbbKcYMW5igj1hT/Dtc96nIcYkS6jZEuJyJ5PJ1bld/0ejZf/AES+tM7xcdwONDuo3QzjKrnPdpvh91TByAp3wRrmKCLcDlRWwn9mGP4jJ4qNdURXEahSrDyTu7/FiYkI9+W3K7/o9Gy/+iX18sjknD4bPg4LpOKFUDO1dVuaew0cY/ZM2Ls2DfFqyuIrfmPQtqMGJxPYVwFcBXAVwFf42v8AG1/ja/xtW+0QoZl9XQ/+KUrmN1qanlUzhbaeLGtY5NKMhT5JNuy+xBH49w8heuXQtvUL6+eKn42/z61sG0abZdoM0uQ8fsotux+NcPIXrl0Lb1C+rnip+Nv8+tazs8NlyOxTcjtiztg/14Y4y+PcPIXrl0Lb1C+rnip+Fv8APrM7xcd0LFi3IxG5jx/P1447sfj3DyH65dC29Qvq54qfhb/P48o70frhR3pfIuHlTT3wy6Ftf89M77oeeKqJ5Ybf5/INHCX1oY4R+RcPIB5AlrgutYBawC1gFrALWAWsAtYBCuIgzHeaKbcVolxWiXFaJcVolxWiXGreuN29cbt643b097t7KtvgDtrALWAWsAtYBawC1gFrALXBZHqJHe3+fyCR3o/WQjvS+TcO6l8yOy3+XySR3ZfVgj+Pk1Qs0Sl8yOykFli+SaOMfq2M7LPdZ8lnyWfJZ8lnyWfJZ7rPks+Sz3WfJZ8lnus+Sz5LPks+Sz5LPdZ7rPks+Sz5LPks90UW884u3zIRd0MOD57rPdZ8lnyWfJZ8lnyWe6z5LPks+Sz5LPks+Sz3WfJZ8lnus+Sz5LPdZ8lnyWfJZ8lnyWe//wDJb//EADoRAAEDAgIHBAgGAwEBAQAAAAEAAgMEEQUSEBMVICExMhQzUVIiMEBBUFNhgQYjNEJx8GKRoUNgcP/aAAgBAwEBPwH/AOYMbg3MR8dZG55s0XUGDSO4ycE2jpqVucjkqqczvzH43BQTTdIUGCsbxlN1HEyMWYLLksQrNc7K3pGh3qW8tNll3MPwzXt1knJbGp/qtjU/1Wxqf6rY1P8AVbGp/qtjU/1Wxqf6rY1P9Vsan+qmwWPL+WeKcCDY+2RBhd6fJUr6CPlz+qbVQu5OCBB5aMUrf/Fn30uHD1LeW47luYb+mYqh9QHflDgtbW+Uf37rW1vlH9+61tb5R/futbW+Uf37rW1vlH9+61tb5R/futbW+Uf37pklZmGZvDRWd+/+fbBpDiORTa2dvJyJvuH1Aes4WcLME48NzDP0zFUVZidlDbraTvllbSd8sraTvllbSd8sraTvllbSd8sraTvllMxBznBuQ6Kzv3/z7aw8N4vRcT7Dhn6ZimrI4TletpwLacC2nAtpwLacC2nBuVnfv/n21h46S4BGRX9jwp4dTNsnRsdxcFqI/KFqI/KFqI/KFqI/KFqI/KFqI/KNypeHSucPH27WIuJ3GtutStSFqQtSFqQtSFqQtSFqQtSFqQtSFqQtSE6K3LTBVSwG8ZWHV9RUTZXHgqmsipxd5UuNzF35fALbNT4rbNT4rbNT4rbNT4rbNT4rbNT4qbE6iVuVx4fBIh6PsEg9LTTVrqdp1fM+9Pe55zOPwx8hZGLIvdfms5WcrOVnKzlZys5WYrOVnKzlZys5UMzmlS9XwSkw6ao4jgFBgsDOvimU0TOloWRvgpKOCTqaFUYHG7jEbKopJYDaQb03Q1czZRUbXei1t1st3y1st3y1st3y1st3y1st3y1Jh+rF3MVVAwMzAbzVKfT0Bt1qytWtWtWtWtWtWtWtWiw+z4bhN/zZ/wDSAtvSRNkbleOCxHDTTnM3p3HFTd21N6goGvc+zDxXZqrz/wDV2aq8/wD1dmqvP/1dmqvP/wBXZqrz/wDVUQzNbeR1x/Kq+6O81T9ehnJBt1kKyFZCshWQrIVkKyaDz9lweh1rta/kPUvYHtyu5KupDTS5fd7tJU3dtQPpeoqz+Ud5qn600pnJAFZSspWUrKVlKylZSrHQ7n7Ixpc4NCp4RDGIx7tIcDy0Zh4p7wwZnKGpjl6NOL02tgzDmNB0T921FCR45Fa5/itc/wAVrn+K1z/Fa6TxUdbmGV6c4nmd5qn60EzkgSrlXKuVcq5VysxWY6Hc/ZMHiz1I+nHTW9w5YV3h/jQP1H3VSxr4yHmwVFBGwksdfSRcWKmZkeWeCOifu2o+uap+vRH0oOss5WcrOVnKzlZzuO5+yYAPzXH6aa3uHKmqDA7MFtV/lUTs0wP1Vd3DlhXW7cxPhUv/AJ01HdtR3cPaC4kqKikkbmatmy/RbNl+i2bL9Fs2X6LZsv0UkZjdlKrWhsnBNU/Xojky8EJL8NBlC1oWtC1oWtC1oWtCMvh7LgDrTkfTTW9w5YaxrpCHBdni8oTe/wDuq7uHLCut25iL81S8/XTUd23ew7m5RU7HtuXgLskfzQuyR/NC7JH80LskfzQuyR/NCkaGusDdV/eJqn69MbgOKc8n23DptVUNdpqmF8Ra1UFLJE8l40Cil12a3C6qoy+ItaqCmkicS/TPKIoy8+5OdmNzpqe7bvUEjWuIKDgeSLgOa1jfFaxvitY3xWsb4rWN8VWSB8nopqn69I9vwyr7RCD7xz9Vj1XZuob7+e5U923fjqtWzKzmnOLjc77ean69DI3PNmC67BU+QrsNR5CuwVHkK7BUeQrsFR5CuwVHkK7BUeQrsFR5Cuw1HkKkppYxd7SPZqCsNNJm93vUUrZWh7OXqKmUxRF4F7KWV0ry9/M7lT3bdFJgjS3NOfsqjAoy28J4rVOz6u3FU+Bxgfmm5VZgYDc0H+vUt5qfr0YLA1lMHjmU6VjeDiu0ReYLtEXmC7RF5gu0ReYLtEXmC7RF5gu0ReYITxngHBPYHjK5VEYjlcwe4+zUOIPpXcOXgqWtiqBdh3r6MXw/UP1jOk7lV3bVR217M3ig9t0b+5ehtT++Ca5qN1WW178vj6hvNT9ejCf0jFNSRynM9bNg8Fs2DwWzYPBbNg8Fs2DwWzYPBbNg8E3D4WnMBorv1D/5Ps7XFpu0qDHJ4+D/AEkz8QRfuaVt6n+qk/ELP2MVRi1RNwvYfRMmkZxY6yixqqZ77/ytuNlYY52cCnWv6PLTVd21XVNi8bm2m4FS4xDGPyzcrtD9Zrb8VDi0Dx6folVOMsa3LDxK4lWO+3mp+vRhP6RiqKPXOzZrLZf+ZWy/8ytl/wCZWy/8ytl/5lbL/wAytl/5lMw7K4Oz6K79Q/8Ak/A6vu27jWlxs1U+Dk8ZimUdPF+1Grp28MwQq6d/DMFJRU8o5Kqwl7PSi4jdbzU/Xown9IxVEdQ514nWC1FZ51qKzzrUVnnWorPOtRWedais8+5XfqH/AMn4HV923S1pccoVHRMpmXPNVeL/ALYf9qSZ8hu830xTyRm7DZUWKiQ5JeaxKgDxrY+e43mp+vRhOKRxx6mXhZMrqd7srX8dEtZBEcr3AFbRpvOFtGm84W0abzhbRpvOFtGm84W0abzhT4vTxtu11ypJC9xeff8AA6zum6cGp7kzFYvWcdQ377+F1etZkdzCxOn1M3DkdLean69ODBjHOqJTYBVuOOf6MHAeKJJ4n4XWd0zTQtEVM3/akeXuLj70Inu5BNopj+1Nw2U80ML8XJmFsPDiUcNZH1NUNOyKQPZwVTSsqR6SqMIkjGZpvobzU/Xpv8Migzi6xBpaxoOinpnzuysT2WhyfSyigazgwJtCGj811lJRejmiN9AF+CJ7P+XH9ym1DuTuIVXCIn+jyKi6dGK04ilu3kUOadT53XThY2+GOa1kfHRHIWHgq6MSQ5vBU0JmkEY96iibE3IxTdKw9oMwuibm5ULiJBZVLQ2VwCYcpBVQLnWDkU1pebBV7wXho93BQdOjHelio4tZKAVUS5eA0U9s/FVLLG4+AtaXGwTKYDqWeNiErD70+na7knNLTY7kwzM4aGwyOFw1VHoQG/gsG/UfbQ/pUMpieHhZY5fSjd9lmjp/SJuU43NzohqZIuDeSfXyEWHD+NEB0YvUiWXK3kFhrrTKeF73eiLpzS02Kgbd6qzyHwGNgjapJnPNgm0rjzRpRZQTWOUqpZdt9yCb9rlh9BHNNmdyC7QR08l+J4RqWzM954qhn1MzXnQdI58VqWnkhC0c1K8WyjQTbmn4pq5rs4hVWLSy8G8Bopml0zWt5kq4gGrjVVAyriIeOIXoRBSPzm/wCnF3qqd6NlSx2GZTVGU5WqN2Zt1M3K9NOZu7hdd2aW7ukoNjf6THcF+J6trmMhj5aKLFjC3JILhbXp8ua6psQY8WfwKNTEObk7EIB70JfBGUqrqHxx5mp1bMf3J0jndR3InlkgcPcmyR1IzNPFV1bHTRFjTdxRN98QPIuE6NzeY9ppetVY5FQG7Ap22eqV37VURF3EJvoM471K6zrLFmXjDvDdpqIyjMTwWzG+KAQbdTUwlblJWyW+ZVNOYHZTuRML5A0J7srb+pjlYGgXXNTU46m+0RuyuBUrM7bKnlynKU9gfzTY2M4rtTVLMX8N5jspup49ZGW7jI3P6QqKItY1jl2di7OxCBgWpanxNssUie7KWjcwuPNLm8FVO4W9VS3zaHcz7RTTXGUqanzcQssreS1Ur+aZTAdSlADuG/h1C6ojDjwCrvwq6xfTuufBR4S/8A9DZR4fCz3XT5YohxNlBI2Qhzd1/SU+ZjDZxT4YpeYupMKYeg2VJgFRPJlHLxUH4ebAyzH3KrWuZKWO93qGtLjYJlMB1IADkppgwWHP2plSRzXamo1Y9wT5nO9RhmXsrMvhoxTFGtqHtjHvUldM/3q6wzu2br+krF+bUyV7OkqPFZG9fFYBUsnp8zfHRj+XtPDw9RTva08VJKGi6fO53waPGJaCNuUXB9yqvxXNKzLE3Kr6aDuWrtD/Fdof4ps7yta5GRx4LF+bdOHYnNQvzxf6Un4vkIsyOxVU8vkLnb8LM7rLVMtaykbldbQfaR6zEe6YhuUHcDSzTjHNu4OpT9e/G/I667Syye7Mb/AAfEQdS0oblB3A0s04x1N3GAueAFP1+sPs49axjXxZXLZMP1WyYvErZMXiVsmLxKgpGw8GlZVlQ4aZsPZK7M8lbJi8StkxeJWyYvEqChihOYc1P1/BLq6urq6urq6urq6uoJgPRKB9dJK1nNOdc3V1dXV1dXV1dXV1dXR+C3V1dXV1dXV1dXV1dX/wDxr//EADgRAAEDAgIHBwIGAwADAQAAAAEAAgMEERASBRQgITEyURMVIjBAQVIWMwYjNEJQcWGBoSRgcJH/2gAIAQIBAT8B/wDWO0aTlv8AzrnBu9yl0gwcm9PqZZTa6i/L3hDf5MtTFFukdZNqoXcrx/8AqBB4fx8tVHHxKl0i48m5Oe529xwiZlwpn3bbyaxjXuyuVZo10fij3hB7hwKglq3G0TiqMVQI7WTYqq3szlbxXeMq7xlXeMq7xlXeMq7xlXeMq7xlXeMqj0i+/jQN9/rJpCxtwFLLO/isjsYY/wBxxp35X+TPznB9BC9+chNaGiwUQ8Y2Kz7zkLe6s1WarNVmqzVZqs1eHCn+231j25hZWthZdm3ZjdmaD5D6W5vdGkcjTPRhf0UDDn3jYrPvOQF1lWVZVlWVZVlWXCn+031tUyzr7IBPBMpXHmTIGN9DWfecg26yFZCshWQrIVkOxT/ab62oZmZiyF7uCZSAcyDQOHo65pExV1dXV1dXV9iFuWMA+u1Q3/wmQMbw2JJAwb0as9Frbui1t3Ra27otbd0WuOWuOWuOWuOWtu6LW3dFrbui1t3Ra27oo6m/NjLAyTnCq6WKKO44qGB8p8KZo2MDxLu+Fd3wru+Fd3wru+Fd3wqOjiYbgfwlQbvR2bKysrK2yFAbsGM1OJSM3AJrQ0WH8ZPzlDziqbk/hJ6uOLceKk0jI7l3J0r3cSsxTaiRvByi0m4c4UU7JRdp2pucr2Rld1XbHqu2PVdseq7Y9V2x6rtT1UUhzWO0VTcmFbpKGk+5xX1JD8SvqSH4lfUkPxK+pIfiV9SQ/Er6kh+JX1JD8SvqSH4lfUkPxKp9PU8rsh3enrK63gj22PLDdqpKwS7jx2Cpucr2RVwrhXCuFcIEKLmG0VT8mGmXE1j7qCjdMMwXdknULuyTqF3ZJ1C7sk6hd2SdQu7JOoXdknUJ+j3taXXwoXF1OwnoPS6QqcgyN4nyWuLTcKlnEzM2xLzle3kQ8+0VT8iC0x+seo4JHi7AtUn6LVJ+i1SfotUn6LVJ+i1SfotUn6J1NMBcjDR/6aP+h6RxsLlSyGR5cdu2NBNkkt1wOEvOUFlCyN6LI3osjeiyN6LI3onQW3tQAHDaKp+TDTH6x6jllaLMK1mo6lazUdStZqOpWs1HUrWajqVrNR1K1ub5I1UpFi7DR/6aP+h6TSD8sJxCOIRxBtvUbszQ5HCXnKHnFU/Jhpf9Y9QVb4hlau8pV3lKu8pV3lKu8pV3lLsUA/8AGj/oek0ryDEYWwCOxSH8luMvOUNmpO6yLlnCzhZws4WcYQG7UVT8mGkdEMqznBs5Vmg3U0Rlc8JrS42aoPw7O9uZ5svpmX5hfTMvzC+mZfmF9My/ML6Zl+YX0zL8wqf8N2deZ1wgLbh6TSg/LBxCKvgEdimFomjGTnKGzVeyurq6urq+FNyoqn5MdKUktZlibubxJVFo2GlHgG/r62rjzxEYhHC6CJxjZncGoCwtjJzlDZqGkjcrKxWUrKVlKylZSoGkN3oqn5MR6+sg7KT/AB5WjobntDsSfcKG06LO67kBbhtlU/Jg5wbvK1mL5LWovkFrUXyC1qL5Ba1F8gtai+QWtRfILWovkFrUXyCZMx/KfTVVOJmWT2Fhyu8iJmd4aUxgYMo2H/cOFdp6S51Ybh7ql/EcodacXC7ZnZ9rfw8VV/iCfmhbZvVUH4icXhlQP9+SVT8mFfIXSkdFZWKsVYqxVirFWKsU1xabhROzMDvTVNK2Yb+Kmp3xGzvIoqntBldx2H85VdfVpMvGxUlFVMiyt3tO/coBGHHt0wPdogD/AD/y6qaOqYwMdvaOiiEWR3acfZUFzTR5uNh5BVPyYVn3nIGyzlZys5WcrOVnKzlZjhTfab/Xpy0EWKl0ZE7l3J2in+xXdcybol37nKKgij32unRtdzBPoIXe1l3eWOzRuQvbfi/7hVrhGkmp90QzN/6FJQSVe6RmUdff/S1aPsuwt4eC7Gpg8Ns4/wCrux1U8OmYGj/pW4eQVT8mFZ95yDrLOs6zrOs6zrOs2FN9pv8AXrXHaf8AcKGJ3J9T8UZHuXZvPsuzePZCV7UyoB47JVPyYVn3nIWV2q7Vdqu1Xart2Kb7Tf69adp33ChgdykkLyo6b3cg0Dhi5gPFS09t7VBLbwnYKp+TCto3OdnYnU8jRcjBkEjxdoWqTfFapN8Vqk3xWqTfFapN8Vqk3xUVBK82IsmtDRlHrDtu+4UMKl/7VTx/uO3UR5TcKB+ZuJVPyY15c4CNnuqfR4bvkwB/g3Hbd9woYSnM9AWFkXtHEo1EY90atiNZ0CdWkIVhfyuRmcRYqOQs4JlQDuOBVPybY/gTt1FV2RtZNkEji4IJ7w0XKzeLMnyE73LWHv8Astum1BDssrbYE23qGHt/zZf9BSUUZHh3FU0pe3xcQhhTvzNRQrBGMoCY7MM203+AunHZY98k1wcJoWyCxUJLJLJzsrbpzi43KKrT+VZNaGiwVU0OicCqdxdG0lOFxZUUng7M8QnvawZnKkByl59zdDCk4lVDsrVRwB5zOwrc3Z7lQyFzS0+2yPWSSNjGZym0g925m5dlPLvsUaaZm+yirHs470x4eMwxKpXZJd+Dp42mxcEDnmuOqqeTGWMSNLSm1L4vDKP9p8j6jwNFggLCwwlp2SbzxQo2Xu7f/eAwpmZW3Kqx4FRzsYwhxsmuDhdqq3hsZWjxxOy0+rJtvKnldO/coKVkIzO4qTSTByC6GkXE2I3Krpw4Z28VRS5X5euxV0pvnYq7SUsMOUHinVDibr8P1GclhUjMzLbVlZHGKl8Hi4qOma3jhO4NY5xVVVPc+5WitIyQSbl+ZUOUMQjblH8BXvyxf2tGsu8u6LSE5LuzHAKloQ9ud6mjyPLVTPzxhPHZvt0Q2NK0GtQ2ZzBS0EjHZXCy0FRmK73IKWmzG7Vqz72U1M5pu1CJ59kKWQ+yFM5at1KZTMvvQp4x7IMaOA2JGBzS0qsoHsetD6IkfIHvHhQAHDb1yNhyuUc8b+U+p0kPylow73BVgtM5UkmaEBaQj4PVHOI7hykPay+H3Q2a9l2Zuio3eKyGxLNlNgtZPRdqU6chCqI9lrp6KGUSC+xIcoJUTM7wPJmp5C8myIIKpK0g5JPUVEfaRlqppeykDlXU/aDOxRyujN2p80ku4oUMigpWxb/fakbmaWpjsjroYue1vFSvDiSFmKzFHerKyo3tFwdisdZtlQMu4u8qvydnv44RXyC/qK6myntG8FTVpjGV3BF9O/eV28EfKpa5ztzdyp3OcwZtvSdW2nlLRvKpdPjc2Vtv8p1c39qfVSOTWPfwRaWix2SmxudvATZHs4FMrXDmVTpaKFtzx6KTTRkddzdy0eWuhDm+/kPeGi5Utc48m5FxdvKpaV0hueHqbKahYT4Ny1CRN0ef3FRUsbPI0nm1p+brhQUTjA0vKZTRt9sKjmO1Q8CnRtdxCfRMPKtMQujmscPw/m1Xf18isie8eFRU7nuyqOljZ7JvD1JNvMrdGx1UhJ3FU34fjY7NIb7E/OVlCyhP3K+FBwONZQx1Tcr038OsB8T9ypGBkQa3bqZezZcIVEgN7qGTtGB2DD6l58wfcKGxPznGTGg4HYKp+Tbni7VuValJeyjYGNDRiDf0580fcKGxPznGTGg4HYcqfk8xh9O8+bMbSXWsuWtOWtOWtOUkmfji5t12YXZhRzFgs0LWnLWnLWnJ0rncVT8nmj0xaSshWQrIVkKyFZCshWQrIVkKyFZCqincfEEQfOihc/gmxZRZZCshWQrIVkKyFZCshWQrIVkKyFNH8JZWVlZWVlZWVlZWVlZW/wDjX//EADsQAAECAQgHBgUFAQEBAQEAAAEAAhEDEBIhMTIzcSAiMEFRkaFAUGFygZITQlJgoiM0Q2KxBIIUgJD/2gAIAQEABj8C/wD1iA7eI/f/AMR3oqW9v39XdE0CnM4diDBaVuV1XSrPuGvRohURO2U9D2IeA0bAroVi3oujAARr+4IBeJt0HN7E4+E8W6FdUz8vtevY03WmzSPB1fYZQ5aFVq1lUJz4nY0W2lXRzV0c1dHNXRzV0c1dHNXRzV0c1dHNXRzV0c1dHNXRzV0c1dHNXRzVJwqz78rbrBVFwVT+i3FXCqwRoU3XRp0t7ewuP9ti0eOxD4RgsLqsLqsLqsLqsLqsLqsLqsLqsLqsLqsLqsLqsLqsLqsLqsLqiz4cI+PfkNzqtKtjeSuwV4qAs04FOYd3YBXsZMfa0U1/HsALXAnf2GpxHqsRyv8ARVhhVcmOark3L5h6LE6JtBwIhsWl8IeKvSavSavSavSavSavSavSavSavSavSavSavSavSavSavSavSacGOZHw79dJHMbWLnAL9MUlW6rgPvFr+GzrdE8AtQUQouJJ7lDDvV96vvV96vvV96vvV96vvV96vvV96vvV9/2FDe2rTi5wC/TFLxK1nVcB3RSaYFYhWIViFYhWIViFYhWIViFYhWIViFYh+wqO51WjW6J4BagoqLiSe6IfaMU1/FRc4BfptpeJWs6rgNjrOAWI1YjViNWI1YjViNWI1YjViNWI1YjViNWI1YjViNWI1YjViNWI1YjViNWI1YjViNWI1YjVfatVwOnX2Ozv6gwwCi4knZUWWce3QfZx2VX2vDj3BDhpw+2W9wO+4Gqk6qTHVQEiz1EVgyftWDJ+1YMn7VgyftWDJ+1YMn7VgyftWDJ+1YMn7VgyftWDJ+1YMn7VgyftWDJ+1YMn7VgyftWDJ+1YMn7VgyftWDJ+1YMn7VgyftWDJ+1YMn7VgyftWDJ+1YMn7VAyLPQKm2uTPRO+4GqTaOEe3SjDwTvsuszWT2TcdsxSflE8Xk5L5l8y+ZfMvmXzL5l8y+ZfMvmXzL5la5QO0dkn5fZPHZVqraMUn5RM3OYBwdXwVj1Y9WPVj1Y9WPVj1Y9WPVj1Y9U2xh4zM2jsk7LQoha2sVcCuBXArgVwK4FcCuBXArgVwK4FcCuBXArgVwK4FcCizl3dE9oimKT8omZnNF7YrD6rD6rD6rD6rD6rD6rD6rD6rD6rD6rD6qiwQEzNo7JOy0HO9OzOHdkT2pik/KJmZzNEm2NXBXB7VcHtVwe1XB7VcHtVwe1XB7VcHtVwe1XB7VcHtVJ4gZmbR2SdloOzmANiuq6rquq6rquq6rquq6rquq6rquokNrnPdcT2OGlGZik/KJmZ9gZtHZJ2U0ZnZz2q1Wq1Wq1Wq1Wq1Wq1Wq1Wq1WznuqHZI7Bik/KJgeBURZtw0bto7JOy0HZzUQrwV4K8FeCvBXgrwV4K8FeCvBXgrwV4K8FeCpEic91R49sYpPyifVcQr6vq+r6vq+r6vq+r6vRULrkSwwIV87V2SdlPFOzmpBWNVjVY1WNVjVY1WNVjVY1WNVjVY1WNVjVY1WNVEgTnumGlUCclhv5KBnqY7koljh6TQjAC0rVlDHxRabRpR02KT8o7BRfrNVVm1dknZaDs5qldPJXXcldPJXXcldPJXXcldPJXTyV08ldPJXXclddyV08tM90x0neWaUznk8k+ZzXmFJRL2wT3iwnasUn5R252SdloOzmBNit6K3oreit6K3oreit6K3oreit6K3oreit6aZ7vd5ZpTOeTyT5iGCMFdHNFptGmdJik/KO3OyTstA9md3SNJ3lmlCJN5EeCwn+1YT+SkwRAwT5pTITSnmO1YpPyjaAw1jt/iNEOM7sk7LQiquyePBRPdI0neXSfNKZCaU8x2EdFik/KNoE2gAYq43krjeSuN5K43krjeSuN5K43krjeSuN5K43krjeScXACExndknZaMQYK+7mi5zid00XGCgyocVfdzV93NX3c1fdzV93NX3c1fdzV93NX3c1fdzV93NX3c1fdzV93PusaTvLM9rZSABWKVilMc4xJCfNKZCaU8x0wNJik/KNoMtuZ3ZJ2WmAoM1iouMfsB3lmlM55PJPmlMhNKeY6ZOkxSflG0GSb8Iwh4q/8Akr/5K/8Akr/5K/8Akr/5K/8Akr/5K/8Akr/5K/8AknfFMfWYzuyTstIOO5cBw78I0neWaUznk8k+aUyE0p5jtWKT8o2gy25ndknZfYY0i4AGIgsNqc8752sDG1IsLGiMziADFYbUXcTHasUn5RtA15gQsRvOaJMFiN5rEbzWI3msRvNYjeaxG81iN5rEbzWI3msRvNYjeaoMsndknZacftliZ5RtRwFagNZy1j6bd2Sdl9ieB7YxM8o2pDTCPYXZJ2Wwq7BYq+7Ib+1sTPKO3OyTsu0wKh3XELx7D4b9ixM8onLnblSYbJ4TReUHCwzePYnZJ2WlRaIlYfVYfVYfVYfVYfVYfVYfVYfVYfVYfVYfVYfVYfVYfVYfVYfVUnMgJz3ZELx7SxM8ondJxhFUYxJrJmbJmMT0QRKbrUaKDRYKpnSbYxG/sTsk7LSDyIwWG5YblhuWG5YblhuWG5YblhuWG5YblhuWG5YblhuWG5FgYRGc93a3aGJnlE7mE0gD8y1wWFRaQR4ISxJyQUpQJDhWILXAeFeoH+0znAkk9idknZdqPd9RWsFbp8VwmtVeyYmeUT/Ek74tHFQIgVFji0+CjLQo8TbP8SSEWHpNCSc7JRlg0P4DsTsk7LSbThDxX8PRfw9F/D0X8PRfw9F/D0X8PRfw9F/D0X8PRfw9F/D0X8PRfw9F/D0X8PROofDj4TnvKolWz26UNkxM8o0P1JNrlqyLQVXoa0i0lfpybWz2hWjbuyTsu1HvuOzYmeUbLWdXwWozmr8MlWSZ6nEK9HNa7eS1XR2bsk7LSDIwisQrEKxCsQrEKxCsQrEKxCsQrEKxCsQ6Z+xmJnlGwi4qDdUT1NJV2GatavlV1VgiaIMCoSvPZOyTstKk0wKxOixOixOixOixOixOixOixOixOixOixOixOixOmmfsZiZ5Rp/23BUnGaJ1QrI56Vaq1T4KsVcZoGtqiLNg7JOy7UT9jMTPKNIuKpOUAK1F1btnTk7OE1B109Ng7JOy2u9b1vW9b1vW9b1vW9b1vUBUPsdiZ5RpURY2aJvHa023T0mrtGm7JOy+047ViZ5Rol01M2N2xad6LTuQ4GrTdknZfaUNsxM8o0Ws9ZmjY1AlYblYB6qt4VbytV59UHOFtUZgHVHSdknZfaUdsxM8o0T4Jo8Z6pN3JXOarLQq5XkFWXFYfNVMaPSfXeAsUKIIImMnKCLSnyTrWmbVJCoynPQdknZbaP2JDaxgYJiZ5RovzTABEqMprOVQAmre0eq1SDlpfDkzrbzwXHxK3LVMPDcVSHqJmu+puhQNondknZKMDDbQ+wo7VjXWKEKl8eQGq281M8o0ISZ9VWny7t2q2YuJgAoNNBnUqoKNbckJOVNZsdoOdwEVXaazNahBAbniaRdmNBpndkv/olhqOut4qAFScG2bWP2FDY/Fe2MbIpzw0Nc2ueLTAr4cre3HjNBo1TZP/Wc+eZsnxrKjNWoJr9++eUH9UNCS5zA8HaIPhNA3d83w5O9vPBUnGJnEo4BznL4rGwIthsYd/2GbLZNbwCbJDfWdFr96pcDNR+qYzSrfEGYeScIL1OgRutaVAibwXxXC2ps0rlHRblMXcSnv4BROg6SOYRad6I2Me+qMm0uKjLSkPBqqkgfNWtUAZTa7GuzC/T/AEytYVcdg3OYeXRGZTpoeGg9vFs1NtrF4TiArNiawbtCi8RC1CHDxWG3moyppeG6eUbxadANnCd6aP8A5mf5jsYd8036sn/qoybQ0TVygJ4NrWrJOOZVcgfRyhEsP9poOEQqTa2HpsGv4hUxaz/NAAb01g3BBnEzemgzxiJy6SgP6quRd6LDo+LlG8/jo1kDPTc3gYT0zvsnczhWnMO8ItO7QMobXWZJz+A2efe/xH4beqgFrVuNjVrOg36RNACKqkH8lSlGUYrizgg9piCi1wqKLDu0/gusNk1KRq/qqLxAqpbiqL4mT/xU926ZrvTQkj/YaRlZQ1Ba8lKNHG1RH/QweapRP/TJQ8DFEf8AM0vdxdUFSl3lx/xSkY0KWrol53Iu41qAUXax0KfC1UZMkSf+rgq1RYIlUpb2zfBb/wCvsFsm21xgmybbAjKG3cOKL3mLiqEm2JUZY/EPDcoMY1o8BM9nKb4Zuu/2ZsqN1R2FCW9yiDFPzgoCaPGct0AeCB46JkwYOtCoysm5s9GTY5x8Ag//AKTRb9AtQYxtFosGhFxgFQZc/wB2GU0CmeaCialQkbfq+wnyp+UQE1D5ZOr1TZNlrlQbbvPGaFIvP9U2VbY6Zw3GsKKa/iE9vEbHUeWouNpXjN4BCem23QaDeaIHSrEVrf8APJn0VX/PJj0UBQbkryhRcVqyQ9SqqI9FiFazic9gVHcZoqkLbVrvJ20eHesfqcTM53ExUpKndUJhIMMKQi5QTpHhWJmynCozQ+kzOHA7KpQovKlJWMHDcOCZkNDWatWpVmKpMMCv1BRKxAqqR9FqyZ9SqmNCtV86HptHZJsrGs2A8FCi8Ku3sBc5xFcKlqyzvULUc1/RQlGFufeUn6/6jM/zzNPFiimO3WGZzOImlM5nHidm1/EJ0m6xwgqBtbVstVpOSw38lhu5IapVhVhVx3JXHclVJv5LCf7VhP5bKiLTUmSQsa2Cc/gFHsA8SZ6LgCPFU/8AmqP0ItcIEd4Q+l00ozg5Skl/6mptGtJ/4oTNdvsMxe14ANaoNR4mobRzPpM0fqr2NdgUBszKAa7euxH9a5gz6j2Fsn8MmHitZrmr9N4dOZZg/Ub1HeD5L6hETNlhY6o5pkpwtQc0xBmpSRA8Ctd4GSosn1z6KkbNw2gG51Uwf9J2L/RF7zBoWE9YT1hPWE9YT1gvWC9YL1gvRY0Fr+BTsti5/GajubV2MPaSDxC1r7ajPKM3B3d7JUfKUHNrBrTpM+maLXCBC+DK4e48FETxefREtNEcFiQyUTtQRuQcN4Tm8Rp1K5RH9lW6JcnZjZSfr/iI4hXaQ/qq9NreARcbBWi42mvscFr1OfXDhPLH+3eH/wA7jWLs3xJPEH5Ki4QItC1HnJWMV4NyUXGJUGgkqMsf/IVV01jbUd7SokwTqBBBrqng0E5KuDB4rXJctRgEwTsxspP1/wAn12grUJYtWD8lBzSM520yALa1EGKhvdV2KDGklfqOh4Bara+Jnc/fuz7xDmmBChZKC0Taza+ItWo8HNWN5qstC13F3RQY0Nm+G3WcN/DbGqIczqovdGauxB1cpHioNaBlPFzg3NasXp0WgQTsxspP1/xE8FrRYoscHZTwcAR4ouuZIwrE0WOgmVQDWdew8Gi0qiwQGhru1vpFqpOqAsbw7yDmkgjegyXED9QUWuBHhoRc4DNakXlQJg3gOxw+krXeAtRpcqjQHgokxMz/AETsxspP1/xOymiDBXqQ/sv1Glq1HgqH1GHZWs5zRKgzXPRXqA/qj3pFRaSMliH1V/oq5VyrMey0WuIB4aT/AETsxspP1/xOy0qDnkjx7JEKEqKQ471qOj4IsB1B1njw7zgodmY4IHjsZT0TpN9hVUv+Kx/xWP8Aisf8Vj/iv3P4L9z+C/c/gv3P4L4lOm+yyxOy2MU9x4beiLN5VbS7Mr9LVPRQOq4aMO8qXZ2JuWxlPTaPy2JyTstvS3uM7H7zVox7yh2diblsZT02j8tick7Lb/BNosnoixmjBQ7wjw7QxNy2Mp6bR+R2JyTstvEGBUHNa5QEGZadL7IYm5bGU9No/LYnJOy7RD7IYm+FWxeNo8n6TsXFOy7THj3dn2liiLN4VZIV/or/AEV/or/RX+iv9Ff6IOa/oq5WifEL9wxfuGL9wxfuGL9wxfuW8iv3LeRX7lvIr9y3kV+4HIr4cm6DN9Vqv9Ff6K/0V/or/RX+iv8ARVEn0VdQ4J2X2NDtTO4H5fY0e1VWivuCu13ao8O7LArArArArArArArArArArArArArArArArArArArArArArArArArArAi5tqrHbKgouVgVgVgVgVgVgVgVgVgVgVgVgVgVgVgVgVgVgVgVgVgVgVgVgVgVgVg//kt//8QALRAAAQICCQQCAwEBAQAAAAAAAQARIUEQIDFRYXGh8PEwgZGxQFBgwdHhgJD/2gAIAQEAAT8h/wCsLAH57KAAmwIptgrACfIBCX9qGBN7fnUgQRbFANZQd/EY4IAAMAwQDAcEMUUhM3wmocRHW9kR3sijbPGiC0h2/IACbAim0ysAVBXum5CoYClkUW/CHFeFDI23oxGy+k2o3ZG3eJE13uiawj3RHOSgdCwAstZay1lrLWWstZay1lrLWWstZay1lrLWWstEtD72SIC2KAAsqkEBybAhM22ypf6RDNEMWPwXrk3WggAxDhGnBdSASWAUWgKwRG8py5K9rWD4oAYoHEfcgGwHRJmVgDoQaulwrQ4JD4MLIe6kYg9kQxJsAh1hS2LgV7BoARvZLgK4CuArgK4CuArgK4CuArgK4CuArgK4CuArgKIRwNsFNp9y2husSII72CP/AHSyO0VbPbitTAVIeXAvNeARFftP4LF4/TotXz9a9k0dqw6bt/ibe3yTb2+Sbe3yTb2+Sbe3yTb2+Sbe3yTb2+Sbe3yTb2+Sbe3yTb2+Sbe3yTb2+Sbt/iHK1GlbfcsBn9qVW1W0E/VhRcgFDAmCAFcRgOCGKLMFvgEDY5JLP0dYNeyfjW/3JCAFiIhAESRz+BAcrCD8HR2SxfOr2ZggPQKa2TFJTIgq1u8kmDMk1grQr2lB0Ajc2LFzYXNhc2FzYXNhc2FzYXNhc2FzYXNhc2FzYXNhc2FzYRMGFoHtpt/urYbo9VmJxKgJSvMAoOcZAfQ2D8a3+6LfCOSBAAiw9KC90SoKK+tKxYUT9HaZ0GHIEwW8C3gW8C3gW8C3gW8C3gW8C3gW8C3gRGCfRXt/u2AjNfquzE3kqClLICgxRkB9NaUCxALCPiO7u7u7u73b/dsBH9qVVxHclQUQ32lYoKJ+oZJvfGcz92QAFiIgoIiSOaZicSoKYsgKDFGQHR1MiuQXILkFyi5BcguUXILlFyi5BcguQXKLkFyC5BcguQXILkFyi5RcguQXILkloJGs6MLDrCKATAGm3CsIrCKwisIrCKwisIrCKwisIrCKwisIrGIsFg+9OhSF3aIWLCiekcJWmvKIh+liLEWIsRYixFiLEWJ0oCUdB30Og0+9EgBypHmiXifxYrS2HtRL0QcgmNxTG4pjcUxuKY3FMbimNxTG4pjchYH6Ns0Hd2w9qwOAvQ1kSEYifxi330S/MtmjSCs7fjWlKMyE1iRaVwQJmjjVcIXAFwBcAXCFwhcAXAFwhcAXAFwhcAXAFwhcIXAFwBcAXAFwhcIXCFwhcIXAFwBE94QOiIYKTGc2lcVpPyDSlXSkszFS/MnVgQT8rTD8Ks8L/AQFJ80AyJhcmXBEkiLscIGxCDaDdVrMCtyuUtAyLoZJLeK3it4reK3it4reK3it4reK3it4reKIEAHNW3pg39Oda36XYD8IsXyrXi6QVgdNx8UYW9JoC0hW5XKVRZf3QasIPAuCH9XBD+rgh/VwQ/q4If1cEP6uCH9XBD+rgh/VwQ/q4If1BoAItQGHd051r/padUAYC5KFf4KVXhVwq4VcKuFXCrhVwq4VcKuFXC0Lwq4VcKiZACPw+uYJuQAAYdXCTeiDHowk0xW5XKVaL7oDHUBhErcJbhLcJbhLcJbhLcJbhLcJbhLcJQYGVGsPTnWt+lpycddSLE+MAMsd/rP0Y+ANgozRrgOAQDBlpityuUq0H3QEkBcYyuSLki5IuSLki5IuSLki5IuSLkiCYpMGajUHpzrW/S06h4FSADuS2yVtkrbJW2StslbZK2yVtkrbJW2StslbZK2yVtkrbJW2SmhwNOnTj19W4lD4QmiiGK0dAaYrcLlKtJ9/A1B6c61v0tOogVEOyxnlYzysZ5WM8rGeVjPKxnlYzysZ5WM8rGeVjPKxnlYzysZ5WM8pxtKnTj19UYKAAYWfDg20VmgUaYrcLlKsBwoZM5Wdcqzm307ZWt+lp1BDhkQ5jTBAkAJv+CqqqqqqqqqqpSSAup049fVRlb8U8CUqjzrqdMVuFylog4C5YjwFiPAWI8BYjwFiPAWI8BYjwFiPAWI8BYzwECE5BCiDIM0R2RCBMe0n</t>
    <phoneticPr fontId="1" type="noConversion"/>
  </si>
  <si>
    <t>https://lenovobeijing-my.sharepoint.com/:p:/g/personal/xyang10_lenovo_com/EX_31emW87ZNmnS7N5Da4-YB0MBjNuwwx971AlsvzLio4Q?e=NU0otM</t>
  </si>
  <si>
    <t>https://los-agent.lenovo.com/</t>
  </si>
  <si>
    <t>https://los-agent.lenovo.com/</t>
    <phoneticPr fontId="1" type="noConversion"/>
  </si>
  <si>
    <t>data:image/jpeg;base64,/9j/4AAQSkZJRgABAQEAYABgAAD/2wBDAAMCAgICAgMCAgIDAwMDBAYEBAQEBAgGBgUGCQgKCgkICQkKDA8MCgsOCwkJDRENDg8QEBEQCgwSExIQEw8QEBD/2wBDAQMDAwQDBAgEBAgQCwkLEBAQEBAQEBAQEBAQEBAQEBAQEBAQEBAQEBAQEBAQEBAQEBAQEBAQEBAQEBAQEBAQEBD/wAARCAChAOEDASIAAhEBAxEB/8QAHQABAAEEAwEAAAAAAAAAAAAAAAcEBQYIAQIDCf/EAFkQAAEDAwIDAwYGCgsNCQAAAAECAwQABREGEgchMRNBUQgUImFxgRUyQpGhsQkWIzNSVXKUwdEkJTVUYmVzk5bC0hcmNjhTgpKio7Lh8PE0Q0RFY2R0hKX/xAAcAQABBAMBAAAAAAAAAAAAAAAAAgQFBgEDBwj/xAA5EQABAwMCBAIHBgYDAQAAAAABAAIDBAURITEGEkFRE3EHFBUiYYGRMjNTobHRFiNCweHwUlRy8f/aAAwDAQACEQMRAD8A2FpSldzXF0pVTAhqnPdmFhtCUlbjih6KEDqo/oHeaqE2tuck/A7zkhxHxmFoCXSPwkjOFDxHUU3fVRxu5XFbGxPeMhUzMZCmFSX3Shvf2Y2p3EqxnHzU/a4fJkq8TlI+iquSwiBbVwX5Da5Sn0u9m2dwaASQQpXTPqGatnqpER8YF2Slv/lkNXvLjmNIUxzOMbeXUEZBrhuJKeaU+zGcW2nqpKciqwzbZMLfn8WQ24lCUKdYdByEjGSlQxnl3GvGVcFrkJchlUdpgbWEJPNCf0k9Se+ktlmIDQ3X4oLWYyToqMEEZByKVciGbqxIf7EMy47ZecKRhDyQQCrHyVcx6jVuNboZfEyCMEbrW9nKuKUpW9ISlKUISlKUISlKUISlKUISlKUISlKUISlKUISlKUISlKUIShpQ4xk9KS5Cus1C41litxknsZQ7SQ6BkLcBIDZI6BI7u/OatYUpKgtKilQOQQcEGrrp51xtyT2iSuGmO47IbIyhYSn0R4ZzjBHOrQSfVn6KZ02hfGdcdfP9k4lJIDhouwGcADmTgAd5/XVwGn7oEhUhpmNkZCZD6G1H3E5+ivVKzY4TLzGPPpiS4HCMlho8ht8Fq657hVpWorUpxxQKjzUpRyfWST9dHiSS5MeA0dUktaz7e6qp1snW5jzqYzsjgFRfSpKmwBzJ3A4HvrEdKcQtKa1kzYWn7l20iCshbakFBcQOXatg/GQTyz7M4yKxWXrqzcQLxc9BQJ76rUwyfO0tLUhFxO7BG4HmhB2/lHHPA54no60cK29RPxdLXWabxGCyy8X1hTRTyUpkkBKsd+QQR4iqhWcVupqoRMw5o3PfyUfLVDnAj2Wxz5S1p5tUIZRIdKZq+/eOaEHwRjJHic+FWtGV8kczjOACcfNVs0prOew8u0XFqO1cHkZBUyCxMQjn2jaVZAWPlI6p5kZTg1K9meS/amJcna48tGQNiUgZ59EgCq/xx6SIeCbS24xxeMZX8rRnGu/vHBxj81cuG7GOKKjw2ScoaNdM9VHeFA4PUdc8vopWU6paiyI65jbSULZWhIKe8KByPorFvZVn4B4xj44szLoyMsJJBaehG+DpkJnxDZH2CudSOdzaAg/ApSlKuuVBpSlKEJSuNw93jQEHO07seFJLwDhZwuaUpSlhKUpWUJSlKEJSlKEJSlKEJSlKEJVxsLaHLkkLQlZDTqkBQyN4bJTkd/MVbqqrVKTBuUaU4VbG3AV4HVJyD9dN6oF0Lg3dbIiA8Erl683WW2W357qm1jBQCEpx4YHdVGQcEJA76uabTDLoR9sFvCVHCCCtRIzgcgnln28qopEd2JIcjPIKXGVFKh6xWqB8JBZHolyB495xVbqFSTcErSfQcjMKb/J7NOB8+ataktuIU2tKVJWCFJUMgg8iCO8VEfFTiNxJj65haa0M27IbgQ0NLb8zDrS3FqK/TWRgbUkfKGM1mMO/atissi5261zXChJd82cXGVuxz2he5JGc94z6s1AxcQ0cDzSzZHLpnoU1kqo5JCsYb4bWfh7qWVqi2JcTa5TXYlHVMAlQKs9/ZHAGfk9/I5GF3zR7eiruyvh9GlztSXhMn4PjqcSpLCEtlbqkA43qKchIOfVk4qZLfxB0jLn/AATd7ibU8AQ+mS2HglPyslreO/HPHXnisL4g6Mhz58HU/D3Ua4kOyvmREfjLEp219MrwkklrckKwObXPAUnkKperfTyc1RbnBwOpHb/eyZyQRloe06duqxnWGnIGlLjpf4J1vf598uTsCTIizlqCZTD4OX2Nqfuam3ErSpsncggczlSanXROtXIjp0/qd5srShZgv7dpmq5kNpxyQ73qSeRGVJ7wIW1VA1NZrZK4gTLy7qjUjLLceNJXGQlmJGUo7ltNNjBPpE7u8rKscyTTw9Taou3CW8Xm7xB56yFJjvdj2ZcQkpw6E9ykEkhQAGU5HSqm+kpa2D1W4xiWInJaf1HY9iE6t94ns9UaiiJZgfUfFbD3C7yLiEtuJQ20jmEIzjPiSepqi5D3VqDcI/lQXyBD1LolHE+7wZ6nAlVrgSZTHoHBWlxCCkAnI256jI5VfNP23iqm1tfbxrziHZryrcX4EmQYjscZO1Km1o3AlODz65FXWi4ls/DdCylpacxxN2Axj/6uh2rhW6caS+tMlDnuHMebIK2WuF3tlpShdznMxkuEhBWeaj6h1NYzF4hIclsuTYsdi3SHXGkP+cZWnb8paAMgH9NRbGTPbYS1cL9dLs6nO2RcZPbPBJ57d2B6I8MV6cs5IGfGq1cvSHWz1ANKOVgO3fz/AMLr9i9D1vp6PFyPPK4YONm7/Z1321P0U8QZ8O4xxJgy2pDRON6DkZ8KqD/wrXiY3dnkobtmrL7ZUpUVLFslhjtSRj08pOcd3tNY1qu28cVsxzwz1PxJ1JL3kSokEuTXG2scnClpGUp3YGTyyRzqzW/0iQVDWsmjPiHttlUPiD0R19sMlRTyAwt2J+1hbsaVs0B6ELlLaDhWTs3YIABIH1fTXGo7Zblx3H4rAadZTvOOQIzzFat8GeJPlSaBYesvEDgJxV1VbJDvbMyBY5QmxF4wpIKm9rjZ5HYrBSclJIOKzrTnlIO654iT+Fk7h3etKSGIqn1N3o9nOU4jatTbrAH3IbFJWMkk+wiuHwW/jGt9ILa9szhAZMg83uiP/jy57abbp9PFaaPh18MjAXhp6a83fKkFptx5fZstqWrwAya5dYkR1hD7K2yRnChisu0cmGzBVJO0uqcKST1x3f8ASvXULrcu3yUOIaUthpSwQMbVj4uD7frq6XL03voOLv4fFLmIPEbnZ97J0yB22+Sq9JwH6zZ/aPi4dyl2OmnxWEg5GaVz664r0ODkLm42SlKVlZSlKUISlKUISlKUISlKVhC9Ysd+W+iLHRvcdUEJGccz+iqu9So0mY22hwOCO2lhcg8i+Ujmo+ruHiBzqlhy3YMpuWxjtGjuGRkew+qq5Vui3RsvWdv7oEntISuagD1LZ+Wnry61H1GWyhztsYB+J7rewkxFrdyoB0nxCb1bK1DZ4G6LcnH5kqI6tWW3klW1CsdxSAjkc8hkd9YhATxP0fpvUVwvLs0OPttxoqZD/bLMpxzb2jeCSBgnB7yRgZqenOC+gNPSWrrBtsm0Xt1KiBAkBCWWVciFtuBSCpWBywMAVbtV8OLnd9MvxBcIlyhTlqjlLiDDkNKThSVhaStBIJBBwnpXMquxVxcXhvMCTqFFPopmZcdx2UBXq3W/TF90jL0db5sdUpKH2pr76zIlr7UNupdZUhJZcQ4HWykFSSkJwScmpROrNA3TVy9MrCTckPKaD6GS2C4nqhLyCFbhjxxywDmrda9AXe26l+23X8y93edH2lmQ6z27TeBhKipClnkOgwkDmcd9SDoHgJpG+Xf+6QX5KA48t1htt0dmHTkKcwRkcyrAJ65PKqherlFwtSmouZLBtsck/AdU5tVnrbxVCCjZlx+WiiPTd84lWGTetIwNOOXabbWXJkdBSrmwF81thPNwbTnYnGcEjBBBzfydH7rx81urQWpZUGFETBXc5KoqFokSYSFpbW0gEkIClOBJc643hPpekJhd0cNIT5d9tdzL/nMJuCkqPpxmy4VLKSPwztBOMgJHjUP+RA6655a/FDtXFq2266NpBOcITPYCU+oADAHQU7s9dRXy2R3Shk5mucW46gjG46bqz0HCEtJXGC46FgyRuCDtqt2dXaytHCaz2DTmntGXC7zrm/8ABdjsNnDDTjnZsqcXhTy22m222m1EqUodABkmoM1TceAXFBV24k3DTeq0yI9usMyY2y+mM4s3CW5CbbU2VEB1l1haHeeBt9EqrNeK110nxIitWm6MaitM20y3XId0s8xpiXHUpC2XQhSkrSUuNLWhSVJOQrIwQCMBt/DrhhbmLFDZk658xs8aFDlwhc2EsXliFKckw0zQG9zpacdUd6VIU5/3hXk1NPtFTO3DoshXak4kpbc/mp5+Rw00yPlorA9YeBvnE1qFwx4jvsqZub9ikLukVlq+t254NzDHK3QW9g3OIDwb7RtJUjPSvW06W4MXhemIEfhdxETctWWZy9QIpu8bahCkLchNOvBzsmnZSGX1NpKuXZKDhQcA5lZ9O8NrPe7hd0NaulMyI9zj263y7o25DsqbgoqmGGjaCkuKOfuil7BlKNqSUm2xOH3CONf7Hqly36ueu+mUWZi0S13jb5oxbWkttNBpOGlpcHadoVoKiX3NpSNoTp/h1/4A+ikTx/L/ANx31csZh2fgE1puPqjVPD/iBYYUuJdp8ZLt1jyXXmrf2aXdqWHF+kp10NoSSCpQJ5AgnL+HXEDg1wd1TEskjQmsdM6jv13Tp24NXh5mSbYFR0yWHXXGXVtiO4FITvQTtcJSvbg4rp1l4X3Ww27TVzs2oZNvtlvu9tQ2uc2hTrVxWlb5UpKQoLSpCS2pJBTjvNWyHonhgmSi4ajRq/U89x2Y5Pm3m4sOvXJMmD5kW3yhtCdjbGAhKEpwrKjkkkrZYJY3czIMFN6jjb1uMwzVRc09CStieHmt4PEjRNo1xbIcuHFvEfzhqPKwHmhuUnasJJGcpPQmvmdxi1fG0L5eOvdSy4L0xtl5TJaZWEr+6W+KNw3cuWDy9db5cJtR6b0VprTPC3T8C7uw7bHatkaTPkNuvqSM4U6oAblHPMgczWnU3SmitbfZKNZ6a4hQo8qxykylutyHlMoLqLZFU2d6SkhQOcc6WRLbJWyzDlI11TaKaC5xPbCeYbLJtOeUnw+cJBu0q1lzAU1cYhLZPcdzZUPfyNZrA4g2PWTSUWXVFmuDYO8tQJTairHQqQFFXXp3VedR/Y/uEV+bclaM1Vf7IpYygIfbnx0nn3LG/H+fWuOrvsZHGWxumbonWWltRFOSntFu2yUD6iQtP+uOdPYX2eqr23aamjdONn497zzt81GS2+pjpzRxSvbGf6c6futgChSFbVjaRywrkfprjl3HNajDh55afCS42+1z7drK1wnpzEVL6nW7lAG9YTzVucSE4yT05DnituSAFEA5wcZ8fXXSLbcW3Bpc1uAFS7hb3W9wa5wOVxSlKk1HJSlc1hC4pXNcVlCUpShCUpShCV2bS4p1CGchalBKcHGCeVda7NqW26242fTSoKT7QeXKm1X4ngP8H7WDjPfGn5rZEW845ts6rMY+kbc3FSuWFPPOnmdx699WiYiLaEKtz0dUuE+55wypLhQttafRIzjnyxmrgnU0OQzh2UGMhIUhSCVJP8Egc+fvqxXi5N3F9AjgpZaBSgqGCrJyVY7vZ6q8zejQ8fycTytv5k9X97m59Gg/08nTfGOXpuupcTDh1lqY63lpl05cb46h3+7ruLpbWlBcXT7BKeYLzy3P0gVebVqhUiMW5sltMhThWS6dqVju5jkMdOfcBUSaw4jW/TnaRYimn5CCELWsns21nojlzWsnltH/AAqld0f5Qlz03P1mvTNwttot8J64uLnym7etbDaC4otsYLudqTgLCav3pApLFxTRm1Ttc8tIIc0j3SP/AFkHyws8J2O7Wx7blNIyBjho1+7h35Rrj6KW73dIvm7sZh5LzsjCHC2cpSnOTz8TjHLuqDPIb/x1+KWSB+wbt1P8YsVeU6O8oS06fgawGmrhcrTOhtT0OW6U3cVIZcbC0lbAAd+KoZ2JPf1qi8jaJbbB5TF917N1BEEfWNtmR2kKygpnuymnSyO7ohYAVhQI2kZxVbstvtfDlqjtVE17TzFxL8e8SANxoNBjGFYqq03CuqpbkZWSt5QMMyCANdWnXHx1W1M3SWl3Zshblq1eVKeWolERG0ncc49VeP2oaS/FGsvzRFec1q2+eyCpu0lXbOZzCuOc7j4HHzcq8uytv+Qs/wCY3L9dWIXGqGgecearJslA5xcYxkqo+1DSf4p1l+aop9qGk/xTrH80RVP2Vu/e9o/Mbn+unZW7972j8xuf66z7Sq/xCsew7f8AhBVH2oaT/FOsfzVFPtQ0n+KdY/miKp+yt373tH5jc/107K3fve0fmNz/AF0e0qv8Qo9h2/8ACCuVr0/pu13OJcotn1cp2M8l1IciJ2kjxx3VpLqxp5/7IhrsNNKc2IkuL2jO1CbbFyo+oZGa3KbatnaIyxaPjJ6Qblnr3ZOPn5VqlCuPwX9k+1PJUyl5DjkiM42sZCm3bbEQrl76i7rTy32mkpJHnL2loPbKkre2nszhLE3AByR5YUiv3e42hgu2u4SYjhUAlUd5TZHf8k+qr1YeNPFCG+zEi3Q3Vbyg20xJjh5bijyCQRhRJ9uakfUnAeyybvIuS9QqtdiYBkONhnK0ddwStXohPgSCRnHdVkjao0bowlrhzpdHnIRtN1uOXHiMdUpPTv8AwfZXLeFPR5xPJN4UUhY1p1dzHbPbONfirXe+LrLTwh0jQ5xG2OqvnF673Fdo0/aLsGGritrzuc1HJLaVlO3AzzIyVY9lRf7aqrlcp94muXC5SlyH3TlS1foA5Aeocq7QbROuOTHZw2PjOL5IHvr1laaMWeiZBI7JA1PcrgNwqjcap0zRodh2Co6Vd1WSAVbG9RQ1OjkUqyBnwB764Vpm5kbo/m8keLTwP10/FZCeqaGnkHRWmvSM2Xn0NJaU6VEDaj4xHqqvj6duC1rMxkw2Uek469gJSPV417qucaH+wbCjCnDsXKWPTX7PAUiSpDgWxan9EpkJBy9XOTZbFEt7sx1lYW0gEtl7JCyOSTjvrEhnHP6KyNWlr6plTBlslDit6klwkFXieXOrLcbe/bJJiSFIUsAKJQcjnWqjeAS0v5ittQwkA8uAqalKVJJnhKU591d1svtpStbKwlYylRGAoeqklwG5RgnULhotdojtgS3uG8A4O3vqQYdvt8NIMKK2nvC8ZUfeedYDFiPzn0xozZWtXd0wO8k9wqQLfHeiQmI77iXFtoCSodD4VA3qTl5Q12vZP6FoychYRfoiYN0fZT8Rau0QD3hX6jmsT1rfDZLKt5hwJkvnsGTn4uRzV7gPqqaVttqO5TaVEcslIPKoG8qVxTNvgMsoSlJgy3DtAHpEpT8+0moK732SC3OawYcQBnzIGVa+EbNFXXuLx9WNy4jvygnHzUkeTFwbSjT7XGG9QYku+3Fhx/TUednsYTJB7N9WMkOPHCisAqQ2pITzJJm7R+q7ZxCsc6BdrQmJcoql2zUNjlgOKivqR6bSx0caWhW5C/iuNqBHeA4cXu73WzCLceHV50gzbG2IsVi5PxXC+0lsAKR5u4sBICQCDg8+lWLivYb7aG18WeHludl6rsUQoctzKSoX6CDuVBcA57gSpbTnNTa8gApWpJpUcbYmhoVyq6qSrlM7zqVIcWLGgxmYcOO3Hjx0JaZaaTtQ2hIASlIHQAAAAdAK1w8qngzARbZfGPSMQRbjbtr9+ZYG0TYqcZlYHR9rkveOakBQOSARm9v4vcXrjAjym/Jd1U0t9pDikyL5bmQkkA4wpe4dflJSrxAPKr7qPVurlaGiuz+Ct9uEy9R5Ma5WmDcYDq7e2UKTlx1xxDbgUk5GzJGcEUSxCRpY7qlUtY+hmbPEcEFRpwo4gP6u0kzKul5WLhEUY0lcjUrsZTqgAUuBG0gbkkdD1BrMjc2vx6z/AExd/s1CfkYIduybhZ1XmVbwq3xZCSy22sLUjck53g4wnFbLw7Nbp7nZwuI776tpVhtEYnA6n4lNKOQviGTnGn0UjfYGQVrhE3DTggeYzhYp8Jtfj1r+mLv9mnwm1+PWv6Yu/wBmrzep+hdOHZfuN9vty/wZUuA2r5iM/RWGT+MnCSHt804t3i7lSigC02UzfSHraYI+mt0szIGF8hwExjoaqb7uNx+RV6+E2vx61/TF3+zT4Ta/HrX9MXf7NY5I4nulDb1p0xxQmtOjehx2zwYKVozjKfOVoJ+as44fS7PxJtj9wsWs74w7Ce81nQZsBhiXDfwD2brakZBIIIIylQIKSRSmva/7JylTW+pp4/FkZgfp59vmrUm5NFSf28ZI3J5fbe6rPMd23n7O+tWdOxocn7KTqgzygMMJmSTvOE7m7XFKSSeWAefureM6ClAgnWFxUAQcGPH58/yK+eOsto+yIa53eEjIPePgyL9FM7nXG2UclW0ZLASB5LRT04q5Wwf8jhb7cQVKvugbg/YnUTEuKS4VRne1S42lY3YI9SeYHgagJOCQCoJCsel3D1178LOKUrQ92XHuKlvWOc7ukt9Swon78ger5Q7x6xUk604bWtT41BZphRAuGHEJaAUhKlDOUn8FWc+qpv0b8bUl1pTCRyvzkjsf2PRV3jThioopxK33m9PJYN+0FrA25ucgd/xWUn9NesRdw1Q+uI/N83baRuS22j0AM4xj9de1x0oxBgOy0zXFlpOQCkCuuiv3QkZ/yP8AWFdNLmOhdMwkkdSqKGO8RsbhgHovZeiAhKlfCRO1JOOyx07utY3HbfddS3EbWXFdEt9foqTH/vTn5CvqrA9Ln9u4p5dVf7prFLUySMkc/XAWyqgZG9rWaZXV2BqB9sNPRpriAchKgSM1RstLYnNtupKVpcSFJPUHIqTj3VHc7/CF4Y/8V/WFKpqp04c0gAYSKimEBac51UhnHPFYNq4ft0v+TR9RrOe4++sG1d+7S/5JH1U2t334W+u+5Vm2mldqVP5ULhesGIqfMZiJOO0UAT4Dv+ipBVGjrYEVbKSykBIQRkYHqqNwcHIrINN3e5OzW4DkjtWVA/fOakgDPI/rqGutNLK0Stdo1PqORjTyOG6yOHbYcAuGKyEdocq7z7Mnu9VVVKt97ufwZAU+jBcWdjYPTPefdVcaH1Dw3clSZLY25VY6800B2rqEZ5DcoDPszUXeUFpsX3SDNzaT2iICltyCjnhh5ISpQx+CrafeTVU++9KWXZDinFqOSpRz/wBK7xZS44caUlL0d9BbfjrGUOoPIpI9hNPrjw2aukfE13vEfmnNi4i9kXGOq5ctadfiCNfyypj8n3iPH4jcNrbJefQbxaWm7ZeGQfSbktICd+PwXEhLiT37j4GpK9daOzdP654OaiHEHhlOd8zcaAWS0XmnGOojy2hgrQDna4nCknmCOYOfPeWZHuGjLrCmaOvtn1G9bZTUKXalNTYqJhaUGnAolLiAFlJ9Jsgd5OK5uJTC/wAGp9140Ofh1BXVpraZ2+tW3+ZE7UEakfAjcEbLaPOSe89ajbyg+IzHDrhpcZEeQgXm8trtdmZzlS5LiCC5j8FtBLij3bR3kVE48s2NA0pbodu0Ze7xqFqBGamSrotqFEXKDSQ8slJU4v09xwlsZ7iKjPhmuT5TXHhyy671iJlzgW9c6axGbKGokJDqEmKwnJDO5S07iSVnBUrJCca5qtg92I8zj2Wyis0v39aPDibqc6E/ADckrKOC864cLeFeptX2izsmeYCU22ZKSrs20hbbCFqHIKRvc3nnzCcVUXtHDu26gumm7voO8ay1PaDEKrjebi+tM11xbSXwmO0tLTezzhopaTyKTk4AyZgvFvts60TNISnd9leZcgKgHUcZLPm+Cnstm3KQByAzkY65Gaw2Jo/XlrSiBaeNc6PbGjlpDky2PS0jAThUlScr9EAb1IK+QyTjNLZGImtYB018+6kqa7QyySzTv5XOcSNXD3dOUZaCTgZGNM5z0VvTZ9e23z/7TeBOj7O7DuMaChEaysuOturZDq/uigoLQkrQFO4SAoFIzkqT66tn8blRhdLlDlxChx6U1FmJjxYKkhaTHZa2/dE7mVKS72h9FxIIPIZu7mh5k4KRfOK2t7k2o57NWu4sZP8AsGkHHqzirgxwJ4RJ0ou9SNKsT5S5gQX7jqEzM88/fXlKaz/B25pvW076uB0LcDP+7JbLvRRSB8uHY7NOvzc4foVFdzf0/bI23U2stJXZlS4shtNwv3nZAEQsOsOMJJWkhbjjidvLO3oeYmbyeLdPn3m862YFy+BXrPaLFDl3CMY793XDbcDk5TavSSklwISVc1BGemCaa1WDTlheD1ittrtzoG0ORLtb2VY9qWgavfwxcycnUEv+lUX+xW+CMxsa1x27JhcbxFUxOihYRzaakbaHYeW+fl2mAp5E5r5jawvOgbB9kS1tceJ2o02LT6jIjuzzuAadctsUNAkJVjKsjJGOXOt3ot3uJlMJVf5agp1CcHU8ZYOVDltCMn2Cvnzx60CzxN8uLiDo+Rdnbal98yBJbZS4Uqat0ZSQUkjIOSDzB8KcikbcD6q8ZD9Md1WXzmjaZwccuv0W3Nr4VaC1y2ZPCzjHp+/I2hQZbkMvLAPQHslbh70CpRTa7rpfh5Y9K3t5pybHBbWW1EpCElRTzIB6KT81fM+9+RxxEtEgzdLags1yWgEhxK3IEn3HmOf5Y9tTX5J1t486d1HemuL991Expi1WsNQW7vdkyIZkuOp+9LUtR9FtJPxgPSHIml23guk4brfXYm8gxg66d/JM63iKa9U3qwdznpga/lutm9Q5+BZp/wDT/SKx/Rf7oyP5H+sKuV0vtkuVoms2+9QJTvZn7mzKQ4rr4A5q2aLUgXCSSoAFnx/hCukUU8U9HIYnB2vQg/oqRW001JVsbOwtPYjH6rL3vvTn5CvqrA9Mfu1F/wA//dNZ08432K/uqPiK+UPCsE0yoC9RckDBVknkByNbKMHwpfJaa1wMjFIJ61Hc/wDwie/+V/WFSEXEde0T/pCo9n4OoHlZ6yv6wrNv3f5FFeQ7kweqkPuPvrBtXfu0v+TR9VZxvbOcOI5/whWD6tKTeXCCCA2jp7DRbvv1it1h0VopXXeKVPYKhdVxkDln1Vf9L2+a3cETFxXEtbFJKlDHUd2etUenJSY13YDiUlLp7LJGcE9D6udZ0tQSFLUoADqVHGPeahbpWyR/yQzcbqQpIGuAkJ2XNWDWEda4DLyRyZdJX6sjGavqFpcSFtrCkqGQUnIPvottDqFNuIC0LGFJIyCKgKeU08okPRSEkfiMLVGY6UwT0rKJmj29xciTOzQeiFpJx6ga97bpiLCeTIlrU+tHMAo2oB8cdSasr7xTNZzA69lGNopHO+CuVrbMG2R0vuJbLTQ3KKtoT3nJ7hVtumgNE3dfnN00rbnSv0u17LsyoeO5GMiqfiYEr4barBxhdin5ycAAx15J9VfPzRvEHidoYlvTGvLjam2VIbU0uUXIylEeikNrCkYIB6JHKuf3OrhbKBOzmB1/NXSy0lW6MvpJiwt7Ej9FuXH01puA+tUCzRWzuJSrZvIGeXNWTUf+Qz/js8UTgf8AYruf/wBFj/n5qj2y+Vhqll4wtW6RtlxdSvYp63kw3SoHByj0myc+ATV+8kfiLovQnlN6x4j601HBsln1HEmx47slaj2Mh+Y06hpwpSQk7UL9L4uU9elZulfb6qnjbRtDSDqMAdE/t9LdIqh7695eCNCXE9fit25jc/z18BNx++rxhu14+Mem7n8/Pxry7O4/xn/N2qqaC7btS9tc9OsxrrFW8v7tCsEWSj4x6qS4fpwaqPgqUEqV8BPAJODnSjHI/wCnUEpk6bp2dx/jP+btNZEEyhoUp/Zna+fc8og9pj2fecf61Yq8y3GWpuXCajqT1D2m4yMfO5V1avNkXpYWQPxQ6qT2wCrQyGSM9Oy3bM+vOabvqoIzyveMpwyjqJBzMjJCouzuHhc/5u002XD+M/5u1V5KjNABSIsVxJOAW9PRVA/7SvRFuZWCSmAggE4Xp+Nnl44Xy7qyKqE/1BHqs2ccpXtFTNTLY3/COO2R8ZFrx8Ydcc/m5+FaRa0lxLf9kM13MuMtiJHaD5W9IcS0hI+DYvMqUQB89S35buqOIHDDQ2l77w5ujVoYm3NyLcp0O1xkPJJZ3xwF7CWwSlzpzJAGa+fV8vN41RdZV+1LdZd1uc5faypk14vvPrwACtavjEBIHsAxyp9TTGnlbO3XBBTGpg8eJ0LtMjC3ii8b9BXvWNs0LpKY9qG7XOUIyPMG/wBjM4BK3FvLwNqUhSjt3ZxjvqXtS6UgXbS82xsspSXmtzSynJLqeaVHPrx89aKeSTNiQePenzMdQhMiPOis7jgF5bCtg9uQces+uvoYACMda4H6c+NrvNc4KHnLIWjmw3QE83XvgBWngWw0dqaauIZkB37Y7dlrHpXSN91nqCNp3TdtLtyfV8UZQGEg4UtxXyUJ7z48hk4FbOam4XQ+Hum7U/cHZt6e2iPLlFwN5ewTkJ7knoB15DJNXfhzP0xoByc5F06lLtykKky5basurUegwfkjuSDjmeVXvitq2xXrQrzUGWlTq5DAS0oFKx6WTyPqBq9+ijiG2TTRx0tRmWQgOZkg+QHXzTv0qXSe/QnxIQ2OMZacAknvnt2H91EJlaePW0zOX/uq48405kEWmb+dVbevI9aV6jFKzcE/Urzh6w474Vz8608P/KZn51QyNOE5+CJnvlCrZ0rmj1Ru+T9Sjx3K5+daexztMw//AGq8Zb9mcYKIduktOk+ipb+8Dnz5eyqLNcVkUzQc5P1KSZnEYwEwPClKVv5Vq1XIJSQoZyCCMVUSbhNnHdKkuO8+hPIe6qalJMbXEEjZZBIGAVftOX0w1iBJyWFnCCOewn9FZhj1VhelISZNxL6yCmOneBnmVd3zday+TIbix3ZDisJaSVH/AJ9dVa6RsFSGR7lS1G9wjy7ZcuD60/XXU4QslTvU9KxYawm4w7DZUSc9VD2VebFeDdQ+pTSW3EKztSe499M5rdPA0veNE5jqo3e6DqrNxPkMx+GeqlyHEt77JObTu7yWF9B3nJr5zpX2thallXph2Ow76ihKsH3pKR7jX0N4xRXF8NNRSW14diWqWtJA547FeTz9xr54N3OD5q82uE4fO+zW6jtAlCVJ57kYGQeZ68udVS+NAMbmncHKuvDJLmSDsR+i9FIcYu82c40tKIzjjySpJAUrcQj51EH2CvGF5ut1uExIWtUxjY4FJxte3EpAPeMgDP8ACNcGXBUEpdNzdQkpIQt9JTy8eVDdQ9v+Ee1UgL7Vss7UqaxnknI6Y+oVAKzkZC2X8i3h6u9cQb9ruS+9Dt+mpS1jsnC0JMtW4oQopI3JT8cp5g+iDkGttJesuIr1+bnRtWw2bcXA47CVZ21rUkY2pD24EHxJSfVisf4JaMToDgTaoqo6Gpt1j/C87en0/OZeFkEj8FJQkeATV4jW+XNcLccJwSN6iMAD3fVUTdquanc2KE4OMlS1nooKpj5pxkA4H913UqfdpxkSFl55asuLUcAZ7/V7KqnbA422VsuhxeAsJA5E9/OrtGgtQ2uyY2ELHpBfMqI76qezXtSdw3birpy51Ctpmu1ecuKm3VLmkCIYaFarJ2+1EdxtSAysgZGMkgn6KuIAdUp5Jx6JQR6/GuykrR6RWgKCtxJ5BRIqzXvUkOwsle1x9wnYpKE8gruySeXh30+pIHTvbTxaudoB3KY1dSyBjqiXRo1JVDxf4dN8Y+DuoNAOJT53MiBdvcUPvcxrDkdWfywEk+CjXyLW28w4uPKYWw+0oocaWMKbWk4UkjuIIIx6q+vejdeIuV3NtlNNQ2nGsMKLnpKcB6EnAyQeVaDeXDwvRw/42Sr9bmEotes0G8MhHxW5WQmUjHd6ZDgHg56qvLqGqoGtjqW4djzCogrqWue6SldlufJQHAnzrTPjXW2SlxZkN1EiO+2cLacQcpUk+II9lb0cGvK00ZrlFv0/rJ34D1PKW3ESOyUqJNeUdqS0oZ7MqOPQVjB6EitEOXSsp4S5XxY0a03uW4L7BUUJBKgkOgkkDoAO/pVT4j4Kt3F7WQ1gIcNnN+0Mn5j6p/S3aa0tdJFqMHQr6auXi3MgKXNaWOu1PMn2YrHLtdHLk/kpKWW8hKM/TVCPHvpgc+XWrtwJ6GLFwPU+vwl0s3Rz8e7/AOQOvxXP7/xvcL/D6u/DGdQOqDB6Upy6450rsI21VMSlKVlCUpShCUpShCUpShC5SpaFhxtakKHQpOCPfVfKvlxmQhBlPBxAUCVbcKOOgJ76t9K1PhjeeZw1Sg9wGAUAxyqttV0XaZKpCUbwpBSUE4BqioQD1rMkTZWljtihri05Ca2uN81Npe8WSI420q4W+RGbQFbUlS21JAUo88ZIya0W1Lw017oxP98WmJ0dpPoiQ2jtmDjvDjeQB7ceyt6aBSk8hjaeo8fbVdu3DcFyDSDylowP8qetPEM1rJHLzA7r54oWlxIUhQUD0KTkVT3Kam3W+TOUoAR2lO8xnoCelbxap4OcONXlx656YjMyljHncH9jPe0lHoq/zkmoxneSJZ5N5hbdVvPWJEpp6bDkRx2zjSFBRaDiSEkKKQCSByJxVNn4Pr4XgMw4Z32Vyg4vopWFzwWkdN1PvCTijxLvHCDT390rzGdfJ0BmVJdaipiKQFYU2goR6GQgpBwBzycVK1l1RarkWLbaEK86dbKloWnCW8Dnk/KPhjrUXDHckJHcB0A8K7NOOMOB5hxTbiTkKQopIPtFWK48E0NdGC0csgGOYf3UBb+M6+hlOTmMnOP2PRTaEojjK1la1ctx5lR8B4D1Vyt5LY3OLSlIGTzqMbVrm729eJW2ckAAKdJLiRnmAe/31c7lr+G9HEeDAdX2hy64+Qkn2AZrnFXwRd4JPCjYHDoQf31XRaTja0zRCWV5b3BH7Kvu12WtHay1BLbRJBTzwCQAfnrDL1cfPHy0xIK46cKAxy39/rPvryuV1k3Fat5LbRwezCvRyO8+JqjFXXg/gr2S5tbWnMvboP8AI+CpfF3GftVpoqIYi79T/g46pjn0z7aj3jhwxe4qaQTaoMhhm6w5SJMKRJUrYD8VxKiAThSCe48wKkKlX+opYqmMxyDIKoVPUSU0gljOCFAWkvJC0lb9sjWeoJ16dSQTHiDzSP7CebivnTUy6b0dpTR0XzPSunLfamsbT5uwAtY/hLOVq95q8+rFcU3pLXS0YxGwJxVXKqqzmV5SlKVIJglKUrKEpSlCEpSlCEpSlCEpSlCEpSlCEpSlCEpSlCErgd/u+ulKSdlldj3+01xSlZCUuU9fdT5PvNKUk7han/d/NcUpSst2SkpSlKQlKUoQlKUoQlKUoQlKUoQlKUoQlKUoQv/Z</t>
    <phoneticPr fontId="1" type="noConversion"/>
  </si>
  <si>
    <t>https://los.lenovo.com/quotation/record</t>
    <phoneticPr fontId="1" type="noConversion"/>
  </si>
  <si>
    <t>data:image/jpeg;base64,/9j/4AAQSkZJRgABAQAAAQABAAD/2wBDAAMCAgICAgMCAgIDAwMDBAYEBAQEBAgGBgUGCQgKCgkICQkKDA8MCgsOCwkJDRENDg8QEBEQCgwSExIQEw8QEBD/2wBDAQMDAwQDBAgEBAgQCwkLEBAQEBAQEBAQEBAQEBAQEBAQEBAQEBAQEBAQEBAQEBAQEBAQEBAQEBAQEBAQEBAQEBD/wAARCACbAOEDASIAAhEBAxEB/8QAHQAAAAcBAQEAAAAAAAAAAAAAAAMEBQYHCAIBCf/EAFcQAAECBAMEBAYLCgoKAwAAAAECAwAEBREGEiEHEzFBFCJRYQgVcZGT0RYjMkJTVVaBlKGyCRczUlR0krHS0xgkKDU2c5XB4fAlJjQ4Q2JjZIKiREZy/8QAHAEAAQUBAQEAAAAAAAAAAAAAAwABBAUGAgcI/8QAQhEAAQMCAwUEBgcGBQUAAAAAAQACAwQRBSExBhJBUWETInGSFBUjodHSUlRygbLB8AcWMkJTkSUzQ4KiRGKx4fH/2gAMAwEAAhEDEQA/APovg7DWFpPBVLnXqBJTDsxLNvOLdZStS1rTckqIMOdIksF1gq6Hh+kOIFxnbl21C4tccOOsEYSnaS9gaiyr9VlWliQYuFPJBBCBoQTDhSU4dpACZarU9DaQQlCHUJAudecS3k3dcm9+qANRa1kr9imF/k5TPojfqhmrb2zbDs3LSNXp1KYfmtW0GSSrq3tmNk6JvYXMSBVcoiRdVYkQL2uZhHrhoqcvgvEEwxPTdUlHFy5sC3OhIULKGVWVWo6x07z3wG8nVEuxOHsWwx8naZ9Eb9UROs4l2V0LGtMwDUaRJJqtVQFsJTTkqbFyQkKUBoVEWHHle1xeaeO6L8byX0hHriHV2l06o4/oeKW2aDMMyDS23Zp6tONOoPWyES6UFt4ozryKWtJRvXMvGEDJxul3OilPsVwwdRh2mfRUeqGst4CTXk4aNEkenKRvAjxeMtsub3eXLwHC8Pnjui/G8l9IR64bC1hU1kV01aX6SP8AvBkvlKb5b2vYw15OqXcSz2LYZ+T1N+io9UNIOzs1bxIKZTem73c7voGmfLmtmy24d9uXGH3x3RfjeS+kI9cN27wiJ7xl0+V3+831+nHLnta+XNl4d3fxhXk6pdzolXsXwz8nqb9FR6oHsXw18n6b9FR6oP8AHdF+N5L6Qj1wPHdF+N5L6Qj1wrydUu50RHsXw18n6d9FR6o99jGG/k/TvoqPVB3jui/G8l9IR64Hjui/G8l9IR64V5OqXc6In2MYb+T9O+io9UD2MYb+IKd9FR6oO8d0X43kvpCPXA8d0X43kvpCPXCvJ1S7nRE+xjDfxBTvoqPVBb+HsNsNlw4epx5ACVR6oVeO6N8byX0hHrgt+q0V9st+OZJPMHfo9cODJzPvS7nRMyU4LU2XfEtKCErDZUWWwMx4C5Tz5dsdFGDEkJVR6OCSEjqNak8Bw52MGCWwulDraalTMjygtxO8QQpQ4Ei9oJFKwYlstJfowQbXSA3bS9ufK585ju55n3rjLouktYNWrIijUdSgQLBDRNzw5Qf4sw18mad9HR+zCdFMwc06h5uYoyHGyChad2CkjhY30hbv6L8eyXpkeuFc8z70suiK8WYa+TNO+jo/ZgxFGwwtl144cp4DQuR0ZGv1R7v6L8eyXpkeuDW52iIZdZVWpM70WJ36NPrhru6+9ON3omWnzOBalVHqPLUekuTUsvdvtoZQpTSrA2V1dDZSdO+DKn7DaXOy0hMYdp4dnHjLsfxRJzuBBWRokgdVJNzYaRxSKFgyi1acrUhPU5qaqLiXpxxD4zPrTwKrqI5ngOcF4gw5gzElUkavUqrLqmKa9v5UpnigNr0NyErAV7kaEHn2wRtt87xO74G+njz45ZcEM725kBf9fknpOGcLT0qFKw7T8jybEdGQDY94EZyqcu1K1Gblmb7tmYdbTc3NkrIH1CNLMVWissoZTV5NWUWvv0euM11RQcq1QUlQIM2+QQbgjeK1iywguLnh2mSBV2s2ySQI9y98CLtQlM6Cy0uiU9SkAkyzfLuhVMtpbZUuXlkurFrI0F9dfqip0eEPs3oTLdEnZ+opmpBIlnkokFqSFo0NjzFxxjn+E1sw+Man/Zy45bs/ir++2B9j/wBp+CgPx3DGOLXTNBHUKzJehoedE5VFh1wG6WUn2ts+TmR2/rhyEtLjg2kfNFQ/wmtmHxjU/wCzlwP4TWzD4wqf9nLjo7O4wf8AQf5T8FwMewof67PMFb/R5f4NMerbkwyhtQSFbw2FuRA83D54p/8AhM7MPjGp/wBnLhVIeE5siDM21P1Kq5Xy2EhNOdv1LkG4OhuT5o5OzuLj/p3+U/BOMfwr+uzzBWp0eX/ETHvR5f4NMVQ54SWyGx6PiKtJPIO0lSx5xYw6YQ234CxlUEUmlVlSZ5y+7YmWVMqdI4hBULKPO1790DlwLFIGGSSF4aNSWn4IkeNYbM8RxzNJOg3grD6Mx8GnzQOjMfBjzQGnQ4m8GxTlzhxVqGtKK6Mx8GnzQOjMfBp80dqcbScqnEJJ5FQEc79s3yKz5RdWUg2HaTwHzmFvO5pbrV50Zj4MeaB0Zj4NPmhM7UnE23Ui4oKOULccS2gnsB1J4HgDCySan5lpP8TddcPEMMrKBroASBfS2ukIucBclINaeC46Mx8GnzQOjM/BjzRxMOTKkFqSYW5MlaWw0UHOFE29zzN+XdDvI4RxVMSBdel2mHlpJSH12UFHgClIOgPaeEM6Td1KcMubAKOe1B+wn5cIzElDjXWykm2U6d3boO+EwnGkqDYnpQgHrLW3plI0II91r2Ad9uZ9ZfnpNttmWlwiaU4UPo6HvnA6U2SkouLBSyEld9Ab87xKJDZ9iB1EtUmqxTmXG0IKWjJhYJ98gm3DVQ0BBFtNYZ0m4LuKYM3jZoUdY3CXFNzM1KqKlJS2EJyk3TfW/Eka6co9TNUgmxeaQbBQC+qSDwNjyN4nRwTTbIdmJhTT+UKcTLpAbCueTMMyU8bam3KG9/AqWWLyLrTjgUokPoAzJ0KRcDQg31trc8NI4bUA8V2YHDgo601KPIDrIQtB0CgI66Mx8GPNC+Sw1iN592VlqbdMt+EKiEpKykGyVGwPHiLw5+wnEX5Mz6YR0ZwNXJhETwUd6Mx8GnzQOjMfBp80SL2E4i/JmfTCB7CcRfkzPphDdu36SfsTyUd6Mx8GPNA6Mx8GPNEi9hOIvyZn0wgewnEX5Mz6YQu3b9JLsTyUeTLMhQs2niOUV44oGYfCeG+X9oxcowTiEEEyzPH4YRXGIMCYpw6HqhU6baVW6ol1pwOJTdRtmtqniOOkTqGdhcQXC56ocsTgL2TFcQI8yiBFrZAWTqnQKjiPHlaptLS2p8TUy97YvKnKleutj2jz/PBytk20BCUA4ecLq15NwHmy4NAQSM1gOsNb8xCyn4HxXtG2q1HCmDJcO1KYm5tYzP7lCG0k51KXyTY253uBY3iwf4FO32wAboVhYD/S50tw953DzR65NjMNA2KKSpjj7jTZwudNf4hkvGW4TPXSSyR073jfcLt010/hOaq4bLsdqCQigqUtS8hQH2syTpxGbsIPcNTbS7NJYeq0/UpikS8uBNyodLra1hOUtqyqF+FwdIu6X8DPwhpSYbm5ZdGZfaUHG3G60pK0q/GByXB74KV4FG3xS1OLYoClrJKlGrG5J1JJ3euscx7U0ABElZEeVrjPr3jcf2Tv2brjYspZBzvnl5QqhGCMU51IXSVt5BdZW4gBI4a69oI+YwXM4QxHJSj09O0xbDLDe8WpxaQQM2W1gb3vy7jFxnwKdvpFi1QiDyNXNvseSAfAo2+kFO5oNjxHjc2Ot/xO3WOm7VYdcXrI/wBf7lydm8QtlSyfr/aqZpuGKzVpRU/JSyVS6FqQVqWEi6U5j9XPt0htlpl6UfZnJV1TbrK0vNrBsUqSQQfmIi90+BPt6ToJegDlpVj+7it9qGyDHOx+oSdNxtIyzKqgyt6WdlpgPNuBJAUL2BBBKbgjmInUWPYdiExgiqGPJ0aNbceOeSh1eC19FEJ5YXMA1JGV+HDJblp7bkzLCZYpFSbKktHd5k2UVJJOUlKlWBAGugKhrYXjp2VrqUOLGH5ly18qAveKIAHEApGpNhpyPkh+oFSlFysqosO5HEIQAGVXHVT6xx74kLhLCUtqCHM3WJt1SOQFo+cZZC15C99hYHMBuodTkVakuTpdw69NNuZFFTTSQLBOoSLWtc2tbjdV9YMa8a1LF7mH6gyjxWi7qENsKbyNhF2nUvcFKU4HElu2gF+8yslsy69wCnrAuA66crHsv/dHki+C+Gi0DlBKVEajtgO+czZGDBkLo2Tw/SJF5EyxKXeRcpcccUsgkW98SOBPKHRtSlLylR6wI+qC0lKjYqy+UGPHn2pdpx5srcW0hS0pSj3RAuB2wBxLtUcADRJnqfSZifYn5yXbVMMkZFqcItY3BIBsbHUXh43rfALGnZEJp1XmqtU0S7zLdrKCy2AOCbgiy1aX01A4jnpEnTvTmAsOqfXCcL2zTNcDmE2YlxPhrDaBOVypS0o26qyS8QMyhyF9SfJBtIxHSa1LNTdLm25pleqFtuBSTY9ojPvhB05beN6ZX8R0eZrGHmGVsrlWXUt2cVcgnNpa5BsSL243SIW+DhTatT5GZU428zJTEyp2VYccKy22ScoKvfEJyi/PLeKgV7zVdgRl7/HwKzrcblOIGk3Ra5HG+mp4WOgV7LoFIU4XxIoN1KVqpRsVXvcE298e7WCZmkUspBVLfg0rCbOKFgokq59pMOZWptGYcQPPCadDbkutTNwoDUE8IuGmxzWjsF1V8U0TAtAp0zPtTO5mXG5VlEu0XVFxSFL114WSokk8oaGNuWzKaK9xiLMlqUcnXldGdAaZQUAqVdN9d4jLa+a9xcaxLWn2WKRKvPoCgGUWFueX1XiOLxTgKpya3XHaFMyq0BtZXMMKQUkghKr8rgGx5gQDdJRN4BEyG23ZjVKlL0mm4pZmZqZzFCG2XbZUoUtSiSmwSEoVre3DtEIJXwgtmU5VDTmqrNBqwyTi5J1Mu4ogHKhRF1K43AGmVV7Wh3XjfArChNOVGhNlRLgcM4wCetbNe/4wtftEF4yxtg7AmBqhjatSbYptLZQ4W2WUKU4SUhpLY4EqUUgcBz0AgkcEkz2xxtu5xAAHEnQLiSaOFhkkNgASTyA1Ukw9iGj4ro0piHD88mcp88jeS76UqSHE3IuAoA8QeIhxjJw8OXcJbbldi1dQ0oDdATKQCknq2s1bXugDw6X1KLY2N13MkFRHS0ggA2J1b4Axov3Nxr+j/wA2fMqD97cH/q/8X/KtYwkqsuzN02alphsLadZWhaTwIKTGWGfDsXMTqKczsgrKppYJSx05AWQL3ISW78j5otPZZ4QmG9rWGqjU5OQmqdM08qZm5J8pUttRSSkpUnRSTrY6cDcaRGrNmcVw6Lt6iKzRbMFp100J15qTR7RYZiEnY08t3G+ViNNdQFTPS1fDK/SgQ3Z1dv1wIvblDuo54Khv4UtSB/Jqp9tEbJnJ3E6MQpZak2F0sgZ3d6UupVrc2vqBYaWjG3gqf701S/Nap9tEb3LaCblCSe20VP7TKJ1bXwNY8ttGw5cdcvBA2GmENHMS0G8jxn9yh2NkYiU9KO0HGT1FdDCgpCqSZ1hwkiylAWII14KEMLb20R2ZnHTtHlkNONutyrSMLOHdOFV0KUoq6+VGlrAE89NZhiWtTtF300kuqlmpdCyiWkFzT+cvJTcISq6k5SbgC41N9LQ1y+02mMLZlKjTMRF15SEoeGH5pDbil6gWCVFJAOua3AxmQLALSg3TcxStqNUbU/Rtp0khlJDaRN4a6+iEglV3EXJVmOgA1AHDVxo2Htp8pU2ZisbQqfPSSXszksmiJaUts5ro3gcNiLpsbe91GsTSIPT8fht5kVNmtlD7xl0JOG5pshWYJBUsZkhNyNeB7rGEnUmq8pUJlbJk3CkJUCuyrXHOMffdBsyangUKN1CVqFz2nMxG1IxZ90K/nbA/5tUftMRsNhDfHqcfa/A5ZTbQWwWY/Z/E1X3h+msLkJRAL5O6bsN6oknIPP8APEg3LcuAw0olKBbVRVrxOp5XJhrwytKJSVUokAsIBI5XRaHZbeTL1goKFwR5ooqj/NKu4B7ML2XUETCArVKzlIPO44Hug+WdU3MIQlnc3NlcbnTtMJCQB1iLc7wjq9WmKZQ56qJlXXRT0KfQDcZwEEkDu0HCI0hDGlx0RHSCNpc7QZqTJW0VKTdJKgeP+e6PUlOnZ3RkmV2u7T5V2lYzn65T5mm1afXKimNrRvGwCv3g1A6ir803Re+YX1BQ6yzNSLbroAJSDrcmIFLXNqnFrQRxz5FQMPxePEHFgaWkAHO2h0OV09rUyFlW5F1WJ14wEKJUAlpIB0NkxyXFZEKCgARyFoTPz7TBAcWoq4gcYl6BW90lrWHJCtBMvUZVp1pxIStDgCgocLEHjyjql4fkqUhbbORNrcB2QueUFJStPAKPmOsGKRkcU2CdQbeaONxpO9xQuwj3+0tminNyEkFSj8wEN0w71FhlIBKdSomHBTSstwhX6oaqgpEq2uYdcbbbSg5lKWAAO88oM1EKk8vLNzdJlmXOBZQbjl1RDAnZdglBcKcNUgb0tqc/0cz1ygkoJ6upBJseMP8AKTLbFHlX1m6dw2Rbn1RaELWJmXJlcuCypbds7aHAVo8ogTQ833U5LRa6bHdlWBnzLqewxR1mUuGL05n2sEEWHV4WJ04ax5jnZ3Q8Z4JqOCaqytcjUWg0vdnIpGUgoUg+9KSlJGltOyHDFlbrdJp0vO4dpUtUnHHbKaenES90ZFEZVLIFyoJHO1ybG1ojK8b7TXUFLezqlMF1K1NOuYjZW2AG7gqASCQVkJNuHHy9RTyQyNkYbOaQQeRGiaSCOVhjeLgixHQ6rOs94IFWlV9Gk9oeIVS6LBCTYAAcBYG2lhy5QmV4I9eWQV4+ryiEbsFVjZH4vHh3RpJ7GW0cszCBs4pLc2kISyHMQslCySoKWbJzBCbDS2Y35WMPmE67iKqLeZxThSTo+4QgB1qptzKXXLkKSEpAKQAEnX8a3KNW3bfFGjNw8rfgs4dkMLP8nvd8VlE+CRXlTbM+rHlbMzLt7pp4pSXEI16oVe9tT54tfY3sLltm9KnpRp599U7mdmX3iAtxQSQNBoAOQ7zxi9nJqlNEpcmpVBBsQpxIt9cevqYckHXZdSFIU0opUggg6HmIjVu1mIV8Bp5Xd02yAA08AFIo9msPoZe3hZZw43J18SViveQI4v3wIss0rBNHgqD+VLUj/wBtVPtojfMfMzZy1tNd28TKNkbjDeIekzpQqYy7gMa73e5gRktble+W2saX6D4eZ4VfAdv/AMJ/Yiy2xwoVdZFKZ42ezZk51jx4WOSzuy+JmlppYuxkf7R+bW3HDjcZq9sTtppb7+J5KmVWbqDUmmVSJBG9WWi8FEJbWoNqN9T7617dkcS2N5h+Zk5c4IxM2mbKRvnJRAQzdZSS57ZdIFgrgdCCL6xRfQvDz51fAf6Cf2IHQfDz+N8B/oI/YjJnA97Wrh85+VaUY1bSml8g+K05EDp2P6k28pudwni+YCnEtpCqMlvLdRBWVBdikaX7iOPKn+heHp8b4D/QT+xA6D4efxvgL9BP7EN6hH1qHzn5U/rs/VpfJ/7WnYxZ90K/nbA/5tUftMRNug+Hp8b4D/QT+xGdvCcY25s4go/37ZmnvOmUd8WKp2QS2TMN7YJAOe+TNflltpGp2MwcU+MxTekRutvZNdcnukZCw538Fm9rcVNRhMkXYSNvu5ubYDvA5m/3eK2/huQmFSEqXFNoG5bvYkn3IiRmRYytpVdWVPbxvqYbqBuxT5a6lH2hvgLe8EdVPF2HKVNMyU/U5RiYdSMjb0wlKla8gSIwdVKGvJcbLYxvjiiBeQB1To1LJH4JgacwI8m6cqcl3WHEiy0kG+v1R3KTiH28zSGzfneD0LzOFSnP/FPDsgBO8FJs17ehVEt+DzSJPFrldl5dCWlKC0NbsAIVfXrcSOFgeHmtcUhRGJRlLRQlWUWGpP6oX7xI4IF/mH6oNWc6EFtJUSNTYn9cR4KWOmJMYtdQaLDKahLjA210RMo3coLH3JIAA14d/kirX8etuYyZwotqf6a9ILqDbgl7yiUJClZFKte5CSM17ZrJ4kRa2RTra0LWBax0IuLcrCK9oi14oQ3UZSmVORo82yJlkzLrVn8xuCGkLUU3GpzW1HbGf2io8RqQ19GTujWzt3M6HUXtY5Z87Gy0NDPTxHcm1OmV8hr4ajP3qZU2aTNSaXFAJulKrdmnzw5b5N21FV7gXt/kQikJRpmXyBSvcka6cNe+FLSmQm+XNp5Yv6NsjYWiXNyhzFpeS3RdOKvlASSeHAcjET2i4ZViXDz1OZmAh9C0vs7wFTZWi9gsX1Tc+cDsiXLfDaSUp59w4i8NU6+XWlgjrW00iZGS1wcEB4DgQUvptLXK4TpdNZcU6ZOTYbCiLFYQ2BfynjETp2DnZTERq4qMw8czpQwWgCN5yUrmBrby68IsCm/zdK/1KPsiDUvsKXkS8gq7AoXhmTujuBxSdE19ieCZa61QpOiNv4kkGJtmSIdSl1kO5XNQCkEHXUgW1174iZreyRpCC9RaJLZ0KdSh1hppWVV0qNiB2EK8msTqtOUQSqJauzMo0zNrDCEzDiUB1ZBIQnMdSQDp3GGlSMDU5lhldTp0q0pzo7KDNoQkr/ESL8e4axR1rMRdJelc0N68/wCxU6EwBtpAbqPylX2SzbrNNlaXQXVP50NtNIaWVAglYAA1uLk9sLq83s1ok5JSVSw7Sg9PBTcuDKI6wQ2pwi9uAQknzQ8LRhGU9seqMk0lOUnPNJA6ysqb681EAdp0j2qzGDHphExValTUPSiA6lTk0hKm0rOQK1OgJUE353tzjujZXNDvSnA6Wt7+SFVbrmj0fI9Uy0ZzZpiJ8StPotGmlNFB6jLTm7JHUvpcaXtEtVKSshS1yklLNS7DTSkobbSEpSLHQAaCEko3h5mcabl5qWVMrCi2jfgqVYakJvrYeaHCd/2N/wDq1fqMWLN7+ZAjDw32hzWI7jtgR5r2/VAjeKjTV4Kh/lSVIf8Aa1T7aI1TW6vjdGK2JWnU9BpW+SJmZU5dZBPWsnMMoSOepJHC0ZW8FT/ekqX5rVPtojexZZKsxaQT25ReIv7QIzJiEQBt7Nn5qo2Xp3VFBI1ri20r9PEKFYyZxeqckJqg44XRmdxlel1UPpyHVXJzZgQUq4C17WHzxH5hG0dcwVy21dTbbjYQW1YSKsqwgAqQoHS67qAObSw14xO8SVadpDL80ymYcbaZQvdyskqZeKi4E3CEkFQsdQOAub6Q24f2gydVdlpByk4iS++vJvn6BNSzQJuRmKk2SLDiTbhexNoxwW2BSTB8tjpdXTM1nHjVSkWmVByUFAMmVqVbKsOFRPVsdBxza8BedR5Ff0/aSpExu6hTcSOdV07o4XmWlApBNs9ykkhJsBx07rpOpdV5SoTK2TJuFKUqBWM9rjnGPvug4UmpYGCzciVqFz2nMxGp3tpNKZdLJoGKFFJIJRQZpQ0AN7hGo1H19hjLP3Qojxpgg8ui1E/+zEbDYQk49Tj7X4HLKbaD/BZj9n8TVqCjPHxPLkzCv9nb9yj/AJBGQtpNNLeKcVJxNT6vNVqdez0WaZcCWWwT1VLBUCU8AQEquBlFiNdV4PrFPqUqxKNGZQ4iVbcKXZdSOrYC9zpxg6t4FodampaoTkulb0spRaUWwSgm1yDyjGYvRuqXd3UHjp+uSLieHSYlAzsiLjnmMxY5cxwUe2OCptYYkmKvvVPtspSrMrXTgD5BYRY6FpAUUtI0STrc8xCKnU+UpzIZZbVYd4ELEKBUUhtIzAjXXlBIIjDEGHgrehpzSwNhJvYWQLzhvbKm/wCKkCIoNp+E3sW+wcVNKqshBcLJUM2TNYKte+W+l/7tYlIcWNUnL5ABEebwBhVGJHMZilteNcoSXyhJVlve17XtfW17XidT+jje7cHTK3Phfoup/SO72Ftc78unVKlYipdIWpLbdQnFkkluTkHphV+zqJI+uEmAJCdlcJy0pNSMzIqZdmkMNTTWVxLHSHCyVJucpLZRpe45w9tVAzC90Cu1r6m31Qal1qYQFMOod3ZLa8igrKoHUG3A68DrHBeAzcA1IJ+6/wAV2IyZBIToCP7269EYw3kBDrwWcw5AWuLcrxw3ukgptcg95gxZlZQJ6ZNNMqcUEJDjiU3VyAvxPdHvRFdIUgBVla+5/wA9sAuEZRCTRjY7QJoPzZNC3KnEIVlDWQpCW0pA13gUFlRPIjjcQ8VNWdpYOZIF7C565H6v884d3t11GAQAq5Rrq5bjp2d44XhmrLDz8q81ncZcKCN6gfgx3Htgm9vkcFwG7oPFPanXG6DKZTlKmmkqI5DKLxBKZiKrTWJnaW9TnES6VOjMWSndZPcqzcCFXFjzvpa2th01lDlGlGXSpwGXbBKuJ6o1PfHCaLLhd1OuKSPemFFKxgIcEpI3PIIKaMTYfOLKLJyr9Lo0+kOZ3EVRhTqAkpUkqQARZdjx7CYig2RSfR25ZWCMBFDTbzaU9CdygLObqi/VBVxGvHjyiW4/otVrWH+g0UjeJeQtbW83YdbF7ovw7DY6G1oq5WzXGmZR9j4IJuP9IITp2WCrRjMb2grsMqOxpqJ0rbX3hvW45d1jtP0FcUdFDUR70koaeRt+ZClI2Uy4llMJwbgdIWy60tAlXiFBThcAKr3ylZuoW1JJ7oKGx+nNNusM4EwLu5htKHUmVdGYXBynjcXF+XkhnouzvGstV5KZEh0AMzCHFv8ATgspQDcjKDrcXHDWJ3W8OYpnq8/PSNeVLSS5Ay7TKWkL3cwXArfWVxskZbHTUxP2fxSpxdj3VVOYN3Tev3vC7Wn3W6oFfAykLRE/fvytl/Yn49EzUnZejDs8zU8N4TwVTpppYWHW5R3MjqZVFJBGttL9mkTtInxSFCpqYVNblW9LAUGybH3IVrbyw24ZpFcpqnTV6r00qUSle4QzZJtZOVBINtdTrrDzPaSb5/6a/wBRi9IsVEBuFiL/AMoEeZh3QI3F1R2TV4KY/lR1H81qn20RvqPmXs4Z2mzG3eYb2RvsM4h6ROlDkwU7hLGu93uYEFFraWJvltrGmDS/Dz5YgwJ6NH7qLLbDChV1cUpnjZ7NmTnEHjwsclm9l8TNLTyx9i9/tH5tbccOozV8Ynq03TFvuyNKq8283KpWkSEshxR9tAITnUlJIFyU3vlvbWC5bG02/NScurA2JWkTZSnfOSzQQzdZSS57ZdIFgrgdCCL6xRXirw8+HsgwH6NH7qPPFXh5/KDAfo0fuoyQwAfW4fOflWkbjThrTS+QfMtOxApTH1WlHSmewfi+aQsdU+KW05OPEpc1vYcuYioPFfh5/KHAfo0fuoHirw8/lBgP0aP3UP6hb9bh85+VP67P1aXyj5lo+i1NVYpjFSXTZynl8EmWnGwh5uxIspIJAOl+PAiMdfdCv52wP+bVH7TETYUrw9PlBgS39Wj91GdvCclducviCj/ftnJCZeVJuimqp+QSwRmG9ACUpOe5Re44ZbaRqNjMHFPjUUvpEbrb2TXEk90jIWHO/gs3tbipqMJki7CRt93NzQAO8Dmbnw8VtbBa3G6dK1JVXmqjLTUo0prO0lCQkgKSQoa8DaxiSqqhKbJYTxvcqJ9URzDZMvTpREud0lLDSQlGgACBpaHozCz7tDaz/wAyBc+bWMRUNHaFbKAkRgJ0ZWp5hD2UDMNbcAbx0l1tLifbUXBGma5+qG5NXeU1uvEM4EIXojco6txcDjx5QeupLaaQrxXUFFZIyNpT1QLcbHS9z5jEZSAQlahYkBDhsSNEWHnNoNbyALST7pOov8/KGSbrUyFkoos82VKFt4hOoNrnjyv9ULKdOuPIC3mlJNrkW1Fxw05iEWm10g4XsljSGG1BTTIuDfqpiCfevmZVLTcriZ+TabmXZhKJaWDQstsIy3C76anUkdYhISABE7Wp9sZbryjQWIAMBCXXz3gDVSodryzMFM5jX6hRyVwPLbmlS71TmXU0eZmZhkqUb2dCgEkkk5UX4XN7C8NLuyx9SlD2V1FMqmTYlS2MwKlNoA3hOe5JXdflURc6ROnG21obShSkkE2VbW8FpdmUlACULBSrtEISP1BTGJh1CiE1s3m52WmWTiqcDr2+Jeyqze2KbVdZ3mqhu7C2UFNgQbG6So4Dmi4l5OJ50jpnShdCgpw3Bsr2y1xbICE2CCRlUesJw5Orl2FbyWBBFz1uN4oSveE3S5asuykrQp5+msTIlHqiL7vOeCRpYHsuQSLdsCmrm01u1da6g1lZSUIHbm1/E6eHLmrcpWNJiiSwlKpIPTDKL7p1ki4F9EkEi9uAIPrgxza/Qm1FCqRVbjjZtvT/AN4YaZUZWuyQmJf2xpYDjWmliOf1QlqlEcnpdxll5TDq7AuISCopvcgX4Ei4B5XiQxkUne4FSmzF7A5huE/M7bsOzE65JS9FrDhYHtriWm8iFfik5/ddwhZ99qi5SoUeq2Fv+G3+3EXpmHJSVkm5eUlw20jQJHbzJ7T2mFSqOlDK7I7OPljoxQ3sF018lrlKHdv2GWJpyXeoNbG6WW1LDTRGnOwXe3zQD4QGEs60IpNYcCDbMhtopOgOnX74rvFNFVK1kTMtLNnpDIzgqIzFJ49g0UNedu6Efi9P4giQ2khIBQDUSgkK0Rt+wso2FErfoWv24heMfCMarlNmaHhGiz0q7MBbDs3OZElpJuFZEpKrqIvYki3HWGRqnDOOoOPZECblsk5MWFvbnPtGJdLQwF1yL2XDqiUi11z4vY+CHnMCF+6PbAi3ugbqiXgpn+VFUQfyWqfbRGypuaxQjEIbZlZZdKIAW4XSHUqN7kC+oGmlucY18FL/AHo6j+a1T7aI3wUIJuUi/kis/aXROra6ANeW2jYcuOuR6KJsPMIaOYloN5HjP7lDcaNYpM1KP0PGj1HRurOMCidOQ4q56xNwUnUaX5QwU5rH7M06altOmJ2WdDgW0jCqmFtgoKQW3ATYpUUqAIN7EG4N4mGJp+s0dx6qMzLzkg1LIT0SUpqpqZLxdA3gAUCpISbFIF+JB5Q2S+0qWl1MSlQoGKFOvKQlLww/MJQsr1AsArIQDrmtwMZq26AL3WlBvwTZL0XaBUqo+aZtUnJZhKGxuJjD6NAG8pIWu3WKrKPHnpwtPaRL1KVpkrL1ioInp1tpKX5lDAZS6vmoIBOW/ZeFcQen47mG5hpNSp+IFIfeLCUnDj6MqswSFKWkqSE3PHhz0sYSdSaryc/MrZMm4UpSoFYz2uOcY++6DBSalgZKjciVqFz2nMxG1IxZ90K/nbA/5tUftMRsdhDfH6cfa/A5ZTbQWwWY/Z/E1aWw9S2hT5UqdeN2GjogfiCHsyTbaLsrcaGgPUBUr59DDdQVuGmyV1q1l2tL/wDKIUmptle6Q2S5mygKNhxtxjOT3LytBDYMCUsMtMIcCQ4u6gdbDug0G6VHIkWt3wS3NMLfXLBzr5Ty0074PQlOYjeDUEcDAD1RgiJqU6WErDoQUaG/ZHDc0y0sSyGVWScudXC/khWEpUiyL20ubDj545MuwtaSsqK0nqga/wCEIHgUiOKKn6pLSCUOT00hhtagkKUOqDa+ptoLA6nQRE3cR15E2+WMVYbXLh9SWUuqyEALVbNwuQFIT2dW/FRiX1KQYnGkMzUoy60ghYS6gK61iLm/cT54ieMZaSoFAdqVNolOu2+wH3lSO+Euxnut3dp6yymwNge88I7jANghyXGfJH0zEU83UWma3XqAmXCA8oNLUFKSsdUpUqySNBoNTr3RJZKYlp6VYnJKZaeYeSVNuIVcLSeBEM+HaexUMP01+uYckpaZyMvOSoZGVl0JIFgdRYHQHUXtD06mmUWUZQkS8nLIcypGiEJJvoOQv2Ry/Wy6YDa50RM+wH5YthablFuZvxjLOIdkWMZOqzGDabPu+xqpzXTnEblvQhaVZVKKc/ukINgbHKDprfUSq3TCkDxnLi1wbOAc7euO225ObSxNIKHUL6yVg3ChfiDzEQqujFUBckEcveFWYnhceJWu4gjkeB1HgVEMFYdTR6a1JLz5WmkoTprYACH9UpL5sllZjy0hwaaSFrUBYXygeSO903mzZRm7ecTI2iNoaOCnwwtgjEbdAmroqZdzeIRdCtFJJvrCxcoythxSUj3N9O60HutJLZHzx3KtgoyDiWiPqhyeKMBwVZ4gb6TWHwUWTK/xdI8lio/OT5gIbky7SypKTcoNlDsMS7E+A1VWz9ImhLulTjriXFKUFrUk2y69XUnu80RRSZtp+VU+ndqdmFocQm9gcrhym44g8u0RPjcHNG6VCeC12YQTJjMNBxEVitgCdmdOD7n2zFvJSMw05iKpdsJ2Z/r3PtmLCiOZQ3Bcbsd0CDLjtgROumsoH4KQ/lQ1H81qn20RvqPmXs3ltps3t2mGtkk0zLYhExOKQ7MFO4Sx/wAXe5gQUWtpYm+W2saZ8S+HnrbFmBfRI/cxb7YYUKurikM8bPZsyc4g8eAByWV2YxM01PLGIJH+0fm1oI/8jNaAxNUJ2myL83I06pTjrbaCluQabW6r2wXyhxSUmwuSCQbXtrCKWxpOvzMnLqwJiVpE2Up3zjDISzdZSS4A7dIFgrQG4Nxzii/E3h5n/wC14E9Ej9zA8TeHl8q8CeiR+5jJeoW/W4fMflWk9du+rS+UfMtNxA6fjusNPFucwdi+YzOJbTnpbSMoKiCsqS5YpGl+4jjraoPE3h5/KzAvokfuYHiXw8vlXgT0SP3ML1C363D5j8qf1276rL5R8y05GLPuhX87YH/Nqj9piJv4m8PP5WYF9Ej9zGdfCcktucpiCjnbbUJCceXKO+LF0/IJYICk70AJSkhdyi9xqMtjYRqdjMHbT41FMKiJ1t7JriSe6RkLDnfwWb2sxUz4TJGYJG33c3NAA7wOZufDxW8aCSaZJcz0dv7IhMo9KmCplKTvFkDIoKF+diIVUA2psiARfcIt8yRBRwXQXJrpBlnStVgEh9YTe5Pub24mMPKQ15WzjBdG2yXStPYYWJsTaVpbzJVYjQjjc8Bbv1guuYmoWG22XKzOplRMKKGyUrWTbibJBskXF1EWF9TCKdwVhepOOLVLue2FQcLUytOe6iolVjzJPzWHIQVUcB0OoS8vL3mmejzBezomFBakKtvGirjkWEi47r8YEN0m7iiHfA7oCk2YOtpLZuEi9hqCPxh2xxHTKUoyhKQlLYFgkWAA0AH1COeOp5wMIig+1vaYxs6ojM+JFc5NzSxLysugkZ1k+fs4akkRDsAbZ5/FtTncK4koaqVUmEpcLSjmSpBsQeJ0IIIIJBHkiVbXsBHG1DZaYfcl5yTd6RKPtqKVNOpNwbjUa21GoIBHCIHsu2X4gkq49iPFM5MTdUmEBDjr729UEJACQVcOAAAGgHzxTzyVTaoBl93Lwtxv15LL1suINxENjvuG3LdtbO/G99P/AKr+Qq7ZUPxW1aeQR7WJJU9LtoEwpoIdC1WbSrNx0IUCOOvzRw2jdshB5Mp+q0KHXM7S03uEhJBi2WoGYzTEcPlISRUnCQbKuy31iCDfhccDw7TDlLsplpVtlKioNkgEgDv5Qcse6trZf90eBtxTZAQo6jl3R1dMG2XDrZl3iOKFqJB7D2QCQASeAhNiKtylIbaTOBSS71gcyEgWtxKiBqTYDywJKdZqcr0lgKCFFSeta+htyJB7ePOE3MXSuL2Xs0hyZl7S02pg3vnSkG4HEWPbBMlT6lnbvX3xewsGUWtzHz9vKFSGw00U3JFjHUiu6kA8UqAhzolYXSeVlpphxSnqg4+giwQtCRY343GvDTsiJzNDpM/iirTs3My1PbkUIfemXjZKOom6tSEpuSSTpEtnjOCTdFOcaTMpBKN6kqSSOVgQdeHriI4fma7UK7OuysjIz7s1KpRNy817SgJGguLKN+RBBvaCs3gHOaeCG/dJDSEmdbpD1LplfoNcYqtOqiN5LvsjQiwPaeR1B1B0IinHj/HZr84c+2Yuyt0+pUqVo9HcoNOpVNkWy1KMyTpcSLBItqBawA5a9sUg9pPTWv8A8h37Zi0w4ktJJzQJAN6wXdx2wI5gRZLiyhHgpXHhRVEEWtKVT7SI2+8xWDUwpG6VJkdYlRCwe3yd0YYE3MYVrrmK8OOmn1cpLBnGOq4W1WzJJ53yjzCF/wB+ratf+ndV9KPVANqacbS1Ec7DuhrWt+8fkouAwOwSGSF5Dt5znfc781tKvU2vzM01MUjFT1NAa3amuhImG1G9yo3sQrgOPAHthoXQMb2UtnaTNpW42ULzUhpSQqxspA96bnhqDYDvjIn36tq1/wCndV9KPVHqdtW1Y8cdVX0v+EVfqWYfzD3/AAVoato4Ldcq6VNpQ4tSlpSMyyjLmNtTb+6DrjtEYPG2nar8uqr6X/CPRto2q3/p1VfS/wCEL1NN9Ie/4JvS28luGoyj00tpTL5QEG5AVa4jHX3QcEVPAwve0rULnt6zEMn36Nqmn+vVV9L/AIQzYhqtR2jqYdxzOO1pcgFJljNHNugu2YDy5U+YRebPMOCYjHXTZtZfIa5tI425qmx2mOL0ElHEbOdbM6ZEHh4LadBZZXTpREy2lbZZaJBPA5RrDyF7vq5EAp0FhwjFTe1vaUwgNM40qaEIASkB3QADQR19+PaidDjiqaafhYqpMLlkdvXHvVoyoaxoFlsmWk5eUUpbRN18bmFFx2iMXHbDtPv/AE3qnpo6+/BtP+W9U9NHPqqU/wAwT+lMHBbRBAbUbjUgf3+qObjtjGI2xbUBwxxVNOHtsD78W1G1/ZzVuz8PDeqZfpD3pelN5LaSt0tGXcE68CTaOAhKCVNyqEnyGMYffh2oG18cVU+V6Pfvv7TiNcbVT0sN6ok5j3pzVM5LaeYjKLJB3ZHAcrwA6cqhmGrY7tYxZ9+Dafp/rvVNP+tHo2xbUBwxvVOFvwsP6nl+kPf8E/pbeS2gtxRCjvD708e6OQ4Sld3L8OffGMTtk2ogf03qnpf8IA2y7UvlxVPS/wCEIYPLzHv+Cb0pvIrYVYpsvUUMh9lRKk5QoKKTyuL314A27oPl5VmUa3LCUpSCTqu5JPEkk3JjGh2vbTSbnG1UPPV6PTtf2nfLaqemhxhE30h703pTL3sta4uxNJYQpPjWoMvvNqfblssuApQUskAnkBpxOnCEOBsayGLXZ5hiUmpR+nFkvJmEjXeZikBSbg+4N/KIynNbVtotQYdkp7F9QmJd9JbdaccCkrSdCCCNRBNN2j44w/K+LKHiSbkJRtRKWZchCATqTYDjHfqp4ZYkXXHpPfuNFtV1KQ+VrUE5Vmw7eUIKk5JlMyxUpSZmZSbYLLgYUpKwL30UkhQ8oIMZAVtV2kTKsz2NauSeOWZUn9UFO49xo6BvcU1Ny49/MqV+sxx6pfaxcF36UOAWmaxNUpsU6g0WnzkvLSmeYvMurcUS4oi11qUo6g8TzFopR4gzs0b3BmHbfpmIlK41xWte5Nemwhw5VhK7EjyjWJFJfgU+SJtPS+ii10Mv3zcpXcdsCOYEHukv/9k=</t>
    <phoneticPr fontId="1" type="noConversion"/>
  </si>
  <si>
    <t>data:image/jpeg;base64,/9j/4AAQSkZJRgABAQAAAQABAAD/2wBDAAMCAgICAgMCAgIDAwMDBAYEBAQEBAgGBgUGCQgKCgkICQkKDA8MCgsOCwkJDRENDg8QEBEQCgwSExIQEw8QEBD/2wBDAQMDAwQDBAgEBAgQCwkLEBAQEBAQEBAQEBAQEBAQEBAQEBAQEBAQEBAQEBAQEBAQEBAQEBAQEBAQEBAQEBAQEBD/wAARCACvAOEDASIAAhEBAxEB/8QAHQAAAQUAAwEAAAAAAAAAAAAAAAQFBgcIAQMJAv/EAGYQAAEDAwIDAwUFDREMBwkAAAECAwQABREGIQcSMQgTQRQiUWFxFTKBkdMJFiNCUpShsbPB0dLUFyQnMzQ1VFVWV3J0hIWTlZYlRGJkc4KSoqOywsMYGVNlg7TwJig3OGN1dsTh/8QAHQEAAQQDAQEAAAAAAAAAAAAABwAEBQYCAwgBCf/EAEcRAAEDAgQCBgUHCgUEAwAAAAECAxEABAUGEiExQQcTUWFxgSIykaGxFBUWQnLB0SM1UlNUgpKy4fAIYqLC0hc0c/FVk9P/2gAMAwEAAhEDEQA/AL1ooorjSuiKKK7GGHpLzcaMyt111QQhttJUpaj0AA3JqU2GBoS0ajYsmtrm9MuWSX7Zbkl3yUJHMQ+tG6l4H6U1zL9ON8WLLmVMWzXcG3wtkr0iVH6qR2qPLw4nkKhMczHhuXGQ9iLoQFGEgndR7AOfwHOmC0WO83+T5JZbZJmu+IZQVBPtPRPwkVP7ZwD1XKYVIuUyFCISVJZSrvXFHGycjCU56ZycVMr3xb0xw+0s28NLyba9K820WZSENSpmdgtTSMqaRnxX5x9GdqXcIBxUl2tV54j3BtoSxmLbFRQl+OnmJCnHM82SD705OAnJByKN+F9C1rZWny3Fl694AnSFHmExKjHMyBy47ULbzpScvLsWOGogkSSBJSORUTAE8hBPPhvWSLlq25wJ0m3rgw0uxnVMucr3epCknBAUnY4PiKQK1leicjyZI9Aa/wD7Whe1Bw0sjtsXxEZukW3TYyUMLiqbbQJxKvpVABSncEnfOQPDrWaGLVdJUORcIttlPRIieZ99DKlNtDIGVKAwN1JG58RXQuXOj7Id9YJfawxocjqBVCuyVyT7ffXPeZs553w3EFWzuIOHmCkhMp7YREcP7FSSya0SZrbN9iByO4oJU4w6GVN5+myoKTj249tW1btBWfUxZY0dri1zZ78dUkW2StLclCEnBz3alo223zggg1nfpudsVc/Zun6Ws+vW7LqmyuRL0tZ9zZqnXmVodKd2HW+YJIUndOU9djnIxD5x6Fcn3Nou6trTqlpBP5IkcOenVpgc4HCpbJnS7mhq8btLq5DiFECXN4nlqCZk8pMT2V3X/SGpdLr5b7Z5EVGcB0jmaV7Fpyn7NM9bNdZafaUw80hxtY5VIWkKSoegg7Gqw1rwNs91S5O0qUW2Zuryc58ncPoA6tn2bequW8e6LLm0SXsKX1iR9VUBXkeB93nXTuFZ5ZfIbvk6D+kNx5jiPf5VQNc9KkjXDnWrlwVbl6cmIW2sIcUUgJSM4KgonBHjkZpbrnQ1+t1+uMuLZpCrat9TjLyEgoKDv4HI8aHvzBiItlXSmFgJIB9FXMGTw4CIPYSKt3zpZl5LIcTJBPrDu7+c7eFQ2iiioepCiiiilSoooopUq5qR2XVNmtnL5Voa0TSn6dxTvMf9IqH2KjdFO7S9esXOsZie9KVfzAitD9u3cp0OTHcSPgRVz6w1rYo+mrFJe0rCuCLlHLrMd4gIjJASCBhPpONsdKqm7XSFcV80TT8C2jOcRlOH/eUR9iuLjdnJ9vtUFWcW2Otkf5zql/aIHwU31OZizG/jT0qjTpR9VMzpTq3jV608/DaozCMIaw5vadUq+sqI1GNpjhHKiiiiqxU1RRRRSpUUUUUqVFd8KFLuUxmBAjrfkSFhtptAypSj0Aro9ZNXdw0s2neHtgka31fOjxZZiGUUOKy5Ehkgc3IMqyrIyQOhA9NWXKuWrnNOIJsmAY4qIEwO7vPADt7gahcfxtjAbNV08R3AmJPf3DiT2U5ab4TPabs55Lu1Aucls+W3VCQtyI19O3G5vNQrGcuqzjqAdsUxF4gT5eq2NAcH7HZmElww7TOSlbi44WD5RI7xQBWtaRlTqhkJSQnrkzTjzxxsb+inNLaZkSvdK9ICJCHWFsuRoitzzpVgpU4nAA68qiTjIznjR+sb5oW8+7+nXWGpwYdjocdZDgQlYwSAds7bH7Bru/ImTEYVhCm2mQkCdCFbAmPXXzVJ235auSq40z5nJN/i7f5UnhrWkyQJ9RHJMDfbnp5pEaxiaY4W8IZydW651UiZqOUkE3K7Pc7yjjBLDKQShPgMA4G2a7NX9pDhxp2zJn2W6NX+W+CGIsNeCDjq6VAFtPwE+gVjm6XW53u4PXW8T35s2QrmdffWVrWfWT4eroPCpJrW7cOZ1qssLRGm7lBlw2eS4TJjySqSrHilJKc82TzDG2Bj0TpyY2480q/cW6o8YgIAA4doHIafICoVOe3WmHkYa22ygcJkrJJgnsKuZ1eZNJ9f8Q9ScSLz7s6ifR9DT3ceMzkMx0ehCSTufFR3Pj4AIbfqPUrVjk6Mtk2T5BdZLbz0NkFRfcSMJGBuc7HA6lKT4U0JStxaW20KUtZCUpSMkk9AB4mtUdn/AIWyeHNtuXELXsdiBIVF5mW30jvIMdIKluLJ94pQwOUbgDfc4qw4ve2WA2IGgGI0I7SDtHHgd5+81WcEsL/MeIKPWKEyXHOxJG8mRxGwE+4Vmi96Y1JpwoRqGwXG2F1IUgyoy2woHoQSMVcmiNT3DU3EaDq7SsG+xNQzY0WPeG121EuA8khLfflQWhbbai2CSBsQcE9DovyifrfQq5EW2C2SLpEUuNHu8dD6UZ3bLzQJBChglPUBXpFNnDTh5G0jZrVInQWWr7Gt64Elcd4lnkU+p4oSOnIFKPLtkA4qj32b0XlqsXDQDolEAyCDxkEREpHM7wduZAw/JDlleI+SvEsqhckQQUnaCDOqFHkNpG/Kat94W098Ec+BzcmeXPjjO+K+seqjejehxRVpi1XpC2ariIblczEqOeeLLa2cZWDnY+KSRuk7H271nbifGu0XW10Td2ltl14us8xJQpo7JUnwxgfAcg71qaovr/RjWr7OpthDKbnGClwnnG0qCVHqg8wI5VYx6jg+FUTO2VRjlktdrs6CFGPr6QQAe+CYPgDtwtGWsd+bLlKX90GRv9WSNx3SBPtG/HK436b+yu0RZRCCIzx7w4R9DV5x9A23+Cu5+Rc4y5EGQ8+youKTIZzy+fnCgpI28MYrpVKkr5eeS8rk95lxR5fZvt8Fc2lLaTBmfCPvNGQFR3EVyYcxKy0qG+FpHMUlpWQPSRjOK6T5pwrY9MHY13NzJjThdamSELIAKkuqCiPaDmmfU2p9SWe3pZtsxaIz61d9zYWOY+GCD13yeu1TuWcvOZrxVnB7NYS46SAVkBMgEiT3xGwJJgAEmoXMWOt5Zwx3FbtJU22ASEiVbkDYefMgASSRX1cr7brU62zLcWFuYOEpzhOccxPopBqTUUm0OR24bbLgeQVlSsnbO2MGme+arYv8WIxKsEJp6PypXJYBQ6pAO6Rg8u/pUknP2RrTr+oZaTp9Msw1crbAnrSXAfFA5NlAHYEAZ9ArpzA+hrL2VrWyxrNqg3o6wPIdUlSFqMpb0FB/eCfSKh2RXOmNdLOO5kuLvCMrp6zXoLK2kqC0JEFesKH7pV6IT3zTvedUiFGiPQkNurkp7wpWThKcerxyfsGnAXqIzbI1ynuJYEhKTgZO58B4nFRmboK/wHXGHUNd82eVbSsoWk+ghQFM09u5R1IjXBLyFNJ5W0udAPV4Y9le4f0S5CzUxbYdgl+ha21rU6pJh5aDqISEKJjT6I1FPAE8TFY33ShnfLL9xf4xYqShxCEtJUJaSsaQVFQAnV6R0hXEgcBNWa060+0l5hxLjaxlKknIIr6qHo1g1CjRIdtgqWhpCEr7zYn0hIHjnxqXoVzISopKcgHB6j1Gudc45ExbJq0OYg0W2nVL6vUU6ylBiVJBOkwQfOj3lPOuF5tQtuxdC3GgjrNIVpClCYSogSJBHlXNFFFUmrhRRRRSpUUUUUqVfK73A06UXe4REy0sKCm4qjhMhwbpQojfkzurG+AR1NQ5/iBq2Td7ne3rsVyrw807OKmkFLwbcC0NkEHDYKU4QCBgAHNGtpfe3BmGk+bHb5lfwlb/AGgPjqO19A+gvJVtgGVWr19sF66AcUSJ9E7tp8NMK+0T2CuGumfONzjWZXLNhwhm2JQkAx6Q2cJ75lP2R3mVl4u06/Xabe7m73su4SHJL68YytZycDwHgB4ACkdFFG5KUoSEpEAUG1rU4orUZJ3NFTLhPoSFxG1SvTc24S4STCfkIfjsJd5Ft8p85JIynBOw3JKfbUNOcbYz660Nwd4iWB+bZ2LhPjacsmjoiu4Sohcm4SnUFDi3SlHvMFRwnx5QScbQ2P3dzaWS12qSVQdxy222gySYER2k7Cp3Llna3t+hF2oBMjY8FCd5MiAEyZnkANzVW8Ir9aNKcS7ReLxCfnRo77jaENMFx3vVJUhpaW+pUFFOB1BPpFad1vrTTOp+Eern9R2yTCbgretsmC7ISHky08qmUBbainmKlNqwCcbg9DUdidn5u58VV8R4d3RAsZmMXeCww2e+ddIS4rIUAG0FeTggqwTsKnd+4LaH1JJjLuzNwchRXFPItqJqkRFOqUpSnFITupaio5UVZI26UPMdxjC7+9YuiVakhJMcUkHVp5Cd4J5HsiCTsu4HjGHWFxaBKdKlKACohQI06uZ07SAeI7ZBCPghqHWOsNIQ9QapIYQW0sxUNIQUym0pCS+tRKl8xUlWR5oGOhzmrHpHaLRbLBa41ls0JuJChthphhvPK2geAzv40sqj3z7dzcLdaSEpJMAchy/rRBw63ctLVtl5ZWsASTvJ5+XZ3UUUVH7XrmwXrVd10dbHXn5tkbQuctLX0FpSjgN8/ivqSAMDB3ztWlDLjgUpAJCRJ7hIG/mQKcOPttKSlagCowO8wTA8gT4CpBRRRWuttULx50km3XZjVUNrlZuJ7qTgbB9I2V/nJHxpPpqqa1bxEsI1Jo6520ICne5L7G24db85OPbgj4aykDkZHjXNvSRgycLxgvtCEPDV+9wV74PnRjybiJvcP6pZlTZjy5fh5V0zEyVxHkQ1JS+pBDZV0Cqr2ZPvTbbtqnyXuUEBbbhyRjcb9cVLdTt3xbbKrOXQlHMXQ0rCj0xt4+NR7TTCrnfg7OUp5TSVOq7zclQwBn2feo29C9rZZeyzeZlv/k77TYLuiAp9txskIBJkI1QSnmCQQeNBHpduLvHcxWuXrHr2HFkNa5KWHG3ACsgCNWmQFciAQRwpkUhaDhaVJJ3AUMZ+OpdpK+RRGRaZS0trQT3SlbBYJzj27/DT5d7Wzd4ao7oHOBlpfihXh8HpquW4sh6SIbbJU8V93yDrzCr5h+P4F0/5ZubHEk/JXGCFn0gdGytLgJCQUxqCgQIE7j0VVSb7A8a6DsxW95h6vlDb4KB6JGvdOpsgFRCp0lJBMmNjumrngSYM2QWdRPyVJcbSy1KCytUbHvSUn36PAjqB0pnuduhyw9AklqS2lRSFoOQcdFJJ3HpBqEOydUabDbbz5Da/eBRDiNvD1V9P651DIjNxFSGkoa5uTlaGU825x7aENl0FZkultX+AXzDrYVLb6HFA7HiSkGCkg8Cog+jMcCtedNWX2EOWOOWT7ThELZWhJG44DURIIjiEgjeO1uVz2O8qCQ28qG6QOcbK9B+z8dSfTV8ut2mOplMpLARspCMJQr0Z8c1C1LU4tTi1FSlHJUTkk+mnuzaiukUMW6Oy262lQHKGyVYJ36Uf+lDJDuPZdKhbtXF8G0oLrh0aAkalLRsQCVTAlI9LckDSQX0cZxbwTHgkvusWRcKw0ga9RPopQvcEgJ4mFHbYAnUJ5RXJ60rtVueu0pcSPutDDz5xvs22pZ/3cfDXz3abU8tLbYknYDxru1a0tpK1GAKR0UAgjIINFYVlRRRRSpVXF+e8ovc50Hbv1JHsT5o+wKQ19OLLji3FHdaio+0nNfNfWmxtUWNq3atCEoSlI8EgAe4V8vr25Xe3Lly4ZUtRUfEmT8aKKKKdU1p00zpq86wvcbTun4okz5fN3TZcSgHlSVKJUo4AABq6uz9pTilofigLfcNOXGBb5MdxFyU82e4KEgltSVjKVKC8BOCThSvDNdPZGsUabq68399IU5a4KG2AfpVPKIUr/RQR/nGr/wCKevWeG2jZmolstvyU8rUOO4vlDzyjgespG6lY3wD060OM0Y9cLvF4Gw2lYWkJ346lbgjeNgQRI2O80U8o5ctkWKMwXLqkFtRVtEaU7EHadyCNjuNoqXHOOZWemSTTZ88llGozpNU1Kbr5GJ6Y6gQVsFRSVJPRWCNwNxkZ61jvRWoNVcUdeJs2q9VyXLfc3H586K7KU1FeLTKlJRyAgBPmoTgfSj4alOgeIcfiLCt+lNVLmwtU6fiPP2HUFsAMgBloqU2tJ2VlCCDnzV435Tua3cZNds9XWL1aUgq0j1QZg77qAKTqgSBuJ4VaLbPbV8U9U3p1KITqPrFOmU7bJJChpJJBVKTGxrV1VBxL45/md8R7fp6UmO5ZzblSrhytFchLp7wtJQQoAc3KgbjA5smlGgeM0vVvC+dqeDZjd79ZUd3Lt8dQZL6uqXUg55UrTlXKMnIUkZOKctMWHhpxSttv4pzNF252dcGEqeXJb7wtuN5QpKs+aSkpIyR0AqKtrJGFvOKxRoqQmUEAidRG3EyBEkGN+U71M3eILxhhpGDvBLiocBIMaAYI2EEzAUmducbUycNe0lpziFqJnSztjl2ubM5vJSp5L7bpSkqKSUgFJwD4EbdabeJOltQcL9SXDjboy8DyJ1xp2+Wd0lKZKSpKFFJ6EkqyAcFJJIOMirXss/R1zmSI+n3bTJkWgpad8kQ2oxisHCOZIwCQDkA+2lt6slo1HbH7NfbezOgyQA6w8MoWAQRn2EA/BSGI29ne67dkoaUAFoJ1SkmTxA4iCOYO4NL5qub7D9Fy+HHkkltxI0aVAQPVJBgyDyI2Imk+ldU2XWdii6j0/KL8KWCUFSeVSVA4UhQPRSSCCPvU7Ujs9ntOn7axaLJb48GFHTytMMI5UJGcnA9ZySeppWtaG0lbi0pSkZJUcAD1k9Kg3urLiupB0yYnjHKe/tqxMB0NJ68jXAmOE84nlPCm7Ut/g6WsM7UVzSsxLe1373IAVcgIBIz7c1lPUkFFs1Dc7c2QUR5jzaCOhSFnlI9WMVofjcnm4SatQR1tboI+EVmKJc37zDjXKT+nPMNhw598pKAjPw8ufhoYdLmGJVgNtiY4peU35KRqH8p91XDIGJqTjr+GHgWQ4PJZSf5h76ZtUPX1sMptCXi2tKu8LSMqByMb+FMWknFxr/3MhKkLcQttQVsebrv69ql92emR7c+/AbSt9CcpBGfbgeJx4VAXW7zEeReJLD6F96FB1xOMq6/eq19EAbzNky+y+tFuz1iVspXIS866QVJKx9ZKdQAMztAGxNUXpU6zLubrPHUKfe6tSHVJgqZbbBCVBJ+qVaSSIjeSdxVk1A7rIVZ9VPS2EBRQ4HOU9DzJGR9k1LYF8t8+IJaZDbeBlxC1AFB8c/hqBXiam4XSTMb944vzM/UgYH2qi+gDKuINY/idli1upLPUKadSoEAlSk+ifFIXuDw3B3FSXTjmaxdwPDrzC30qd65LrakkEgJSr0vJRTxHHYjY0vvV9f1CWIcaEpACspQDzKWojFSXRGhobl/tfzxITJZdltIdig+YpKlAEKI3PXwxSbSFoRFhpuTqMvyBlBP0iPDHt6/FUts8ObcLpFiW1YRKccHdKKuUJUN+bPhjGc+GKa5y6Tzle4GTciJ6i1YWUqUmVLcXq9MJUokgapEzqJ4EJgF1lDo5GZGfpbnVXXXLyQpKTCUITp9EqSkAE6YMRpA4gqkiDa30vBsDzvkJWkNynI5QpXNnBIBGfZTdpy/v211EFuO26h90DrhYJIHX71d2r72q83AtMuKebZUpSnBlXeuH3yvWPX7TTpo64CYwqEuG2DFSOV1KRgjwB/wqJGJXOJ4f0XJfzZam8KiVLS45oW2haj1SlGNSlAlO0hQmORofWDGG33SSWcr3ItAPRQpDepDikpHWJSPVAICt4KTE8xUlPWpDpfWV3066pLM95MYsPIDQwUhZbUEK6eCuU1B7/fUWhoJSAp5fvQfCm62tXq9RPdBF7S0SogICSeUj077VzXgGSsTZwxGaLm5TaWxUEocVrOtW+wS2lR0mDuYG1dDYznKwOJKy7asKurgJKlISUDSnbclakidxsN6mE64z7m95RcZbkh3xWvGfsUmpii3S4W6ai3XsJPefpTyTsr/166faq+YsBvcDfQbpYcS6NSHEq1JcTMSFc4OxB3B2Iqw4DjlpjTKvk6ShTZ0rbUNKkK4wR3jcEbEbg0UUUVXqnaq15Baeca+oWpPxHFfFL78wY15ltYwC6Vj2K3+/SCvrFhF+3iuHsX7XquoSseCkgj418w8VsV4ZfvWTnrNrUg+KSQfhRRkDcnFFaf7OfBKNEgscQNX29t6VKSl21xXUhaWWiMh9STsVqHvc+9G/U7asZxhjBLY3D2/IDmT2fieXup3gWB3GP3YtbfbmVHgkdv4DmfbSfs0cHu6ah8T7644HHOZVripUUgJ3SXnMdc+dyp6Y3PhifXrs68P9RXVd1vMvUMtSlEpaeuzi0NgnPKjmBUlPq5qs8AAbDFc0ErzMV/dXi7xLhQTsIPBPIeXbz3NH6xythtnYosVthYTuSRMq5nzjhyEDlVWyOzNwefZSynT0pkgglxu4Pcx9RySMfBWa9Xo11oF286ft9v1Dp3Tc+cvuWJSCOdPQJ74DfmSBkJVhQxnOK3NSW6Wq23u3v2m7wWZkKSkoeYeQFIWPWD9vqKfYTmu5snD8tl5BjZSiYgzImRP9yKj8ayZaX7Q+QQwsTuhIEyIhUQY/sg1gTS1n1xdod3a0fb7nLjiMgXJENJUO6CwtIUBufORkAb7HHjSNg6pdbRp+N7srbkrwmCjvuVxZPg0NlEn1Vz80H17qXsvwtHaP4I3OTpqFqx6dc7u7HkOGRIMfuW2mQ7nnbbHeqOEkEnGTjIOabZ2pOJbkZiTO4ga0DykBRCL2+sDI8FFYNT7/AEiIS8vqrYKTsQSYMxxOyge6OVVy26L3F27Zeuile4IA1JieCd0kbcZHGvULsz8PNU6EsN4Xqi0qgPXOSw4wypSVKDaGzuoJJ5TlR2O+1XKUrxslXxV45Ru1frRrHe651urH/erp/wCZTrG7YOoWsd7qvW6/5yWftu0PsSxN3E7pd28AFK4xw2AHf2UTMKwlnCLNFkwolKOE8dyTyjma9K7zrrifpXUdzt87hpM1BbJDpVZplox5qSAEtyAc8pB6r228CKqLtLar4mwH4ujNQ3C2Itc5gScW1tbflISrBS9zknAUNkg8p2PqGRo/bRnt472/a3V/L1H/AJtczO11pi8PIkaggakuTrSO7QuUW3lJTnOAVOHAyc4qWwrHrawum7hy2SdI3jiTGyhJIBHExxPlELjOW7vEbRy2au1DUdp4AE7pOkAqB4CeAEds6m4d8RbleuGWv9G6nvr0os2JUi3KlvcxQhA5VNpJ3O5bIG5qO2RstWeEgjBDKSfhGfv1n9ntW8MED6Jo67q/k0c/8dOTfbG4ctpCBpe/gJGAAyxsP6Sqf0m26M8WabSwHUjrQ4ZEiQjRtEcZJNT/AEe2z2ULo3N+vriGy2CJBgr17z2RA7qvzeozqu2Xm5yo7UVvvI+DgA4CV+JV8HT4aqpfbJ4dnppnUA/8Jj5Skj3bA0G5nksGoE/+Gz8pQ9yhlDFcmYsjGLN1pbiAoALQogFQInZQMidiD3c6vGasVw7N2GLwq7S4htRSSUKAJ0kGNwRBjeR38qnF1tirVM8jddQ6sISolIO2fDekm1V1N7Ueg5binTp68lauqlNMkn4eemmZ2kNJSVKWm0XnmVuSUN5/366XwvpFct7NlrEGy46EjWsQkKVAkhIEAEz4bVzxiXRal+7ddsXg20VHQkhSiE7wComSQI8d60RbNZRI1vajyYrxcZQEAoxhQGwPXakM/Vd0uLnk0Eqhtu5aIQvClhWxCleAOcECs3yePlidz3MO8Iz/AAB/x01SeNkZ05aVeEHwPeAf8VULD8LyVhWKLxm2w4l8qK0laytKFEzKUnbY7idx9UirvfIzjiWHIwm4xJIZACSEI0qUkCIUob7jY8jzBrUdtgXmyX1hvyNSlLPKeXdC0eOFeGOvwVOUNNNlRbbQnnOVFKQMn0msz8GeImor1rWyJVe7i9DuanGnWJT6nAU8iz0JIBBSCCK01QG6YcexDGcSt1Yi22l0NAKU3qAchSoKkk7QeA34kzwCS/0Y5cssv2L7dk4tTRcKkpXpOiUgEAgbzzO3LaZKmJtlmTqeUiW0hzlY+hpWMjqM7eymJ5tFluNxYhzpLD6VJ8laaGQ5zb8p9OM4qSXi2ynHm7nbFhMpkYwRsseg+mo7AkSYt9cuV3hPOuKCsciR5qtgMA+raiTkG8+crB6+t3g40m0bQq11JClPMqSUjQ4lSOrcSFalAEw4sAaoNDXPFp833rNk+yW3FXTi03OlWkNOpUCdSCF9YgkaUyBKEkmJFfN0hai7ti43Z0KCVhKU8w5kZ9QGPCptGKjHaK/fFCc/FTKlmdfpTT8tgxoTCuZDRPnLPpP/AK2p+9lDXpNzIvFLKxwu6Qyh9nrCpLAAbbCyClsaSUlQglWkxJjcySQujrLycNvL3Erdbq2XtASp4krcKQdThkBQSZATImBOwgUUUUUH6K1RXWtuJ7q6tp2GGXfV9Sftj4qilWk/HYlsORJKSpp5JQsDrg+I9Y2I9YqtbjAftc12DJA52jjmHRaTuFD1EYNd3f4d86IxvL/zE+r8va7Acy0T6J/dMoPYNPbXFnTzlFeD4589MJ/I3O57A4B6Q/eHpDtOrspOEqWQhGOZR5U56ZPSvRHStnGntMWmw8/P7nQWIpV9UUIAJ+MGvO04IIz1rcnBHiTE4iaMjOOPJ917a2iLcWc+dzgYS6B9SsDOfTzDwogdIjDzlqy6gegkme4mIPxHiR21V+jC5t27t9lZhxQGnvAnUPHgfAHsqwqPXRRQko10UUZoyKVKvM35sN+vvCz+JXj7rGrEML9Rsf5JP2q2982G/X3hZ/Ebx91jViKByiNGKwSnkRzAHBIwM1oVxNOB6oqRRb/Y2IzTD2h7XJcbQEqeXIkBThHVRAWACfUMV2/PLp/972z/AFzJ/HqT+7/Z3z/8MNd/2tj/AJJXHu/2d/3sNd/2tj/klYDG7pIgMH+Bn8awOHMkzr/1LqGx7zamQ4HdKQH+d1a0lbzw5Ek7IGFdB0Gd/TXb7vWX9xVs+uJH49S33f7O372GvP7Wx/ySj3e7O372Gu/7Wx/ySmZvXCZ6hf8Ao/505DCQI1j3/hUS93rL+4q2fXEj8ej3esv7irZ9cSPx6+pEzQ6581yNp+8tw1yFKhtLuSFONM4HKha+7AWoHOVAAHPSvnyvRX7RXf8ArBHydPUnUAYitJ2pmdWlx1biGktpUokISSQkE9BnfAr5p78r0V+0V3/rBHydHleiv2iu/wDWCPk69pUyUV9yFR1SHFRG3G2SoltDiuZSU+AJAGT68V10qVc0VxRSpVd/Z5d/9t9JN/8A13B/qOVswdKxP2eXf0RtJN5/vhz7m5W2B0oB9Kv52Z/8Y/mVRVyP/wBgv7f+1NFBAPUA0UUMeFXPjRRRRXlKiiiilSpysUKNKfkPzkKXFhRXZLqQogqwOVCcjplakj46jOoLGL1ET3QAmxwe5V07xPUtk+3dJ8CSOh2kbEFK7LMuZeWlTL7DAQOigsLJz7OQfHSCrVlzMuIZNv7bFcO9FxEntC0kwUq/ykJiOR9IQYIruYMvWOa7B/DMQGptcDvSQJCk/wCYEzPPgZEiqrUlSFKQtJSpJKVJUMEEdQR4GnrRusr/AKDvzGotOy+5ktZStChlt5s++bcT9Mk/YOCMEVIdQ6cbu4MuMUtzQNydkvAeCj4K/wAL4/TUGfYfjPLjyGVtuoOFIUMEV9CskZ8wXpGwwvWhGuIcaVGpBPaOaTyUNj3GQOEM4ZKxjo+xIN3E6Zlt1MhKo4QeShzSdx3iCdW6U7Wejri0hnVtpm2eTsFOMJMlgn0jGFp9hSfbUwX2heDiEtr+fVhXeKCcJjPkp9ahybD11h+jNOH8gYU8vUgrQOwER7wT763W3STjDDehwIWe0gz/AKSB7q9GLbe7NeYzMy03aHMYkDmaWw+lYWPVg70trzjtTyYlziSjKeihqQ24p+OnLrQCgSpG4yoDpuMmvQ6x3m26itES+WaYmVCnNJeYeH06T6R4HOQR4EEVQMy5aOAFCkrK0rnfTERwEyQZ8uHCiVlPNYzKHErbCFIjbVMzxMQCAD48RvXm382G/X3hZ/Erx91jViGF+o2P8kn7Qrb3zYb9feFn8SvH3WNWIYX6jY/ySftCqcrjV5Hqiu6nK0J00Uu+77t1QrI7ryJDShjx5ucjfpjFNtFZtr6tWqAfHhWC0606ZjwqSJY4erzyO6qVjrysRzj4jTbd41oDrfuA3dlt8p7zy1lCVc2duXkyMY9NdEC9XW0BwWy6SIfe45+6cKObHTPxmlfz6ap/dPP+uTW1y5DidOhI8Bv8a1oY0GdRPif6U2dxI/Y7v9GfwUdxI/Y7v9GfwU5/Ppqn908/65NHz6ap/dPP+uTTat9LtHt6CQ/LVxFiarMcNp8lNj8nSoLz53eF8EcuMYxvnrUm5+zT+xuK39Na/wAWoRI1TqObHciyr/NfYdTyrQt4lKh6CPGmymjtp1qtWtQ8DAral3SIgeyrK5+zT+xuK39Na/xaAvs0ZGY3FfGd8PWvp/o1WtFa/kA/WL/irLr/APKPZX2+WO/d8l7zuOdXdd5jn5Mnl5sbZxjONs5rrormn42rRVqdnl79FXSTWf76c+5OVuYdKwZ2eXv0ZtJNf4259xcreY6CgH0q/nZr/wAY/mVRVyP/ANgv7f8AtTRRRRQwq50UUUUqVFFFFKlS+IzNkWmf3MgCPGLL7zPivKihKh/B5t/4VIKUwp8i3rdcj8p75lbDiFpylaFDBBHxEeggGvq422RbHW23yhaHmkvMutnKHUEe+SfHfIPoIINOlp6xlK0A+jsrsEkkeAPCO0TzrSk6HClUb7j2Cf77PCklJLlaYN1aDcxnKkjCHEnC0ew+j1HaldFbsLxW+wS6TfYc6pp1PBSTBH9DzB2I2NN8Swyzxi2VZ37SXG1cUqEj/wBjkeI4ioPcdH3KKSuHiW34cuyx/m+PwUxuNrZX3bzam1jqlYKT8Rq1KjWsNd6D0kuNE1jfIMRyacR2HkFxxzfGQhKScZ2zjFdMZP8A8R+NlSLLFrL5Ur9Jr0VnvKQClR8NArnnNH+H3CFarrCrs24/Rc9JA7gqQoDx1mofWvOykbueHDqpdxjPwBPdTDZRkuxz1cSs5xgk8yRjO5Od8DLVx1dwkiRnZs6eiMyyOZxYjyEhIzjPmp+9TlpTjvobhjKbvFj1hPtrc4DzJMCb5NLAGR5q2glexyCNwDsd6JeY+lC0xbDzauYfdtOSFALY7OwhRI8Y7uZqlZX6NMQwPExdpvLd1uCklDx5xxBSAfCe/kKhPzYbHu7ws/iN4+6xqxDC/UbH+ST9oVpftwcQ3+0Xc9IyrJqK0zRYWJzLoLa4ndl1bRAwtGVfpZ9mKzrKs1wsiWItwaQFFpJSttwONrAABKVp2ODsfEeOKp1ndi9ZD4QpEzsoQobxuOXaO6iRcMfJl9VqCo5pMjyNdFFFFOa0U8aZuyrdLW05dvc+M8MuPCCiUcgHlASr05PQ1J/nhtf74D39mW/w09dnbhHw/wCM2pJOk9X8VG9G3FfdC1JejIW3PUebnbC1qSlLgwnCSfOycbjFa7svzLvQUaUF6i4rajnNA7sxYEeKT6itRWR8VbGLttBLamgojmdQ9kKANa3Lda4UHCO4afvBNYfumqPJ4veWjVyp0jnA7pywtMjl8TzHPTbbFMw11qIkpE+MSOoENjI/1K9U9KdhTsyaXKFnh6q+Ppx9EvM56Vk/wMpR/q1jjtdcW+E2pL3+ZTwyiRLFpXTclSZKrHZ2ENXOajKSvnSUlbbfnJT4FXMrfzaTq0uKlKQnuE/eSffXraC2mFKJ8Y+4Cs52hVo1DqNtWttQv2mE8lXfzottElaClHmAMIUjOSADgjGc71LvnS4B/v3ag/sS5+U1EPJdFft3efrBv5SuUxdElQBvd5xnf84N/KUyet1uqlLqk9w0/wC5JPvrehxKRBSD4z9xFS1WlOACdlccb+Pbopwf/s1x86vZ/PTjlfv7FL/Kara96t1bD1O1pTSl2hWmDFs0OUSLVGeckOOtpWtxxTiFKKiV+nAAAAwKd7Rd+KEKQF3Kam5Mn3zbunY6T7UqDO32q1psH1eq+s+SP/zr0vtp4oT7Vf8AKunUTGnoN5kxNM35272xsp8nmSIfkjjoKQSS0VKKMKyPfHOM+NN3eI/7RPx1YLPEO+RAhErTEdXMeVIXaIyeY+gZY3NOkfik+1jvuHcR322yOP8AkU8CFNgJVMjt4/d8K1SFbimLs9SUfm8aSa50/q1Y6/4u5XoGFJwPOHx1i+z8bGrJcmbxb+FUePPjq52pTENht1tWCMpUGMg4JHw1Kl9r/V7KC49pq5ISOqlPpSB8JZodZwyTcZlvEXTToQEp0wQTzJ5eNXDAMyNYNbqYWgqkzse4D7q1NzJ+qHx1zkekVlFXbM1ERtZZQ/ljfyVJ3e2JqpfvLfLR/Km/kqqf/Se8/aU+w1O/Tu3/AFJ9orW2R6RR13FY7e7W2unlAMuzGskDZ9o4/wBnWkuEuqbrq/Rjd1vUkSZSJkiMXigJUtCCkp5uUAEjmIzjoBmoPMOQrnL1kb1x5KgCBABB3qTwnNLOLXPyZDZSYJkkcqmVFFFUKrRRStue8qK1bJLy1QkP99yJAKkE7KKCemR4dCQM0korNDim50njx7x2HurFSQvjTjcLbEYbTKt11YmR3F8qU/pb6CegW2entBI9dIpEeREcLMuO6w4OqHUFCviNddL3L7eXYSrc9dJLsZWMtOOFadjkY5s4+Ct6lW7hUogp7ANxPmZA8zHfWsJdRAB1ds7H3CPcPKkNY37VEN648cLdbm5saL5XaYbAelPhlhoqdcHM4s7IQM5KvAZNbabvSExkxnrHanuVHIHFRylzp1KkqGT6zWSO0rqXQlq4kMwdT8MGtQSfcphYmi+y4TgQVrwjkbyggEE5xneiB0aoQnGj1a5ltXLhun++NVTOSlHDfTTHpjnx2NVsOCl2T04s8LR7NYsfi02ay0fqHStqYnzOJOlb22HksNxrRqVM95vKSebuwPNQOXBV4ZAro0bc+E41TIVrzSV5VYJklPcpt14Ul+2slR5ju2TJITgAHkzjOd6sVzT/AGSVaoZuLN04nJsCWeV21qshU845ynzxKCwUjJSeXuz0xnfY2LW9bLHWrKh3Nk+9MxQyAQ4k6Ux4qH3xVIe6dxzny57/AEqc7m6ZGlrY884tb/lclJKjnzeVv7OalfFBPCRF3gN8JNH6k9y43K9MkXh98OSt/OZ5OX6GkAe/ScnmOw5d5xpjgjfu07oiZG4O8JtE2I2iWG35s7UlxMmOXOVYDXeKU2sKCFJUVIOBjGCc1JtqDiQoDj2gg+w7im5EGDVAHYZOw9ddsOJLuElMK3xH5chZASzHaU64onphKQSfirVsXsVdqi32RFkteh+BEXli+SOTfJm35jo5OVTinn2lkOEZJUkDB3GNqQWHsTdunSunhpTS/Ea0We0hxbpjW/VTkYKWvHMVKbaC1ZwOqqzg15A7apHQvD2LqRVzXqW7Q9PxLU6hmVJuVwZiBhZ5soLKwXnF+afNbbUQQc42rcnYb43y71rW8cFBry7avslrtZm2e43OP3bgDS20rQgq+i93hzzUuZI5cjAPLWYHvmaPagkvrlSJujnn3FFa3XNQLUtaicklRaySTuSetWt2Yexz2muz3xUTxKXD0bcfJ7PcoaIgv6gl555ghlKz3WyO9DZUevKDjelBpbdtXd24u01a+Gen18J7DcZiNSahiEzX4CkB22wV7Zyr3rjoylPiE8yvFNeYsoQxIcEBLwjA4aD2OcJ9fLtn2Vo3WXzPrtfcQNVXXWurr1o+4Xi8yly5kld+V57ij0A7rzUgYSlI2CQAOlM//Vk9pz/t9F/16v5GlBr3btqha5HWr4PzMvtNjq/ov+vlfI1wPmZnaaBz3+i9v+/lfI0oNeQO2s5XHfiW7/8Ajtt+4tVdGntH8UtR2WLe4PE+wRWJSCpDM/W0eLIQASnC2nHApB26EdMHxqrdf6Dv/C7jleOHmqVRTd7BZbdElmK93rPeeTsq8xZA5hhQ3wK+SlJO6En14rFbly2ItnNB58d/YRWPVsrP5VOr+/A1b0jhPxRlrZXL4naLeVHX3jJc1/CUW1YxzJy5scZGRSC/aG4ladtyrnL4jacktpcba7uDrSNJeJWoJBDaHCogE5J6AZJ2qH2m3aNmtMMyZN+VPcGFMxIDTqebfZGVhStvV6a5u2lXm5CBYbNf32Sjz1S7aW1hWTsAnIxjFeOWt/s88+lXCdpV/OSPZtXiHrcHqm2yPcPhTj3Gu/3XNf18j8ekd3Z1Yi3Oqueo25UbbnaF3S8VbjHmBRzvg0gj6Zu4kNGdYbq3GC0l9bcJRWlvPnFIIAJCckAkDPWpr7mdmrJ5dYcTMeH9wLf0+uK0vXAYIBSTPYCfhW5DZXwI8zFVpmjNWX7m9mzO+seJuP8A7Bb/AMoqvJ6YKZ0lNrdkOQw8sRlyEBDqmuY8hWlJICinGQCQDnBNJm5D5ICVCO0EfGktso4keRmuhJ85PtFbm7ND/lPDBLuc/wB1po+51hn11tXslP8AlPB5t3PW8Tx9luqR0l/mFX2k/GrPk386D7KvhVzUUUVznRdoooopUqKKKKVKisWdrxX6MTSPRYop/wBo7W06xd2rIc268eolptkN+XMlWOC1HjsIK3HXFvOpShKRuVE7ADrRF6MCBjaif1avimqjnUThoA/THwNUrt41KYCOItwiNy7fcLm4wsYQoT+UYBx0KwfCpLaOE3HazNutM8Db/J71QUTM0u6+U4GMJKk7D1U2a40nxPtFqZk6x4VydPQ3JKGm5Tmn1Qgt4g8rYcKRkkAnl8cequhEXVg4kaXwVn6og++fuoRqRcpVu36Pb/SPvpBKh8SGozzkuXc+4S2ou808EcmN8jn328K012RNXztEdmrjfqWyXNmFeLZAXMtq1lPMl9uG6UKSlXviDg4wayTK03foLC5U2xTY7Lfv3HI6kpTvjckbb1eHBoA9nfi2CAf7nSf/ACi6jMZxFWFWnylKZOpCY4estKfdM1IYdaC+f6lRjZR/hST91KbT2p+MMWGuPP4sXKZIW2lSHk6kbAbPiCOXc+rIxWtuxbxivvETQ+o5mu9WmdIt96EaM5OlIUsNFlKiAvbmTzbj21hSHrPUV6tsS9ayRqHUMeFEeYZjmY6ylaipI50utoPKMIwUAEHGc7VefZOkW2VpzVC7VZF2mKm8thuG5JXIUz+dkZBcWkKOTk7gYzjwpjmfHncv2K7xLWop07avR3IHGAqd/wBGO88S4wTDE4rcptlLiZ3jfYTw3Hvrf6b/AGLP69wPrlH4a5937F+3dv8ArlH4azngfUj4q+2WHJDqWGGS444eVKUpySfRQ2T0tXiyEptUkn/Mfwq5nIdukSXzHgPxq/Xdc6KjPKZkawsTTrZwpDlxZBB9BBVTfG1Xw/jMJYGv7O7y58967MrWckndRVv1+LFUzfbxK09HQ2dJW99TSAlS1wWlqUR4kkZJqO/mmL/cRbf6uZ/BRrt1OLaQp0QogSOwxuPI0N3UoS4pLZlIJg9o5VpBnXGg2G+7TrqxrHMpWV3RkkZOcDzth6BS9Go9PPNpdav1uWhaeZKkymyFA9CDnes32fW791khlOiralPiTbmfwU7XWHIZe8oegJjNyMrbSlsJQPSEgbDHoqt5ux+5y5ZJvGGg4NQBkkQCDB2Hbt5ipnAMKZxi4Nu65pMSO/u++vPrtgvMye29xKejuodbXHt5StCgpKh5HG6Edar2pN2if/mx1t/EYH/lWKctP8M7RfLNFu0jjFoCzuyUlSoNxnSUSWMKIw4lDCkg7Z2UdiKlbfEEu2bV26I1pSYAJgqAMbCo5+2LVw4wjfSSOzgYqLWiA5KkhSpyrelKStEgtOqGfQC2Cc9d/VTuuElo8rnERCCRnCkyx9tNTqHo2dborcKB2otAR47I5W2mr1NSlA9AHk21MesNFjyQXefx00TqSQ0pthDEa5SnpHIpeCRzsJHKnJUd+metO/l1gtIS2pRWY4oIHt/pTYM3IUStKdPcqT7I++o1MbSxFddZ16iUtKchlBkhTnqBUMfHTQm2XJaApu2TFJUMpUmMsgj0g4py+dmOdvnt0/8AXK/xKnMHidxgtcGPbLb2g5cWJEaQxHYZvj6UNNpACUJATsAAAB6q8eLwA6kA+JI+ANZoCPrk+X/sVWnuVdf2qnfWrn4tJlJUhRQtJSUnBSRgg+gip/8A9ILjslW3GLV+x6i7O/hqCzZsy5TZFxuEl2TLlOrffedVzLdcUSpSlE9SSSSfSaxZNwSeuSkeBJ+KRXqw2PUJ8x/U10E4ST6jWxuxVI8q4GMvZzm93Ef6zdY4cP0NR/wT9qtbdgtanOz3GWo7m+3L/ebqkdJf5hV9pPxqzZN/OqfsqrRFFFFc50XqKKKKVKiiiilSorEnawcWO0E0lt9TCk6cgKDoJBb/ADw952U7jHXbett1QnaG7KMDjlf4WrYOtpem7vFiJguqTG79l9lKlKRlIWgpUCtQyCQRjbbNXTIeLWmDYt196rSgpKZgnckHeN42qu5osLjEbDqrYSoKBjYdvb41mu4Kkw4j0iLxTcmutjKWGnpyVuHPQFQAHp3NdMiKma0lE7iMh9AIWEPmY4Eq9OFAjI9NWI18zyvjfXjkFe2zOflFWReeydGuunnrHGY4dWiQ60hpN0t+n7mmY0QRlaS5cVt8xwQcoI847DbBtdz1llagpDyU+AX94NDRvK+MoEKbUrxKfuiszXOIwxEUtrVzNwUVAFhAfBI9PngDarg4MO/+7zxjycBq3yN/R+clnNKG+wbck++4vtn+Z1/L1e/B/gvY+Eel5unGbg9el3R0uz35bKUpe8zk5A3kgI5cjBJzk5qsZrzpg9xhxatXda9SCAAoeqtKjuQANhU3gWXMRZvAt9vSmFCSRzSRwB76ynZb8u/WSNqXQOm7szD02hSvdG0t3dxtLgZBU4pzvimOoArzy8owskjGALp7Gmovnp05rO9KmrlOSdQIW6646t1SnDGQVcy1kqUd+pJJq3meFnDGO0WI/DvTTTSti2i1spSfgCcU8WPTun9MwjbtN2K32mIpZdLEGKhhsrPVRSgAEnA367VVs059tMfw5VmyypKiRuozABmJJJjsE1N4FlV/CbtNw44CBOwESSIngBThUg0lq1WknZL7VlhTXZCA2lx/mC2h4hBB2z47eFR+ihzZXr+HPpurZWlaeBgGPIgirhc2zV40WXhKTxEkfCKfrzqn3aKjItbLfN9Qs/fFMIj27G8dzP8ACT+LRRVm+n+Y/wBpP8KP+NQv0Vwj9T/qV+NLbZNj2tzvGYQWc589Q+8Kkc/iG9crC/Yn9N29bbyfNdUVqW0rwWnphQqH1DtWaW1NcrgzPsN6ZaShalqZkPPNp84JGMtg5A5dgQOpp3Z5rxXGCq0xG/DbakmSptKge70UyJE791aH8CscPCX7S11rBGwUQR37msJdqicjTHal1ZcLxHkMsT4EBUZYaJDqfJmhzD0jKFDPpBFRaycR9AstuJu1onT1qUC2pEoxwhONwQAc7+Nel9ruGt4UIQLrozhxfWhjlF1bkSOUjxAU2cGlQul18eCXBc/zav5Gi7hWc8Bw62aZN0glCUp9UkGABMFJH4VQb7LmKXjzjgYUAok8QDuZ4g15pXLXOhJsZKLNZ5UB4LBLjtwLwKcHI5SBjw39VIE3+2udJSfhUPw16fi7XEdeB3Bg/wA3r+Qr7F4mjc8CuDJx/iC/yenrue8vvK1Kuk+SSPcEgU2bytirY0hlXmQfiTXmGm6QVf320Pa4kffr5Xd4CBkym8epY/DXpzb57tsitwonAjg6Gmk8qQuK44QM598qOSevia48tc8rVOHAfg73y2w0SYrhTygk+97jlByeuM+HStf03y9+1J9ivwrP6NYt+oPtH415fr1DakbqkD4CD9+k7mr7I1755z4E5+/XqWbrO8OBfBkfyBfyFfBudyPTghwXH83L+QpfTfL37Un2K/Cl9GsW/UH2j8a8rH9fadQhSSuSSUkbM58PbW3OwfDlRezxbzJjraEm73F9nnGO8bK0JCh6RlKhn1Gr190rwDlHBXgukjcH3Nc2/wBjXOqtTcT9U2Z2ymxaFtiHQE99AcltuIH+D5m1VzNON4DmHDzZN3qUSQZKVHh3QKmMDwzFMJuxcqtirYiJSOPnThg+iiox7n66/Z9j+OTRQx+j+C//ACif/rcq6fOuI/sSv401/9k=</t>
    <phoneticPr fontId="1" type="noConversion"/>
  </si>
  <si>
    <t>data:image/jpeg;base64,/9j/4AAQSkZJRgABAQAAAQABAAD/2wBDAAMCAgICAgMCAgIDAwMDBAYEBAQEBAgGBgUGCQgKCgkICQkKDA8MCgsOCwkJDRENDg8QEBEQCgwSExIQEw8QEBD/2wBDAQMDAwQDBAgEBAgQCwkLEBAQEBAQEBAQEBAQEBAQEBAQEBAQEBAQEBAQEBAQEBAQEBAQEBAQEBAQEBAQEBAQEBD/wAARCAB0AOEDASIAAhEBAxEB/8QAHgABAAEEAwEBAAAAAAAAAAAAAAYEBQgJAQMHAgr/xABlEAABAgQEAQUHDAgQCQ0AAAABAgMABAURBgcSITEIExRBUQkVFyJhcdEWIzJSU1eRkpSW0tMYSFaBk5XB5CQlJjNCREVUVaGio6Sxs7QZN0NiZoKEsvE0NjhocnN0doOFwuLj/8QAGwEBAAIDAQEAAAAAAAAAAAAAAAMEAQIFBgf/xAA+EQABAwIDAwcLAgQHAAAAAAABAAIDBBEFEiExUWEGExVBkaHRFBZSU3GBkrHB0vAXIiMkcuEyM0JUYsLi/9oADAMBAAIRAxEAPwDDTHFeomE8TTWH5DLvC7zEohkJcflnFOK1NIUSSFgHdRihpkzXsdMztMwjktTai+hi7qqPR5qZelkq8UOetqVp34Ei14uOLcA45zGzWrdGy/wfWMSVBiWYmXJWlSbk06hoMtJKylAJCdSki/aR2xtU5EPJOw5ye6bJY6p1ZxEuuY2wrJLq8hUktITIvpLbq20JQhKwUrcWkhZJFu28fZeUeP8ARUssbbXzEBthsv7LjRebpKU1Fidi1G+BfOP3pMbfN6c+rh4F84/ekxt83pz6uN/FazPwvh+fm6ZU6nNImZLmueQG12AcSVJIUSEnYG9jtFtRnfgh25aqc+u3HS2T/wDKPHwcpKypbnhgzDUaX2jb2LqSYTzJtISNAdR1EXB9hGoWhnwL5x+9Jjb5vTn1cPAvnH70mNvm9OfVx+g7D+JpLE9O76UmamFy/OLauslJ1Jtfa57RFy5173Zz45iN/KqojcWPiAI4laDDWHUOX53/AAL5x+9Jjb5vTn1cPAvnH70mNvm9OfVx+iEOPqISHnLk2HjmIl4XsuvXR6vKfdh1pl1PSFam1OpWpvULXAUGnSFHb1tW+xjXztm9UO0p0az0loL8C+cfvSY2+b059XF8oGXubNDl3WH+TxWaqXF6w5P4Xn1rQLW0gpSBbr4cY3qzmcWXlPqsxRpzGbLc1KKeRMXS+WmXGg4VtrdCebS5Zl0hsq1KDaikG0djubWBWnxLHFYW4qbMg2GmZhwOvgLKkNqSghzTzbmopJCShQJBEbx8saiJ2ZsQv2/MLHRsZ/1LRPX0YwwrId9MT8nmSo8mVhoTFQw9OyzRcIJCdbhAubGwvfYxGcz6fT6XjioyVLkmpSWSlhaGWhZCCthCiAOoXJjaz3WhTh5LkmFuLVbF1P2Kif8AITUars3LHH9QIN7syn92bj2WFYrJjGGvqJmgEPaBYDc7gFzqmAU8oa09Sh0IQiRQpCEIIkIQgiQhCCJHBUkGxWkHsJjmPSMC5xowTSJCnHBdPqi6a9OOtCZmFJln1TCdClvspT666hsuIbXrGlK/YkpBjSRzmi7Bc9i2aATqV5trRe3OIv2ahDWj3RHxhHsE3yjKnUTMU6dwnT+8MwhmVFMYeLWiVblZiX0c7pJU4efCw4QdKmW7JsABfHeVdNTSWuk5b0dhbTjCwunzBlyQ2patJu2rYlwnawBSg2uFFUBlnGyPvCkyM9JeB60e3Twv7IcO2AUkmwWknsBEey0flGKo65t8Ze0iccdqZqjLc2+pbCXw3KpaddbCBzzqVyaXOc1JCi9MAps4bW/FmepxXhSfwm/gWlssTbbDbD/SHHHpIMPLdZSyT7FKeedQQb6kqSCfEEZEs17GPvCxkZbavK4QhFlRJCEIIs4+5FqUrlHYjUpRJ9R8xuTv/wAslY2qUk2NMJ/eD39o3GqruRP/AEjcRf8Ak+Y/vkrG1yhlhuVp8++UqY71vuk6SSE6myTbzR835S64i4cB8l3qD/IBUUm84MmXXFNz2MaI4tJsoOtqUQR50R0jNfI21xijD3yf/wCkQdWWOQ7a1OjEmK2i6rWQiYsLnyBEdfg6yCaSf1XYtQkcf0UQP7OOLHTVwaAY3X67b+1euezk6Scsz7dV7bPhXo8rnBlG21pkcZUlDVybNIUlN+vYIteJBh3F+GcWpfXhussVBMqUpeLWrxCq5F7gcbH4I8VZy75O7CChvEuI7E3N3gST+DicZfTuUOXjc8zQKvUHxUFNrd6XZdigEDTZIt7IxVZSYu6os+H+HrrrfhwSubycZRl1HNIZtLAhuXaL9QOy9uK9LSSlQUOIIIiBIyNyxTNtz6sOFyYaEwhLq5lwqKH5dbDrZN/GQW3FeKbgKsoWIvHoVCq9GxFJqnqXpcaS4WiSi1lAAkfxiLj0dj3FHxREzmujcWuFivO6OF15X4EMveiNU1MhUEyTco3KqlRUnuadU2yWUPuDV48wlCj66TqJ0qN1JSR2P5M4KeEq2O+zTNPnzUpGXRUVlmTeUFhXMtqCkoSedWSLbEi1rACSYkxzT8OVFdPeozrxShK9aLWOq+w28nX1xb0Zn01a+bFBcBOwKlgDhfiRtx64tMoqh7Q5rdDxC0L2A2WK3dZCTyX5EnrxfTj/ADM1Gn4qKjdRJPaTeNw3dYX2p3kl0efal+ZEziqlvBBA1J1S8ybHyi8aeI91yYBbQkH0j9Fx8Q1l9yQhCPRKgkIQgiQhCCJFbSaU7V5lUq1OyEsUoK9c7Nol0GxGwUsgE78PPFFF1w29iVieWvCzU25NlohYlpbnlc3cXunSqwvbe0SRBrngOBI4bUVd6hpz7osLfj2X+lFkqEkunTjkk5MSr6miAXJZ9LzStr+KtOx49UTLvjnH/B9d/FH/AOUR2vU3FhdcrOIqRUmVOqSlcxMSamUlVrAX0hN7D+KLVRDGGXia4HiNLdqwCrPCEIorKQhCCJCEIIkIQgizn7kEtLfKNxIpQBHqOmB/TJWNrVCmGZdukstjxG6e6kAm+wW2I1Mdyae6Pn/iR29v1JvD+ly/ojaFS6jcU4Bf7ReH8tEeDx+l52uLuAXbon2hAXoHPsDhLoH+pFjxtS38R4YnaNTuZZmJjm9C1ggDS4lR3TvwB4Ri5Vcm8VyriFzWYVOlA4VlKVzEyNfDstwuPhii8FlcG3hPo3yub9McGkgq/wBswjIIN7fuOw8GkL182FYW0lgrQRvy2+brr0lOQeMX3VKnKzT0p6uZddJv/rR3s5BYhZVqTWmSR2qV+Qx5ixlFiN+ZabZzOpa1LWEpbTNTJ1ns3vHZUMnMVS0yG5jMqnSq9APNmYmL2ud9h1/kjqnFMWEgZzelr3sflluoRgODlmby0X3Zf/VllFl5RZ7CVBXTKi8088qZceCm9RGlQSB7Ik32PXEn6cPan4IwwRlNiBF9WaFKXf201N7fARHU7lPiAuoHhYpTWonSgTUz41hva++3GKEtLVVEhkezU67HfathhuGMGUVg+Efes1OnD2p+CHTh7U/BGFzmVFeU2QnNKkIKR4yxNTVxt13NhHDeVdcLSUjNajuFSQQvpc1cgjjsbeXhEXR9Ra+Tud9qz0dhv+8Hwj71891rmA/yW5EDinF9O/sZmNOkbWu6PtuyPI3w5SH51E45KV2jtKmEKJS6Uy8wNYJ3IPHftjVLHvOTsRio8p3n6LxGJWE5DTcb96QhE7yzySzFzbZqk9g+lySaZRA2alVapU5em0+TLhs2hyZmFobC1H2KASo7m1t47T5GxNzPNgqLWlxsFBIR6a5ya87W8ymcpTgSYOJJiTFTabTMsGVXIFOrpomwvo5ltIJ57Xo2te+0XhnkkZzzNeXQZaVwq8G6JMYjNRaxbTV00U9h5DLzxm0vFpOhxxCVBRBF72tvERq4BteN+0bFsInnqXjUIlWZGWGN8pcQN4Zx5R0yE5MSbNRlVNTTU1Lzco6CWphh9lSm3W1WNlJURcEcQREViZj2vaHNNwVoQWmxSL9g1TCKo4ZhMspPMKsJirqpyb3H+UB3P+b18eqLDF6wnWZWh1Jybm3Z5tCmS2DJtMLXckHcPJUm23ULxYpyGytLjYe4/PRYU35+m+5Ub5+u+mOt9NEmm+ampKgvIvfS7jpaxftsTHT4Q6J+/wDEvyOmfVQ8IdE/f+JfkdM+qjuc9TnQvHwsWNfwlWKaq+DJWYdllYDYdLSigrZrrzjardaVAWUPKI6VV3BhSQnL8JJBAPfh82PbwizVWabnqnNzjKnlIfeU4kvJQlZBP7IIASD/ANkARSWPZHHfUuzEANt/QzwWbflykVVMmJGVnEP1Km9Pl0g6mOfUzq228ZO4sd4pbHshFZpym48UUl7/AGC/e+H45f8ARFqrE7SJ11tdIoXexCUkLR0tb+s343Xw22sIt8IlfO94ykD3NaO8AFLJCEIhRZmdy0e6PnhiN3/Rlwf0pj0Rsko08WGKY0V3Lci4m46/HRGs3uaD3MZv4jdvb9Tyk/0hr0RsLp1SJTIkq/arn+8iONXUnOzZ+C6NNJljsmIcaUtKWk12mS8yk6+bCmi5bhfr80RxWNMuwbqwjJE9vetRiUlqmHjKNn75jjmaX+82/wCONI4GsaGkH3G30UpcSVZKZmFhBuaYbp1BaYdLg5opkHEgL6jt6IuNTx1RTNA1KlsuvFtPjKZVfTc2G5HlirDNMHCUbHww5mmHjKNnz39MOYbnzWPb9bJmNrKwT2N8FLaCZ7Dsq83fZKpVTgv5gTHLeNsFM9Hbaw9KIHjcyEyxATtc28bxdvNFE5jSmNnxcMqV5Q+n8oirpGJqXVZ1uT7wBguavGU8FWsCeA80XDQOYC4td8f9lHzgPWOxd3q6wjZ39Ipewvr/AEORq23/AGXjbefsiml8cYFceStnC0qlwIBS4aepNk22sokdXljmrYopVKnnJL1Pl7myBqS6BfYHgfPFzos9S6xJdM71JY8dSNClajtbe488aOpMjM5a6x/5f2WQ+5tp2LwrujtRZqHJZpjkuhKGl4gpa20JFglJZfsAOrYxq0jZz3ROYQvk7MsN2CUYip9h2AIejWQ2vm1pXoQvSb6Vi4PnEWaGIRsynQXVWpN3LhKVLOlKSo9gFzGQGXVUwRmRycX8g6tmJQcDV2mY0Vi2SmsQLdZpdVZckkyy2XHmm18080UakFadJSsgEG8eGS1TQ0+26uSlkhCtV227K+8b7RSvPF59byUJbLiidKNgL9Qi/WUkD4Gujlu7NstssNuvvFlBHI5jtRos05TNjJaUw1K8mVzNOSMonLKdwe5mE1JTHe9NUfqaagJcXTz5kBp6OXdHXfRp3iIZNHK3k9z2ZTWI8zMvMeKr+WdVkRTqZMzpp81Nqm5RTMiZlKGVOLdQhxXrRBTosVAxEMu8lMvKVgCm5r56VqtoksQrdGHcOUEtoqFSaaVocm3XnQUy8uFjQk2Klm5Gw3v4yTyXzilJqmZHPYqw7jaXl3ZmTw/iCbanZespbSVrZlpltKVIf0hRCFiyrWBHEcA08TA5gc7Kf8R0te+pvtHG2g4aqN2LRNfYjZpfqH5vUW5WGMMKY9xhhrE2X9cp68JnC8hJUXD8unQ9hdhkKC6Y+LXUtLqnVh4k86HNV7x4ilKlXCUk2FzYX2j7QtTLl1tJUU3BQ6nYHsIislKohiYS8qRlgEXPrbdiTbhe/Dtj0GHUlO1rIpZMovbZfTfp+FbyyOc4uAVvi7Yaan3p9aadhluuuc0SZZcs4+Ei48fS2QRbhfhvFrcXzi1L0pTqJNkiwHkEVtGkZ2fmlMyE9LyrgQVFb86iWSRcbalEAnyeiMR6SDLr9e26x1KW9BxT7y0r+J5z6yKapSeI0U+ZVMZTS8i0GlFcyKVNILItusKUsgW43ItFL6m8SfdNSfnEx9ZHTOUCvsSjzz+IaY62hBUtCK6y4pQHEBAWSo+QDeOg7NlP8N3YPtWvvVpoqJlyqS6JOkJqjxUdEmppboeNjtpQQo9ux6ol/QcU+8vK/iec+siGU6XmJqeZl5SYaYdWbJcdfDKUm3WtRAT8MSD1N4k+6ak/OJj6yIKXNlNmk69VvqCsn2q5iRxVcWyWlT/7POfWRBnwoPuBbIZUFqu2ARoN902O4twseyJMMN4kv/zmpPziY+siMOJUhxaFqClJUQSFagTfiD1+eNaq9hdpHtt9AEHtUiwzL1l6TdVTcAM15sO2U+uRffLZsPEu2oAdtjvvFLihmpMzDAqWEW6AotnQ2iUdY50X9lZxRJtwuI4otJq0/LuO0+ryUohK9Kkv1RuVUTbiEqUCR5Y6K3T6hT3WkVCoys2paSUqYn0TQSL8CUqOnzQdfmB+0236W+V+9OtW2EIRTWVlh3Op7o+Z+I3b2/STT/Po9EZ4yVRCeiAK4S6x/KTGAHIFe6Pj/Ebt/wByUJ/nk+iM1ZapW6PvwZWP5SYuNpedY135tKnjfYWU475j2x+GHfMe2PwxDVVZJPizgT5AU/lj4NTUf3SUPvN+iM+QHct+cU175j2x+GHfMe2PwxCTUVH91V/Fb9Ecd8F/wur4rXojPkB3LPOqgxRiOcpNXdpdOwgiclEIQUuETCkm6bkeKbbGLZL46rtPdS/JYEZQ4m9ihqZFtrde3AmJL0yZ/hJ78G39GOFT7zaFLcqbwSkXJKEbD4sYNG87Se0+KusroWNAMQJHX+BRybxvW52YW9N4FYcWSCVLZmdzYb7bf8Iq5DMbFEiwWJPB7bDeonSGX7E7b77/APCLw3UnXE6kz7/GxCm0gg+a0dqai6OM04fOE+iIn4fI5gYHn84bFM3EqYOzGAEbrleL8uqpu1Lk6yr0wjm3XazTnVo38VRQ7cb77XjXRGwPlvznSMjyi/CtSR/icjX5EckXMkNXHmcHuzBI+2m3HnUMsoWtxxQQhKElSlKPAADcnyCPiMh+TDyg8qeT3Qa9iefyscxLmWp4Jw/UJlxHQpNgtgG9zrbWF6iVISVLSQkKQL3ryvcxt2NudyqTPdGwuY3Mdyl+Z+Ha5ijKHK7MSlUmaNNoeFZXCdYlw0ddKnpRbmzybXbS8lxLiVHY343tFJyZsM1GazTouOn1mn4cwTNor9cq7t0y8nKy93FBS+GpenQlPFRVwtePG6Xyhs38PY8q2YuFsYTFCqtacUqcbp6Eok3EEkpZMsoKbLSbkJSoG3buTH1mTyjs6c2qW3Qcc45mZuktrDopsrLsyUmpwcFqZl0IStQ6ioG3VaKjYJsnNm1j17r8La9q5xoZjdgIym++4v1bNfbdQrFVWlq9iis12Tlujy9SqM1ONM2tzaHXlrSm3kCgItcIReAsLBdYCwsEhCEZRLDshYQhBEi/YdwsivS70wqefY5pwI0t0uYmgdr31NJIHmO8WGL7h5xCJd0Lxu9Q7uD1ptuYUHNvZetbeTfeJ6cNMgzgEcTbvuPmiu4y4bJA78zu/wDo7P8A0IhzzfNPONaidCim5SU3sbcDuPMd4mAfZv8A44Jsf+jPRD3v15dnS74x9cN/H39lvvvx3iWqEQA5toHsdf8A7FAr5h7Cqa9KuzKp+YY5tzm9LdLmZoHYG+ppJA48DvFPiKgJoDzLKZt5/nkFd3JB6VIsbcHQCrzjaO/DzjaJV0Lxy/RDzn6y23MqC9h4/rW3k332inxCtC3mSjFTtcsg+uOIeTzW/sfXd9+O20HCPmLhozb769mb6IrTCEIposk+RA90fF+I3b/uc0n+cjLxipEFnxuDav6xGPPcusD0TMbOzEmFcRGZEkMMuT/6Hc5tfOtzTCE72O1nVbeaNk1N5LOWMwqRDjla9elXXFWnRxCkAfsf84xs7lThmFgU1SHZxuAI1N94VmKkllbmbayw7eanlnaXdP3z6I6eiz5O8o7Gb32JmVXulc+XD6MPsTcqvdK58tH0In/UPB9z/hH3LboyfgsJW5Sa4ql1jyb/AJBHcGZpIOhhwXHt1fRjNT7E3Kr3SufLR9CH2JuVXulc+Wj6EP1Dwfc/4R9ydGT8Fil3zPt4oZqqTi9KVBQSXUjShSRexuNzc9Q6hGXSuSZlWQQl2uA22PTQbfyYp5PkjZbIZU3Up+szSiq4Ul9LYA7LBJ+GK3n1gu5/wjxW/R8/DtWJ7NSnG3Q1zyFEgqc1HUUnt2A49kVSai4DdT1/IBYRlcjklZToGlCq2kcbCdH0I5+xNyq90rny0fQh59YLuf8ACPFOj5+HatcfLDnOkZNOIJvarSZ/34wYjap3S/I/BWWvJxZrmHFVEzL+JafKq6TMhxOhSHlGwsN7pEaq4dJ02LfzFLfLs1FjcdqrSxOhOV+1IQhBRJCEIIkIQgiRylC1myEKUewAmOIkuAazI0SsuzdQn3JRpUupsLQqYBJKkm3rCkq6us28nCJYWCWQMcbA9Z6kOijvMP8AuDvxD6Icw/7g78Q+iPYfCFhj7qJr8JVfroeELDH3UTX4Sq/XR1OjKf17e0eK0zO3Lx7mH/cHfiH0RwptxFtbak34akkf1x7F4QsMfdRNfhKr9dEOzExFS68mQFNqrs5zBc1haps6b6bW6QtXYfY28vVENRQwwxl7JmuI6hbxWQ4k6hQyEIRzFskIQgiQhCCLYR3LfD8phflc4yoUi866xLYMcKVu21HVMSSzewA4qMbRaYl/otOm5VUurm5ZxpSXHSn2SkkEEA+1PwxpVyj5TzvJS5ROJ8wGcGt4mVUaI1SOirqBlOb1plnec1htd7c1a1v2XHaMgD3Y5JJUeTVTSSbk+qMbn5LHkeVWC1U+LTOpo/2AkDUdWnWV1aKpijhAedVs0eTMzBu9LSSv9rWP6kxTKpTa/ZyUof8AbXfRGtX/AAxv/Vpp3zi/NY+h3Y+3Dk10/wCcf5rHn/N7EvV97fFW/LYPS7j4LZN3hkyLKkJb5a76IDDdPPGQY+WOxrbHdkiPtbJH5yfmscjuyih9rdJ/OX81h5v4l6vvb4p5bB6XcfBbJBhqmdcg18rdj7Thqlj9ot/KnT+WNbQ7susfa4Svzl/NY+h3Zl0fa5S/3sTfmsPN/EvV97fFPLYPS7itlCcP01JuJNIP/iHPTHcikSTQumWG3Y6s/ljWmO7OOD7XNn72J/zWPLuUv3TKc5QeUVTyulcpl4XdqEzKTAqTGIlPKaDLyXCnQlhBOrTp9kLX643j5OYg94a9lgdpuDbjtWHV0AFwb9qmndN+VrR8XtYg5LsvgeelJ3CuIpObVV1zqFsvhuXK7BrTqF+fHEn2PljAvHFAlcMYnmqJJPOussNsLSp22olbKFm9gBxUfvRY5qZem3HJiamXHnXLlTjrhWpRtxJJJMS/N3/GBUf+6lP7s3H0jDcPiocPcxg1Dm6+0Ov22C4s8zppMxUOhCEbqJIQhBEhCEESEIQRIQhBEhCEESEIQRIQhBEhCEEUwTm5mKhKUeqRZCQEgqlWFGwFhuUXMdM7mjjypSb9Pna8XJeZbU06jorI1JIsRcIuPvQhFo4hVkWMrrf1HxTI3corCEIqokIQgiQhCCJF9oGN8U4WlnZSg1UyrLznOrTzDa7qta91pJ4CEI3jlkhdnjcQd4NksDoVdPC9mL90Z+SMfQiNVir1KvVJ6r1ebVMzkwQXXVAAqsABsAANgBsIQiSSrnnGWV5cOJJ+aZQNgVHCEIgRIQhBEhCEESEIQRIQhBEhCEESEIQRIQhBEhCEEX//2Q==</t>
    <phoneticPr fontId="1" type="noConversion"/>
  </si>
  <si>
    <t>data:image/png;base64,iVBORw0KGgoAAAANSUhEUgAAAOEAAAB1CAMAAACPmnYdAAADAFBMVEVHcEwdHR4GBwgrKy0EBAUCAgMAAAEGBwkNDQ69vb0AAAIcGhuqqKsUFBS9vb0EBQY+Pj6QkJACAgMHBwrz8/Pw8PD19fVcXFz6+voBAQIDAwYEBAkEBAYHBwr29vZiX2C7vMIBAQEDAwQHCA78/f4sKSr7+/u0srIPDg6CgoIbGx5pam0BAQLn5+cBAQH5+fnk5OWtra2Mi4sDAwZ4eHjX19f9/f39/f3K4v9Bjf3N4/6urq7M4v339/e51PnL4f+7uLj9wLlsbXDc3uK9vL/qYFvU0tLW5f7v7u65ubnK4v/GvLv5+fmnv+XpXFeTk5Ph4+fhTkiFsPIXHFP2tbLmRkPK3vi5ubm7urqTvPre3+jPz9B4qfSGsvTW2uCArfHe5/cWG1LY5/vgWVT9/f3z8vLoXli9u8EWG1Freq3XTkrli4/cVFAVGU3r6+sWG1AWG1G+zeyhq9PR5P9CjfyFsfQzNETN4f/5uLG2trainJwXHFPN4/+5t74XHFJ7q/N5eXlnZ2eArO9VXG2mpqb3w777zcnNNDTRNDOGsfN3hqCoqKgWG1DU0dFzbHfW5v7w7e3U5P6ilZWUu/n19PQBAQF3o+gzHk60tLRXiN3je3/4u7UWG1GHs/X8/Pxune3lSEW5MTZSW3eJiYnpYVxmm+z2t7HFydHXKSnClJ3jg39HiOjy3N3////p6enK4v8iKGv9/f3y8vIVGk/w8PD09PT+///5+fkbIFvs6+uBrvL29vbs7OyTuvgdIl/Y6P8BAQEfJWSOt/cXHFTu7u7Q5f/pSUaKtPX39/cjLm94qfCgxP3x8fGbwPvd7P8lPofo8//v9v8nNXjGxsbznpoKCgqTk5NDTIn29vY2QIAUFBTR3/qenqB4r/0fHx9bYJdYaqa92v+GhoZXJ1fg4OHS0tJ8fHzI1/O00fzZ2do9PT0vLy/MKCv74+Hp5uaQJ0RISEj/9/ZkZGRwcHBTU1OVodH97e2PnMd8hbFTmPywvd/229lrjtTXo6mAk8bSRUnS9K3hAAAA7nRSTlMAAggBEyIxBwWILgMDBCUQRysoCbbY41HbNBggDQvCHRwkOxz9FvE8amE/EVTEFOyCfU4rXdLu8eb+If436Qa/UfxXQwqoov30be1g1xNza30tXrn9kSyWd3FtzCnJXN6izYxL9tqO+/P+CvMXirBM2v3+2m3uNxu0xIfl8qdyRoBDgCxd3P6pxKgXsKONdObXzDzgwEr6/ojP3pJhld+f421lns2zeHLi4awK8P/////////////////////////////////////////////////////////////////////////////////////+PxLLmgAAFg5JREFUeNrcmn1MFGcex9kXmHVfGIX6wu4iLKsSMaIJlzsEy0uh3SKHUEJZoKDItfG4pipQwNdQ0X+0rUhtTG3PmrRRc7kTFlKBruCwiOKiKIh1DxfZtaigJrVRCRxFcs+87QvMLLszg6n9Qnbm2Wfym/3k93t+z6uX1+9e7156l6bwaismitSbl96MoiqUx7zahGtLIgl9eOnDyEiKQnX5K064u5YQgKqtpShEvuqE6wiQkq8vfV1SS1GIjPqDEK4GyaWAJCxwKPxhCNPeWf+OndChwC2hAIjHI/4F6CcPvUG/xat4ZD1R5Nnq2BLGZmdnx9ZSFLgk5ElEEATxsX/I9sknbkjZ6h3uIJFIwhOwIrw7PDx8t5aiwB2hQCLzh4VLGUkIKwNFEgEbQlpxRiiQQL4FrzFUfpxaDkNMEF8moSxz8RnGWnVaJYdFvN81oSSw4AwLfbBXJQ+UCdgQXsRkv97FVBuZyZULD37JhnBZaoQCFrEi7F4C1G2/3vkf0B3uCKEgkvDcEgaE76eKVUKIx4awB7XTY792rgGaDcLo58/ukb/7cr0bOluHEfr4yf1ZEV7rBrpmv3bdAerijJBHEv7yuLX1Z5Lwao0b+pEkDA+UzEammQ3CBwwJ2fnwZRE2RD96eo8ZodxTHwoSExPW1SLXgJDaadfhK0DD3BPW34/efG/JS4jSlIS0/NjYas3F7sa6hgaQO3saGpyud7jNNCTh5ucDt28/flDDyIf+7hNGpVXvRhBEowEfyLWehp5Zz6UE4Q+/tmLqn90oTcwp0SBD46NjhYVjI+NmwPjSovRs/wNMvURvcXXmzuJqvce9RXm+BimaNN3QoTL2WUaGEM1FiiRzEfzVruOKkB/EakzzF8yH7hFGxSLmEZPOJoPRMq6hRMRy6VqufLh0CxvC1//kdm9RHosMFRp1TroxClrk9B6/A/T46zgiFEBw8ioWhG+F+ajC+e4QxhQgQ1bdVBlHNUgPZabhjFCkVJyev2qZK/2XtmbBW3MDxG6OvDfs1ozhVH03HL1YjCA9VCNvrgjB7Emu2rvcpT6lrXkjLMDHzdlTSixSTKSYQoe2qDOYihCEavbEGSEPUspVEWIfWonDvg+hr45QqWG3phYbNEMWnMl01DlYx6iTDUbIq/iYUC7jRX6BBILlam8VjbzLFpZ9X7YwQqXy86OqVshhvjurGDH5SDGRZawTToSGviLch7W4C50IDx5bQ+jjf7OIUygQhoXhNNq3M/XTnTvVNLVCOBByq7uPKtFYDXiQ3rD2OWebUTC4QdthY09PY7cToXrusYkJnLCCKZ40EdUKF/piT7R2Hn11IiHXQSRN0AzZWp/J4gRosJqROodcaifklx3614sXIyjgsVymhMnaOTNpz46Zn5mjTZK6fE8OMm7LoEZrn8ER0TSEoP1gdw/QNUdCEQDMeFGMBamUKWFWXDAnSk5y/Z7VtmYIdN1qcQxU0BApMs1uEKWnMl68yMgATjxxkHEjzArlJiXHJbuuL0BGHIYzpqMTxpkI0XaYHB+fER9fvOZkrtcrQOjgQ53RYnJOpjQ+/CYeKGPkxIoZdl14dJKEBmeFhvriD0im1zvvuwjoLfn6xiX7htK+hydwaoc63eCTKe2QxoenUMCMm9tduUHAk4kgPo2g/VptlnYefb3Mvu2CGaJ78gvtV1ptKK0dvgh0+EUOTe/JoGMutZg1VIQJXoLgb7Zvv3nzZsbh1fQL4DL+wXkulLV5x366uiAYtm+7gIHBQV96O8nvvZdEWxkEes3MKrNV14ePSAedAHW6SYRqULM7AX2tNBgg/tbeHHs8PYWacEXO4kWu9PbbtFVfJivkSmLbRSDxT3jNhZkFLuwsWpy2Tx4Ui4waTROWwcHBJ86Ahr5xpCSWQvgMeMN/4n9rbzeDaX8e9cZ+2p9ZbLskqeRKfNuFJ0r4lrmh9z/3k59Gu3yTCeANTplAWc1Va2MohPaA0vSih8XN7TXDXQDxAOWo4ls209uVZapwfJVJFpjPxtCCvap51cCJOuO0CaIOuDCfdkCUXjpcbKlpxgCvdKVTPdLAamNpboRaiU7+BKKli1nt3yyPUJ/WmKdPgEHHMampop0n5W7UXxktrBnqwgmPUCESrzh7r972uga3hBMS01sBRBI23mtmYGjZch9VUD5SZJlOWGjWpNHNTaTH9fquSetwF0oIPlqoEPHf8uPTgac15O+qb3dD9Tihj7cQEqDrVQRh48+Pf71PEp51x9DVOpzQT5hZPR3RWDiE5Ke4cKG+bdLU0oWrpQUgCqgJo39qbY0mCdvdWQxtb8AJVUK+I+HDAU93N5oJQlU4tLYaGRq74TS/HzUj+fRnnyr1en3HpHHEBtjSUpotpSTsHWi93cuIcIoPf3nU2nqLJKz3jNDfKzMW0YwXgp7fAKQzmsaKEI0LwJQ8QKg/aiy8QvK1tLR1VMZQEdZFP42uY+hDJ8Izvc9u1TMhDMDWHMsLqhBN0UihxWKxjhUXaZCSnET6OWVFKUp4cpvVDggQ26Yg4kvY9/tv9feeY09Y9zAaGGpnQqjCVlWla/OrEAQxm80aBNGUFLha10bzjF5fmr7JigG2tWGAwIvOgYplhAeg9bQOPGtm2w7r+gdAg779/CGDKCXXjWMyc/KrS6qqSmILNrg+bYHmGb1+475NIEpRwDbCh22l6VMJ7w/8hGqgl207bH/UilnqZ9YOySU5aUp5VFR5ykwTsnQUUF+p3nTsCuDq6CCjtK3jSMUUwh+icRE+vHzODV0+QxGljZtxQ8ROaqNbhhqIdujpbn/MAcyFuX7bvjsCQpMkxGA3VnA0ppk/PdMwHdN4fp4BD9JKr4BdPtkoYAfpQrRQWhlMPreIxe9q2BJmi9JwVuPSDxY6Rql7i4DpuAu9tm5T5JZ2gK6/hcg0GGJHXgWRb3JYbLu8nhpiG7XBcX9lMbfQhhDB4GmQVgq8tm6Sp+vthIQTO/RkvvFOWjmfmQ6vTA0J8FMHyvD9G/X+LYcZWlr5VVhAhNqzk1NSLEiBCwGhGus2WrrsqQbTcbxflKvK5jJUWEBAhEKI75xJ/MMVYpdPH/qE3lBIgFjlyWY/OWIDrdDLq2zTPnRsk5d9xLEhduiP7cMfhNWqCLGLfRcXOzJisZ8inNhXAk6Ue/uJ6S2JD30idmHIW670yIU8bMSWh6YT+WdvlOo7O09Ig7Pz7ISdFsNHMPYoXxmuVngzkkItFwaS+0o8EWqI3pJieSptpUKhDldCnrkQyzNYS+P98wQA7ETdmZKehxO2HTU1XbjwkYTYdlHCsBATcbEJlPEq2FaChTB2I8QKgXwZz7bUJvJXwvBUEzYp96fCjnaFuCHCbKC/yLPD0gcxF+KDghUnAWAn2gNKvcoPYIQTfU1N5y/sKiMOcctEQJBIhJ3LBn8QVsC+xI9qYzci8l4E2c5wyxx/lgAzhD8psj2C34sgSVyyBH8HaQB7mHirzNPD4Nk2F6IdIwDcmEvON9raOq3GpibDdeBEnm0l14WkHCkumRNTDok0D+/UeemoC/PIQV52Z6HJcP580/nrTRe2qd05w5M1hxvt2cGFlSxsMpVygEykWMeIEp4g5xPf9YHZJSBsum648PcQd06Z7Qn15URJWRwYCdWirhJgPUVphUOQdmYTvxf6rMlgJ9zqDqE28eVszbg3kJkDCBOTNxeDue9GYuSJBelRcqit2GUj1HFNKP3b+vX/mFVCaWLwntDQU9vj4//fy9nHNJHmcbzttLTSDl2ZXby+HUJRXNAu0D3vjy5JfSmR4Fa6YCRw2ZMtW7jyIrnkjEDkNMrLChhidDWruax3JntnroTKSyEaw6bGwMWEpBQvIYRLEEh4VV5CLuGPvXmeeekUOmOZMfdNC+0MPPN85pl5npnf9/nNpT9/9yfyzFNdBoQULhJT4WcQpu20jcLtI+Rk6v5zX8adhGk/4MVYS3xhpP2o7DZXFZEJtEOiuP3WvC/jyC87V28zw4g8I1AU82LcnXfpUlNTITDU7qsUv/sKTk1Q5RWW//H7f32nInOQdLU9IcIGGT2WKRXyiErPzDyXm5ku55BCSdSiym6z2Vx2B0qONPS4A4SmnisqumclVoUGIOIjeKN08hAYdBjFx50IqbgJ0B1ryrl07D65KA84iE2Xf/8VSlRGjBX0PKfPwwI9VaYi/UZiZO1ts7TdSmTXAbUeg+aM22VzOB2uR06DPqKy6uquq/XswkgXS4xK0pkbyDjF0OBgV1cX+LCytUws2VpeWdlqPtZkBX8rVevlxlIGYTUFiJ2ouc2mzpVPbnOoJg9ecCEip62qynY/o/JxBotKSjJYlW/FS4HTbhD0RvHHv2ZsIIEZPe6FAr9f9IaWvdrCmxH87Te3jOoLFT0DJOFzqqN5j230niBAdq4M+k92F1ZcueVpDvJzsTqSjGr8LgVRpn9TFr557/u12dy8vAr++PZVY3UPSfjz6ECtjmzC9I+F3J53Ev6T3fVFQvMmX0LP0evAqEMQ9AseZtjq8vIqEe3tiCmlCLtH/aVScvJh3GkhhNnHgf+EH6UdKR6PN1jIs5iOWBl+qymWf13G45+9VDS75nADk1BPzszbSxJ6e328CGNlajnidlUur24WBjf5zkOFE96Vkq9TqHnWXj6Bo2o/RTgy6i/AyGnOJOHw64X1Fdo2imYid18/JARRYbEy8XEQ17JncHJ6nt63w9EIouRozEYDihpIwpm1hUkq9cH7JJrKwPBmTUEPRRgI+Ask4YSzU/RUfI/nRdTBXEBokigV+vzNLXC+Tw8NbVDOxXA0pXQ9pQj1IUK8lClqR/miKgVus6SWJhwdiUQ4zpsQv8XPJ3b42tDQ4opgwtd4KTwIyytwQj8bYYplY/qFkDYk/rN8cep1imDCwbkNS/+uCfsne7gIu8onLTNewYTDY+X0fuJNmDJvmRx7tmtC33/CCeVMQt/k4vjQ+NTcM2GEryY3FhffTc/wI1SQhCvreJ8wvkBamtETzgTCCNsVTMKZRZj1M24RRjg5DotZGxbUhhailIXBXRKWD4QTKpmEvZOvocjT+2lUSaL9OwnfQc0RbqvvWTQa3k7onSfqYukjOq++aCoDxvL/9kA9JwmrReHnIe9rGmZf6uuDGo7+otLr7Q8RKgzMa5rdjvlP/s0gDIz4Gz9MYlMn9IFxwmKvkGI6yDa0CpiFNtsNAStK4TVNIEQo/emgANtoT3KMTK3ACVOFGHXZn2rMWnBNkyggy8rih4QFF7qJ69IHVNqPWvfT7QQ2ncpO4FLnnjTYCSJKgzb327Joro4jKCUhMxlMVVAqMdPVnE84tsdVnV/9gThIq6UFRLz0ATXDVK9NuriPTX+7so9LHwHbyGRQIvihILuam8muy5c5Vh5P1ph1arkY391G81WO7XFWp50gbLjQSNzjN9JpP9B/iuwLaa78lduYijUTd8DQfAKlaDTgvUMxN69EWkyu1MSYZdDGUmJSXbyZfWtc1YmtJgh7Sh804ISBkWrab5BwpP3UH2dNCIKCtpGYzI/SJcWz6uaVeA4l4cWAmaoIikm1OnqT27ctu/I5e3VkybUkYkEpTjgSIK9pYCTKQJhGJoZZRH6uz1JvW7HNn9JTthFIHjJp2WQ6c0bLLpNJTRaDoBL9NgOLsXE9UR22ujQSXQ3em+KEz0dDtgURTQQPDdoxVV2emaqIMIOd/gkeIoTQU9nlEswQptBX+fXrEgObMExCBSXJqfWRJr3jyxS5VjRyZeAnbQHZiBU44cAoIyBMR2EZIV/4mCcxUpQq2pY4wPwUHs6FRSiV4E0LfAYLQMwbfgE/iBdYAXIclEQ+Qlg5SFjOA0JtT5RrFSGMOoRHqBHRhQqC0I8T+gN0V/N/ySiJNqrvdjiqOFbjhFyStIcRthP7ze20O1VsT2/A21D1IZ5PeBLBCaNwQFQOm83J/jAJnFDFWUpMA5OQjHm7XTa7m3lghYTmWousRamIklXhx1fIiQg9zYwwJqy5eXl51tCyMHuD4X6k2202u8OBKSJJnmfFK5SqVLAJFYurmYSlatpvsNsT5ZgEk8AX/IUBSfbeq2vLTIeLwA8sbKUELpQrGI4Dq7tx415d3b39HO4H9LlVVfjetrseubThXSnVm16rb2urN0bqRk1kx67QlVKEA6MDBQYA6HI5nU7bo6zUiLLWXU7l0l6TWi+hHAe5njXVVJpYf+4aax4qeOgZmPSgsrvSnfZbj21ZLDpT15bFrovxOhP2AIwYfhywO+BvB/Wyu9wOW35nZfPRiDpYdvAol07nX9OqMYAoRm8U1/B86FlNMSgFFVXZHHJ75V9OBf/Jkv1+tI8jaf6zI2eSzUY4YgDCQKAH9qX4ee34YdNTyDdWndIRD5O1EfTGec5wNaf/kXL+olGKIQ5bYuKlYx5vcItnYsrNtFgtGDHAUTo6QjgzgLBplT8h9bgyseLEbwXcPZUV4TsKrbI5rdmrns3gMs9i6g4nJ5naScKfG+KJoxSLO+1ZDTYL8C3A/ESlJF/IDbAnB79FkaB2W1GKZ7Uw6ONZSsmhO7HS2FqCsPtui8MtEjls9lvfbhYGVz2e3rEZxt1cNKJ8C6lcjBoyqODfMJ+pqjka8BibKtcPhYVBYH7MzD7ZXWX6CcLDGqOkkTxK7y793SECiI8qYZkv1iYW6HSXV9GEkHq9Id+CjpfOr22U06fXk2hjSKRvIdfVFxY243t7bHFivY8qJap4Vh9JmGyU6Gr98O6JJBQdcDZBf3FsgpEMwjsi3L8+NLTwjG9EGNPmEjHvuaGhqVkevgUgxESNA/Du6e5SaxXTXZtZGJoo/zCEg4IJLeNDCyu8CZNqccLuEf/bVjczmuidnabzZgRE9efX3pXzjeorJBShzzJNnzG7JkTkBaANB/xvW0BMWEkS9pVPr09buoR6T755i2W2TyjhimVu/fXYMN82xHDC54GBu0tnGRHhvvUJENR/Ny+McGZtanx8amNMGOHsAgjqT8z5eBIewO/x8YP0zdJDpm+xMAE0tRvf4kXYUZpB+n5AG08FEVpgXSYWiCPKN7hbQnMD3ob4QbrkZLbh7BjUM2pQi0K+fmYbAkLv2DSUxcdntNCjJGEXUZdZopT+qCqTQo+HBxwP37x5c3fgDTlYCPUtEsKO0n5+jgOjDcuEVKbk0KGHZ1t/fPny5S+/vF0iBgvgWwh6XNkRmBkEfIsUIcXsgSO+RJuVLeTq9h+QjtTSUouCDAgLSXdJIPJmxKh+r5DMp8594KoNVZhiz/FvxNXgS4Z+bCW6UuBbGLNyjvDUeZg3o0eBb5FVk/AZP2Uf+TQZJj6h6qS0+pLf8FNJ5cswQmfLQ4IQNZhksZo0fkqGeTOYGD8UpLqLxz/np+MfJYO0IDkixowxdw4f4qmW1taWlpazQK6zZ+1ut5vOBdHq4s2x/GQGeTMKBO4oXTyv5BvoOcTj+0kJjbCYtDuHeepOmkamVohUOx9Xtj3dZVt2i06me3/ejBiUIkvi8ibYVybJjFKwn/B+T60za5J5CuZhbcu9+R+aEALLy8EwcAAAAABJRU5ErkJggg==</t>
    <phoneticPr fontId="1" type="noConversion"/>
  </si>
  <si>
    <t>data:image/png;base64,iVBORw0KGgoAAAANSUhEUgAAAOEAAACZCAMAAADuHK3kAAABsFBMVEVHcEz///8oJyvZ2dnv7fBDgJ8nJirc3NyIw+Hb29up2/UlJCgsKy5WVllBfp6wr7AwLzMqzvb3jjb09PSnp6jy8vORkZKq3PfV0dV75JL/wyb4+fna2tr19fblhwBTjKnoiQDw7/L+1ALj7fP7/f6HrsImJSlJhqWo2vVuq8nFwcaRyeXw+vuf0erP6fru7O7/sgD4cRz8ygHo5ui8tb03Nzj53pBonLdBQUP6u2aKxeLs6euj1vG/4vR6ss6IyP5uqcSHvNjz69Ll4uWIyf99uNaD1/XLysu03P+77/xLS0pEgaCzzaH91yL+8OWy3/b7FhZtbG+DhoRhYGO9vL3/1GtWPyNtuuh4eHqhwM90wP/lzymYy+U+MCZ1Txy3t7ihZRL5nVFF2Ycite1Zk66MhnTUfwS30t7/+OzxlEWvyc9OgZjmj0SLWhfX5ez5hj1D2Yb827/Ni0xghlm9cwnR9tmihmObmpx92Fd/3Fdi35pR3IpqsU1wISSVuchng4omvPDJoFaa66y58c/9za/i+e5w46NZ1vdLwu+uHB6I56h0iImaHR+C4vr/vRj+3j5xXsKcAAAAAXRSTlMAQObYZgAAC9pJREFUeNrsmotf01gWx22gaWuSJuPEmNFSCpQUgsDuaiDyUFCZrGF0pkmscYc2VWvBB9WBjtVdmRk/q58Zx5mdf3nvTdJ3IaVIafLpDz5J2/T17Tn3nHvOvacGqoqEAt5QpAbq1KkaPlajS4z7VSKlgVAzYSTEM4SAI6jrheCUnCTZUANhhGVEBEMRlwtFOY4DB4xKaqE6whCv4hziej4kncpkMqk0JBXpWsKQRrifD8FS28V8FKi4nUYRTihVCSOSBwBRPJOPxWIAEBzzGRwg0qGKDXXU/RbEt6Mxkw5CRqPbAFHmIxZhiBQ8QJgBgMB4+XwUMsaiGWBWvWzDJFb3XA4zfZbjrNtVBwYximv8Lcov5bgT/ZXQVB4A5rdT6XQqaxozn0JRAQRUQBjSGkwoqjIOTyIwvUwQYuVdBJmQKfu5NhBFWA/gcuVKzQ/SRcQsBEwhIJamTXNGY1nwDRSTMMDUW1CVDD7JoZQmCZwg8eCO/dWxZEDjSxTMOigiAiBwFnjRsiI9IHPwccQ6wLMgdm8QpoEJgWNug1M+A3Gj0XwaxVQWEkb0eiclGVQUwUXovYJEIEmNslwWA7dETcZwkaIEAyRQQcQFXhZwwIPpBo5TgoCCAwCjcPCvkgLeJUIuA/0ynbL9E7psNJriOJGPwHGo1hFyiqTLwA40o5C4IOlEiQRzOZmAhKyuaIJIawatX5JUwtAYkeV5BYfXDPBTGBpBGAbPUAyBMUl6ke5WCEO3gZNmcdN20VgGL0LSDIcKRggQskQdIUrpBqugcqDE3JAFVtJoGaTPpAIpbtCkRDAlQWFlPilouqiKrC7DbAoJdV5UaDVAgGukitF6UhO7ZcN6wm2LcBtFKDLQTAhIUFUCEDTNMsBLcWs6Z9sJY0pGEpMlUSNEScQwMA45EsRicA3VaUylVQ3HaMUkVMnuBRpIWMQzZsKPpsxRGa0QNngpoiuEwstSEsNUCdjHvGh7qaSqmqKQcmlA1JKCoci6zIsoJEQViYKEpBpQCUmlGZnVVa1roYYDbJCsCBN+Fs+YSR96qRZqjjQYQWskIZcEFKVKakm2cqPppYRmGIwgMAZdEnRDlmlDERkBVcCvgDOGrCoYoagsaei4TJK0KpAM1dV0WEynt4vZDI7C6Q1MiJwowUgTKNWPFg6ncA43H8Px8qXKfZgMKHAPF8CTKNN77Uvmc1DVoGAeAZdwlBK6ly7MkVdMgW+Ip1J4FuZDHIEJAdoQDKXGKsSpSrEPLZ4oKzharda6V1eYjhnLF7PZYjQP3TWaAp/OBKxZm+6B0smKozFz5h3LZ/PQhDAdWjNvQ/RA8QTNVlEslgUlIqJEyvUhg6MeQDRn3BZgFAJyhFQhZJMeKJ8QPFO03bQI4inwUaNaAUekJOIBRjSd2s5ms6CEgjNlkQzVdqIkncI8gGhGb3jgEMII1XUTQwM0gWOcF5wVFuqIqEihpp43SydlgcLdL0pUGT4Sae7qDwQGJI2k3S+SZ0OhVusW3lmaqV2YaSD0ovqEfcI+YZ+wT9gn7BP2CT1FGPKaGmqLEMuT3pLG2owmYYilVYHylgSixEbKhBFWpzDUa8LwJGy1WTZUEE90L5qaNjprEYaM6jomWu7Uc6i9DI+i3V2P/5yIFNxQA9ctlCrB3sePe+ZFcfftrghhhezOK9mtm6SSlg3Z6vrhH98BfQQWlN++efPmrcyh4rsrQBl3ejEns+a6RWUNGN37ztQeir998/r16zdvceQVBLzyLu1ORFFqTfgHKtiEAmWa8MqVlCuHItdIiDQT4pDwvFsJm2yIpMteiuyahLsIum2acAdHvGFDzDTiHtzftQsId0EWoeBA3Em5NF82EYJcuLeXtlaqZEKGi4oonso071hzrQ1rl965ymZDF6/XWIQRVsa8qrINdcKrSlqEA4tnvapZax0/ctbnVV2wZt4DfcI+YZ+wT9gnPDJh5MuO3+HDrYO1vLx86+LJE4aGOnx9/NYXDvrl0aNHv401vu7OD5beQ93pZcKLvzoRfgEIH33dCPjgjKUXfwd6EO9hQkcT2kZs8NMfzpQFCV/c6WHCP9sjfHTLrYRtOGlLN3UPYRtOahE2uKl7CP9sh7DOTQubUFrXCSNDHTrpr187K3jv3r3fbDcdy/mBwkr3CTvL+LeWTjtrYnohGAxOWW56P5zIATFuIZw53Y7ObQDCBTPpD82Hx2Hh/d4lhPHlCQjgqGlAGJyBr9hcTxROJtIcgXBiGgqGj9pznTbKhPHx8MoFtxGem84NDw9/ev7kyZNXw8MMOD1hhuuVWCkTFob9mz7XEW4kwuHwz/DLvgpbMfJxuEHzkLBgxpncWCvCrR4nBOHfIvT7LUJ/vUzChc1CIZAL/2R/7JUHlp68AHrvcwHhc4vMPH9qRRicTyQSfivOQG1ZugPUlgXjQ1+20NnBbhGGlZ3nr56BG4+fW+dmG0LCxHjHddLZwVa6xF/qEqHf/8zmetbIV7Yh8NJCodMSxhcfaU14+fKlbhEeIItwxtd5nbt1/fpsS8LFy6QTYjcJOwf8a/T29X1sSDohfqZscbCOSnh9dD9CYEMnxKPPaZbWrjpptZwPO6pflie+GT3Ihg6IXZ6XdvAZM9eu7U84a20YPQjxiLXFRFvFxXSltmgcYHN3a9R67vbPazf3Jxy8IfE8r13mB4+JcOxcO4ATU4BwulVXeO68rf/9DehuB4SzQIs3WHbxuHreMxPOWoKAGy2XDSqE5zsltAx5fITx5SlnLcBQtFpwJ+EM7E846+rk5MrqkBsJ40ttAQbXJoEKriScPgThciU83a/oyiEJZy81a/H4CdegfoJaW1uFp9W1BgEvnVwpE8bHq5Odd4ckHLjcLH7xuAnXhkFVZHUxEgkFdjEeJxqUq7VhYXh9vqzDEgKUJg3MHjthIuxv7GI0zLxzNTYEJpwfu2Ap7o5xuObcxai1YWHY/9RlkcYkfAa7F8p+XQyT8CcruKyEcyOdE842q0uEfmVnx+pi7Ow89rckzJXDy/3Os0WAb5Y02x3CA7sY5jhcsaPL+EjH89KREyU8qMY3bbgZt8NL7RvM2YKlxdxWT3upM+FyhxVwj0QaTxMGwRBz0GTtnOYohCeT8Z21sPa5bHgys7Y2Z96fxYZdn3n7loPt1oeTV8fcOA59F6aDC44KrkLATZ8rCX1jS86aXlgNrm5cdCfhxW/b6bUtwV7Ht3FXErbZL93Yr1/a+/mwCz3vHiCc2Jiamtp4ClU9N8jVhOc27C7GGbuLcaa5izHvcsJqF8Nf6WLU/vmrezGq+vCjpf9Cfeh1wrb2YtTb8MPvX9l6+PLly9/jvU/4bKfaxXj+c0tCs9F4346oP5YBv/rPw4cv/32x9wn9n6zuRVhp1cWwdpuYLYzxC24lDDvuxbgKyqj59fWnnRGOzg2O7KfBAMuePXZC550KhXg8PjQezhU6I/z+7ty+CtwY8fUAoRlpCrnwvJkyD034jwN03ec7XsJ1B/lrYunmujkcc4cifDo6ehDj7a1jJTy9FFx1UrCaD+P3zZbiyqEIr33z/f66/dec73gJDzkvjQ9BHW4cXvvXvX01teWw8e+E9mIcgnDm5k2AuK/+P4KDI5T5sNUf04ugSMPSP7SRJtOHjKJ6eICyCm19yKhs648GxEELu22QRUCdjxh/VE+Q4kMKAaU7LFV00EAeaNl3HbKIsI6srA5aULcifAhslw5qH2KAPHlQ2ww1FDBTkkpzEwR0tQFBM+PQ8iGwilclIvIhQAcIabm/kjZxSJQP6Qao7kNjsdTUVP7h7EOnTGBP0XI4+9Bv2PtwZMRh/rDxoUqWKgoAn+sGGotKBDH4VUkE6YPPh9LmqGvyi4DRlw89SUAoP5WPRKA6KH2I3JcHD7ghQCoraWCQ+hAZoPtwUMUheae3qKiibqVsTMxEgugbLQmCSJr4UBbqQ32yfCiqjAL8UIC+MolAliY+FIWelOxMDcNUGAchMIb6kFOWcXgCaXbYadfO0sPSgyrOiFPnnYdjLEo7I5+rz26sOMyOTFQ0Zh+932LY+BAAg26xCvDDOv8AAAAASUVORK5CYII=</t>
    <phoneticPr fontId="1" type="noConversion"/>
  </si>
  <si>
    <t>data:image/jpeg;base64,/9j/4AAQSkZJRgABAQEAYABgAAD/2wBDAAMCAgICAgMCAgIDAwMDBAYEBAQEBAgGBgUGCQgKCgkICQkKDA8MCgsOCwkJDRENDg8QEBEQCgwSExIQEw8QEBD/2wBDAQMDAwQDBAgEBAgQCwkLEBAQEBAQEBAQEBAQEBAQEBAQEBAQEBAQEBAQEBAQEBAQEBAQEBAQEBAQEBAQEBAQEBD/wAARCAClAOEDASIAAhEBAxEB/8QAHQAAAQQDAQEAAAAAAAAAAAAAAAUGBwgCBAkBA//EAGQQAAEDAwEEAwYMEAkJBQkAAAECAwQABREGBxIhMQgTURQVIkFh0gkyUlVxkZOVsbLR0xYXGBkjQkVUV2JygZKUocEkMzU3U4KFosIlJzRDRFZkdbRHWIOEo2Nlc3R2s+Hi4//EABwBAAEFAQEBAAAAAAAAAAAAAAABAwQFBgIHCP/EAD8RAAEDAgIFBgwGAQUBAAAAAAEAAgMEEQUhBhIxQVETYXGRodIUFRYiMkJSVIGx0fAHM1PB4fGSFyMkRLLj/9oADAMBAAIRAxEAPwC1ZtF5H3Hn/qrnyVibRePHaJw/8q58lWRcVqhcWzKbagNyFutd9kq3lpQ31Si4GTkces3ACc+DnhX0ty9RLvF2Tc48Ju2NqZFsUypRecT1YLqnc8B4ZISB4hk8682/05i94P8AiPqt15by/ojrP0VV9TW25s6au7rltmISiBJUSqOsAANK4kkVztb/AItH5I+Cuy2uHb0rZlrc3tlhtSLddExiyrIXHDC+rUePBWOY7RXGhn+Jb/IT8Feh6E6PN0fjmY2TX1y3dbZfnPFZDSTG3Y26J5Zq6oO/jbmHBWv9Dh/nsvf/ANMvf9SxXQKUxrM6sivQ5drTp0Mnuppbau6y9hWNxQ8Hd9JnPHnXP30OD+eu+Hs0y9/1LFdA4d0tyr7c227+7IdaQlTsJQG7GCAMlOE5Od4Z4nmMVZ4rbwjqUGguIyQL5Hdfb8jzrWTG193oviHLhaTcHHXu8y0tKDbTRH2Prue8oePAxwFKbrN9NwtqmJEdMNtDndyVpy44rdG5uHGAN7eJ5eKkNy9Wh3RTspOuihkLU0q7tgFSXN/JABBGR6XHHhShJuMBy8WZtGpVMOPoU43FSE7s1BTkE5HDGCRgjn7FVocOPDfzqc5riTcD1vVPDo/o5my+6mdTDv2pMqIS7/JKSng19hSPspxx+y7x8fg4rBLOqxZbY2qTCNzQ5HM9e6eqWgEdcEcOBIzjhz7K1Y92tbnf7q9Vrf7nyXiAP8njdKcJwOOClSuOTkcaT13yzfQ9bH0a+kIZdmdWicUJK5Swo/Yj4GAOOOAHBPOkJG2/bzpQx5ytvHqnh0f3tVQ/RNB/lPZ9/wDAufxo9V72WzoEbTbiJM6Mysy3DuuOpScYTxwTVg/RNFf5V2fD/h7mf78eqSEA80g+yK1+GO1Kdp6fmqqKrNFVGUC+75KxBu1pH3UhfrCPlrA3izj7rwvd0fLVed1PqU+1Xu6n1I9qrHlzwVj5Qv8A0x1/wrB9+rN67Qvd0fLWQvNn8V2he7o+Wq9bqfUj2qN1PqR7VHL8yTyhf+mOv+FYcXezH7qw/wBYR8tMHa1MhSoltTEmMvFLzhIbcCseCOeKjbdT6ke1QAByAFcOk1hayZqsadUwuhLLX5+e/BWg6BuqdK6T1lqydqrUtrs7T1pjtMrny22EuK68khJWRkgAHAq5ru3PYux/G7V9Ip/tdg/AquSWAeYBoAA5Ae1VJV4RHVymVziLqJT4i+nj5NoXWB7pF7B4+es2u6V4epuCVfBmtF7pQ9H1oEL2t6eP5Ly1fAk1yuye2jeV2mmBgEHtHsT3jeX2Qpu2z3rTG0DpRO3zR13Yutqus+2rRJZCtxSktNBwDeAPAoI5VOyTxJ8XE1VHYvD7t2l2YEZDCnZB/qtq/eRVrwnhisdpiRHUQwA5NZ+5H7L1r8M2F1DPUH1n/IA/ukKVPt+qU3Sx2bU8qFMtUlEaa5B3A/HdKEuBH2RCk+EhSTkA8DzBzTX2SRX4l62gxpkyRc3Y+pExzdZakmRLSmGwoNubqUpAaC9wBIA4k4znOESy690hqzVkqxaZgXmFqW4IusaQ5dExu53eoQ0pp9KklRQC3vBTeTgkYBr6W96Psa0vFOqFT7k7dbnIm3m7QoSnGGZUhRcW86kZWhkeC2kgEgJTnHGqDVa2Mxxm+tawyvfInnyItY/C603KmSdlRUtLOTLtYm4ba5a3bkbg3uNljci9kjal1uxtA1DYdnibHd7bZL1MEo3a5Q1RkXDuJaZHcsVC/D3lltJK1hI3Eq3QokGpeSSoFR5qOT+eoqm3237VdZaVY0c6bha9NXM3y5XZDawwlxDLjbMZtagOscWXSVBOQlKeJyQKlVHBIB8VN1QDAxgGrlmOe+085ACl4S50sk0pfrgkAOGwgAZC24OLs894JJC9oowe2ioauVc64SnWbzb2voghxW1534jiE9ZJ4EDcJORhRTyB/bXyt0qQdS3SK9qmHLQlDa27chpCXog4ZKiDlQORzHjFa15hzX9SW11rSUOcy2Elc911KVxfCJO4kjJIwDwxzr62+NcE6puMh/TcGNGUjDVwQ4C/IOEcFJxkDhjiftBXpxGX9L5aa7Mjn50haykvy9letnJF7hXJXeq5YVESAhlJiqKW+BOSAc5PHwq42s/xLf5CfgrsTqCFLhbI9ZtTNNwrKpVonqDMV0OJWO5FDeJA58MewBXHZn+Jb/IT8FXWF+v8FBmvqtv+/wC+atn6G8gq2zagV2aZd/bKYq/8WHqETLsX2rUmO8FCHuNHrFHjgunOCOVcjtjO2vWGwvUUzU+i2La7LnQjAdE9hTqOrK0ryAlSSDlA455ZqYPriO3v1u0h72vfPVxXUEtRLrs2J+nqWws1Sug5tmrU6dEZtFhNzLxUodQsRQjJx4PMqxjjwrcei6h75wHIyLYIyGgmWpaFdYDxyG8chyxmudw9ET29etmkPe5756vfrim3j1q0f73PfPVC8Uz/AGVJOIMO7ju4/eS6Ds2/VIRd+sasyevOIKENK4jJ4vHkrgRwA7a8fturnbfb2GnLK3IQtSpalsKW2OPg9Wnt7ckVz6Hoiu3jx2jR5/s9/wCer364rt39Z9He97/z1Himf7KPGDL3sOrmt986enomee/Wz8f8LcvjsVSepM229IHXG3uXaJmtYloYXZWnmo4t7C2goOqSVFW+tWT4CcYx46jOr2kidDCGO2hVcrg95cEUUsaO02/rHVln0nFltRXrxOZgtvOglDanFBIUoDiQM+Kre2L0Nx+bFalXXa8031gyUxLMVY8mVuj4KWaqigIbIbFdMgkkbrtGWxUqoroJbPQ3tm7GDd9oWqJh8YYZjMA/3VmkmybEOgOzrtvZsraCzd9TGUYIt7+plby5Q5x95oIbL2QR1YVvZ4YzwqOcTgGy5+C6FLIqKssuvutsNJJW4tKEjHMk4H7TVoJfRM0cWgpnVV3irSnwy4GXEg4480jA5+OrgWboldHWxPtSoOyq0qfYWlxDklb0hSVA5B+yLIyCKkVekdLdQ4wdN2tTbqVIcQuI2oLSRgggg5BBORWV0glxKufEcLqORDb62QN72tlsysetXuEOoaRrxXQ8oTa2drbb58+XUucMroiFSd+269CgRkddA5j2UrpGl9EvWjWTD1NZX+wLS62fimrPG4Wpi5mwtTIrcttgyEQ0rSHExwvcCwgcQgKG7nGM8K+MfUNimXSRY4l7t79yhpC5ENqU2t9lJ4ArbB3kjJHMDnXk0f4g6SQkgy6wGebG7OOQGS9GfohgkgHmWJyycdvDMlVKuvRq2mWqI/OWm0PMRmlvOKbnYIQkEk4UkeIGoqBBAI5EZq+G1aebds01PMSrBTa5CQfKpO7/AIqofjHDs4V6voHpDXaRUss9bq+a4AWFt1zfM8QsBpZg9Lg08cVLfMEm5vvsFKfR0hh/XUiUU5EW3OnPYVLQn5asqDwpA9Dn0NZNTXHXd3vtpjTmoseBDbTIbCwlS1OrURnkcITVsbjsv0qm03ae7svackxHHO4otvnqDkxoHwCCSlLalD7U8u2o+kmFzV1cZGOFgAM7rUaIaW0eC4cKWaNxNySRbf0kbgq216CQQUqwfIasJK2J6GcuVyht6e1Ey1BhtSm32pYKJS19ZlloLJJWnq05zgfZEceeGtN2W6Di2C26jkyNbW1m5NrcEd+0KdkRglBWQ+2hsqbOE4GeZIHMis47Aqtuyx+K2TNPMJf6RcOlv0JUR/u5UVMkzYNp6Ne2LB9MFbVwlNl1iO7BBUtI3uIIUAfSq4c+BrVb6Pzk196NZtdWyU9HUUutlhQU3hakeEAo48JC0+ylXYaZOE1g2M7R9VOZphgxteW1+LXfRRLkdtFffvK9/vRaPbX8lFP+JKz2Fx5Z4N+sOo/RNkeiW658ey6w++T/AJlZfXLtbePZZY/fN/zKppRXrXgFP7PzXzp4RJxVutSeiK6v1Jp266df2ZWZhF0hPwlOouTyi2HW1IKgCjiRvZxVREp3UJQPtQB7Ve0U/FBHDcRiy4fI5/pFFFFFOrhFFFFCEUUUUIRRRRQhOjZZMFv2m6RmnkzfYCj7ugfvrsLpxe9bdz+jcWj9uf31xi07IMTUNqlg4LM+M5ns3XUn91dldLO5RKbzycC/zHPyVncYsKiM8QR8irmgGtSyDgQfmErzISZ8KRBcdeaTIaWypbLhbcSFJKSUqHFKhngRxBwaifabsTtLuwZrYvs30vCixYzttj2tpJQhFv6qW0szStXEuNhC3SsZcWvtUompfChmoZ2sM9IhzaDCe2azZDOnY9vjOR2Y7FvXHl3HulfXt3JUg9e3G6jq9xUXwwesJyQhJr2i6FM3jUe0k/trBziOFZKOCRjHE49isTnHAZpCgKjl0ukHU+0q1w7Cyp6RpSXJdu85LKkIj78dSEQi4QN9a1OocLYyAltKjjKcodh05AsW2GLb2LQm2RbZYJirc8tKOtuz8qS05McK0jJ6ndbBSs7xL28BujNOF+ZsouU+7So2q7ZHm3Uhqc9CvhjOuls4SSUOJIWAkJ3hhW6N3OOFbtj0npOPdot7tNxfmOwozsWIly6LloYQ6pBdKN9Slby+rQCSo8BgYyc+ByvdStLC17Rq6ti3fmSb3A2ucNnoE+tmvY44xO5rgWuOtrXBGzIWtbgAdvpDgkbpASu5tkGoDnBebZY/SeQPgqlR51b7pQSFxtlbjOCO6bjFa4jmAVL/AMNVBAycV7J+FcWpgr3+1I7/AMtC8609k1sTa3gwfMroL6HdDjWTY9q/Vk1a2WpV7La3UpKiEMx2xkADJwXFVZNx22s6dt5i7QZURlctSmpz7iFqkbgXvtErGCnCVH+pnlUTdD7Td1tXRWsBsbUJdwu65Ny3JiSWVBySr02OP8WhOPzVM93jXdEe1NMaZt1yfbUkvrWEJaYUcb6kBXEfbHh5O2r+qe51U4t+/uyo4msbSgPvmdxz2dF9p23WzKfm9/mI7GpoLKXHULVBcQgvLaDa95KOO9xOFZwcBB8tfJhzWfddyCpVkkNICu422w4haFFWUJdOT9pzIHE8Rwr5NoVI1g89I0g4lEFpSmLqp0ELJQkFKW+eSCRnsT5abpRbJGlr1JlbO79HN8ldTOitrV3TIyM9YDvApTxIz4OONcE6u1RmtL7kE7TvP7/0nY3I1cjvYmTaLe4XVL74LakqCY43hubgUMrO6TnlxHlr4G7zrbH1Bdrpppq2MW9pbzUkPocVLbQHFlSgkZTjGcKJ9OfLWgmNp63Xm3Mhd3besMApbQFrUz1YbPBw8lqCe088eM0zdrWpodk6O20DUFtvU6elFnmstuzAQtDi2+qCRkDgFLH5zTbCJJAwb1L5F8cWsb2Fs1y7+nFff6Zz26Ka/exnsFFa3ko+Co9d6+lFFFPJEUUUUIRRRRQhFFGR20ZHbQhFFGR20ZHbQhFFGR20ZHbQhZtLLTiHQcFtSVj8xzXZDRsnr1t+ER3XGBBSeOd0KBGfz1xrUApKk5xvAjNWus/T/wBTWK32+PD2cWt2TBjtMl565O7rikICSrdSgYzjOM+OqbFaOWpdG6IXte/xsrXDqqKCOVkptrAW6RdX1TdYTlmkOuypjrKXWEdeZO4tQd3MYW2AQBv+Lng8a+N1vEFMe23B+AFqTHLzYclKHhBxtG5zG8crzkg5xjx1QOb6INtacjqiWnRuibcyrB3RCee5cvTOgHGBjhTdm9OjpHy+DOqrTCHiEayxxujOeBWFGogwqoO0iy5fVxmOzRZ3HaNnDLpXSuK9nUshhq3tNIJcQ6+lvwlqAbUklXj9MofmpeEcAg7xOCD+2uSVw6WfSNuRUX9rt6b3vFGSwx8RsU3Ljtx2zXYEXHazq98HmDeX0j2kqAp1mESj0nBI+tYbarbJv6yhph6vv8Itj+D3aa1gjluyFj91JTalMq3mVFsjkUHdP7KHHVvOKddcUta1FSlKUSVEnJJJ4kk+Oscjtq+tlYqu33C3ZF6vMyIIEu7zn4yVBYZdkrWgKAwCEqJGeJ4+WtKjI7aMjtrljGxizBZK5znm7jdTLozpebfdBWC36W07rGM3arWwmNEjPWqM6G2k8k7xQFH2SSae1u9EL2/wyO62tKzwOfW2xaCf0HRVZMjtoyO2mnUsLsy0LoSvGwq4UH0SraO2Qbns301IHj6iVIZJ9vfp0W/0TRjATdtjzwPjVFvSVfsW0PhqitSvsY6OOtNuFvuV00zdrNBj2uSiM8ZzjoUpakb43QhCsjHaRUealo4mF8gsPinonzyu1GZlW1geiT7MX8C6bPtVRs8+rVGeA/8AUTTS6RnTQ2U7U9it+0No+Nfo90u5jNhE2AlpAbS+hbmVpWoelQfZzTKjeh77QnP9J2gacbH/ALONJc/cKVI3od1+OO7dqdubPjDVpdUR+k4KgCXDGODg/Z0/RS/Bq5w1Sz5Koe+aKuR9btc/C0n3l/8A7UVL8cUXt9h+iZ8WVfsdo+qprRRRVooCKKKDwSSPEKELdt9lvF2JFrtUuXunBLLKlgHykcK19ead1no7S7t/l2R2IgvNRkOP7vgrczg7ucngD5O2rW6ctcSz2GBb4LYQy1HbwAOZKQSo9pJJOajLpUAfSmVw+68L4V1AlqXap1VaR0LQA5xUIaS2LdIbXmn4mqtMW+RLtk9K1R3zcYrW+ErKD4ClAjwkkcR4qVz0Z+lNnhYpHvxD8+ry9DLZPf8AUXRo0ReoU63tsyo8pSEOFe8AJj444SR4qmk7D9Tg4N0tQJ8RW55teV1ukGlcNTIyCnaWBxDTnmAcj6e8La02F6PPhY6achxAuMsjbP1eK5XnozdKX1ike/MPz6PqZulKfuJI9+Ifn11RGw7VBGe+lqI/Kc82vTsN1OOd0tf6Tnm1E8o9MD/1W9R76e8U6Ne8Hs7q5W/UzdKUfcOT78Q/PoHRn6Umf5Cle/ETz66ofSP1OTgXS1fpOebWX0jNUeudr/Sc82l8o9L/AHVvUe+l8U6Ne8Hs7q5XfUz9KXn3hk+/ETz6PqZ+lL6wyffiJ59dTzsQ1MDg3W0g/lr82svpHao5i52v9JzzaPKPS/3VvUe+jxToz7wezurlb9TR0pgP5AlH+14nn0fU09KX/d+T+e7xPPrqirYhqgcTdbUP67nm1iNiGpycd9bST2b7nm0nlHpf7q3qPfQMJ0a94PZ3Vyx+po6UnrDI994nn0fUz9KT1ike+8Tz66ojYbqg/dK1fpOebXn0j9T5x3ztX6bnm0eUemHureo99HinRn3g9ndXLAdGjpS+KxSPfeJ59H1M/SlH3Cf9+Inn11QGw3VPrpa/0nPNoOw7U/211tY9lTnm0o0j0w91b1HvoOE6M+8Hs7q5XfUz9KQ/cOQP7YiefQOjL0pieFkk+/ETz66njYdqgnAulqP9Zzzay+kbqj1ztf6Tnm0eUel/uzeo99HinRn3g9ndXK8dGXpTD7hSD/bETz6+czo5dJu3QZFxm2d9uPEZckOq77RDuoQkqUcBWTgA8K6pHYlqRJ3TeLSD2Fa8/FpC2g7GdSwtA6mmO3G2KQzZZ6yEqcyQI7nLwa7j0j0uLgHUzbX4HvriTCdHAwls5vbm7q5Q6MvEy7wHTOdDrjKk7rm6AVJUMjOPHV4ugm3cL1o7aVpa1Xx20TpHcbsWcykLXGcW26gOBJ4HBSOHDIzxHOqG7NCFW19Y5FLHxDV5/Q5Fd1bRtW2ZTxQl+xsyMDxluQB8DleqVrTLQO3n+Vg6dzYawX2fUKdVaPZs7hj6l6QEkTIr3WyS5P6teUpjqCFtqfIQnBaKhjJTIPEbySHrYNf7NbPEtmmYu0C2THt9MBjM0POvu5BAJBJJO+kgk4IUCCRxpM1j0cthesdZ3XXeptYS+60usouTDd3YZjIUlCEIQ8ndyCeoRwUriWx4k4r7t7JOj/a7LFk3fWyZ1tuz7MSE/PvbKmJDbCUR2YTZACHUICNwJ8JSsq3iokmsuacuHnFXAqwx12D5rL6ofYd+FbTX65/+KK1fqGOjt/uk/wDrP/60Vz4IF14e/gFyyooor0BZRFeK9Ir8k17XiuKVDyGhCt1ZV9ZZoDnqorJ/uCor6U5/zTr8l3hfCupN0yoK01aVZ5wmD/6YqMulJx2TrHbdoXwrqokyBWhGbb8yvD0B+u+o62fdzbnW9xTgjf4J3u7pGM+TNO5/TvSDnJQLje9nrxSkDwrVJVg7pzxKs8TjljgO05DI6CFybtfQ72eSX2XVthiaCUbvD+HyMcyKnEa1th4dzyR7IQP8VUcjm6xDikZHK7zowfgCk/TUfaLaY9yf1jdrBKjtx96CzbYLrBZKQchalrO+MBOMBPjra1dH1xcLbFRo2ZZGHF7xld9I7jyFoKOACUEfbHjx5ftyuGqIUi3S222HMqYcAy6yPtT+PW/Eu29uQkwXlPtsNuKbDjW8lCsgKI38gEpUB7BpARuXDmOGTgmFZNN7bIVzYkzrhs8DCXG0uiJaJLbvVkgOFCi4QFbu9gEEZPHhT/uD10d74QbU9HZlJhBcRx9srQh5XWBJWkEFSQUpJAIPPjWx3ZJ9apP6bXn0nKuTsa6ypD9ueQ2mKzkqcaAHhucyV+WlLt5KbaxrRZot0Jhr0xt0lSlv3C47OZAxnJtEkKWdwgBRKzgAkHhxITjhng7rB9HltsEp3Wk6ySJ6AOpNrjONMpSOHEOKJyeHDxUviZJIz3qkj+u159aN9mPptEpS7c+kJbySVtgAAjJPhUF2WZyCGsaDdozKZ2qNN7X7teXXIFz0M7a0ur7nbnWl9yQhojgCsObpOcZITjhyrHSuk9qFt1DEuV5kaIEJDi0yW7fbHm31NFCsbjileCoK3MjGCArkSMOZvaJpV5W4zd4S+JAKZrBB444ELxz8tK0e8ImN9bEiuPoPJTTrSx7YXTEdTBMbRvDiOBBUlzZ4m2cCAeNwk13V7MaS/FkQ3Cpl1SMtkYIB4c/HUZXCftZlT3ZrV20aspcJjF6zPbyWwolO8rrCSoDHLhnJ8YAWr62q7zZSszIpRIXjdcU0Sc+PdPEU30WvVTJymepQ8QFwV8C2lVS1mK1FNJqiIubxbn1haWmwmnkjDr2NuNk+tIauvzFrWNdPQ5FwL7ikqtkZbbKWuG4nC1FRUOOTWxra37Qb03EXoubppuMpvfeZvMB1/eWSCkjcWMeDkeyaY8VvULaiqYXXk4I3C6wc+XeCEH9lS5HkykMNo70yfBQkena7PyqscPrH1bS5zS23EWKqcWoIaQNazO9753CZ2j9PbUbXd2n7/dNHdwK3xJatdoeYdcTuncwtThAwo8cg8OXE5p0T377Ktt2asLkFu5NKU1CXLQtTKV7iSkuBJCiMqOcEGt3uyT61yf02/OpCOqI1nnyI06BMSuVIWtrcSheQlDeeSvFzqe94A1nFVUMJcRHE34BNB/S23SdMEmfftCOJKQCBaHipPhZwCpRyMcOPj40u6zZvzWxrUzOppMKRchYbkH3ITSm2T9hd3d1KiSMJ3QcnmCaW061tCjhTctH5UdVJev7rEuuzLVy4pWQiyTgd5O7zjOU2yaN5s0gp+SGdgvI0gBcNNmf8lO/kR/iVcf0Pi5qg9IMQwrAuNhnMEdpSppwfENU52ajFqd/JY+JVpug/METpM6UBOBIbnsHy70Rw/CmtRa9Gegqmef8AkX5wul6dMbOnnr3CTpmyrckyETbu2ICCX3iCpDjo3fsiuZBOTSMm97JmtGQrxFsUVdhiXBqNEZbsisR5LzqUAoYLe8jw3QSoJGMkk86eDclffV2Ii1rbQtrrTK4bjihgBJxxzg+PxJNNZu7bXX9GTpqdH2WLqVuQlMOE7cCuO6z4GVqcTxB4uYH4o7azpFlOY4uBunziios789JH/cfRXvq/5lFIu1yFooorZqkRQeR9iiihCtXo9RVpGyq7YDHxBUcdKPI2Uq7O+0L4V1IWhFb+ibGf+AZ+LUe9KT+alX/NoXwrqpl2FaBvoDoVyuhWzMkdDbZyzEjuO5bmrXuDOAJ0j95qUnGnWTuvNLbPYpJHw0xOgOHFdD3QAbJC+5J26Rzz3dIxUxCDqKSnDrjgSeYW4AParJ4g4sk81pJPAK0oKzkWFhta+82TOl8Y735CvgNSfHYjoUJSW0B5bSG1Lx4RSnJAJ7AVH2zTZm6Wd7hkuSVMcGVkjc3vtTSzBscJpbkhTLTjbyWyhtTSSGyE8cHy86Wi5QgmRurwTOJ1TahzeTzte6VcjtFJ6mmJN0ktPoQ4hUZnKVcQfDcNbHey3feEb3JPyUnqtUJ28OhEVhAQywpX2FJ3hvO8Kmu2bLqtCVwUjx0j6zWBpK8kK5QHzz/ENKPey2jlb43uSfkpJ1bbIqtL3ZEa3tKdVCeShKGhvFRQcAYHPNR6wE00gHsn5J6lIE7CeI+arTFjxozQZjsttN5UrcQkAZUSpRx5SSfZJrZYkyYKi9BkvRnAMhTLhQc+yDW+nR+rkjB0vdQf/lF/JWK9LaoTwVpu6D/ybnyV86ijrIzrcm4HoP0XtZqaV41ddpHSFI0R7rGWyt8Or3E76t/eJVgZJPbmtlKh6oe3Xx2P2Oc3CujUyPKgL7rjODrGCgrSkEkYUOIPEH2alDuSN97tfoCvdsIc7EaKOpcNUu3bbWJHNwXm+I4g2iqn07RrBts77cr86jdJStSUg5yQP21JoIAxkcOFJt5hxRaZqhFayI7mD1Yz6U1nHssJpbynI7Dgcc30Asp8AYA3R5OGfz1bxRcl8VSVtYKuxAtZb+R2im7JsyrtJlOJkhvqpCk4Kc/aopZ72W3n3vje5J+SkRGnIU6ZIdILLaJDiVIaG5vZDZByOWMEeUKIpx7Q4WKiwyGJ4c02W83pi2JQkLStSgAFHfIye2kXaDbYlv2a6tTFQpIXZJxVlRPKO5TwACQAOQps7UDjZtqs9ljn/wDTuUjY2tNwEPnlkFnOJC4VbN/5Ld/JY+JVhOipP729IvQEjON+7iOf/Facb/xVXrZsSbY9+Sx8Spp2EzE2/bZoGapaUJa1JbiVKOAAX0g5PsGtTENaltzFU8uU/Uus1tkRDrCVCOrn5ElLTgVbFJUkNpKgoKBPDgFAAjmCKZ9kkaGk6E1Sy1tWu91gx3USZ1wckOqdt6AElKWyRvBOGyeGTxVnjT/kX/Q1pkOS5V5scR9ed91ySy2s9uSSD4h7VN53aVsItER6E7rvQsSO9/HM98oaUr4Y8JIVg8AOYrOuBfawKmxN5MEE7/vaoQ+hvYV/3g9be+r/AJlFS59N3o0/hB2e/r0T5aKTk38CnNZvFchKKKK2CpkV6OdeV6OYoQrQbO1BWhLEc/7EgfDTB6UpxspP/NoXwrp9bMjvbP7GeyKB7SlCmN0pv5qVD/3tC+FdVM3rK/j/ACx0BXJ6FkK/zOhjs5RptUZMvcmEqkOrQkI7tk59KDk53eHs1Yq22MIt0ZFzKnJaWUCQtEhzdU5ujeI4jgTnxD2Kg3oCSWGOiDs8LzyGwI84ZWoAf6dI7asAbjABwZscf+Kn5ao3jzyUrpCWalht270n3SzQE2yYoIdz3O5/r3PUn8akeLpnUR1Umc/dWV6eVDUlMPfcDqXvsW4c+MDDufC+2Ax4wu3a4wFWuYEzY5Pc7n+tT6k+WtlqdDbZbS5LZSerScFwDhjnzpE0vn3jtw/1bvu7nnU3dR6buU4yo+mrm9b5SW46w4mQpO8B13gkkK4EkeLxU6O+Vv8Av6P7qn5a1GrjbxdZSjOj47nZ49an1TnloQtexWOS1ZYDWoHEO3NEZtMxyO+91S3wkb5RvKzulWcZ41lebTBRbJBCHM7njfc7R+NSgLpbVcU3CMfYeT8tad6uEBVrkBM2OTuf0qe0eWhCQ2dNatGtnp8m9tu6bcZO5C65zrW3sniCAOHHxqPLAHjpy954PqXfd3POr6ruEFrAcmMJ3iQN5xIz+2vO+du+/wCP7qn5aEJo6y01qS6MSoeidQG0XBLTakvPKW4ggofASQSceGUHIHDdzxxguC3WFDVvjNXFa3pSGUJfcTIcwtwJG8ocRzOTyrNmfB76y192MboYY49YnHNzy1td87d9/wAb3VPy0ISdeLNARaJqkodyI7hH2dz1J/GpOt2ldQNaouc666hEqxvIR3BBShSHI6+G+VOBWVDhwH4xzyFK15uNvVaJqUzo5JjucOtT6k+Wt5VxgIzvTY4wcHLqRg+3QhfDvJb/AOjd93c86mredO6imknSlzZhmPcS4+3Icd3H0YbJQSnJGQFDI9VTv75277/je6p+WtO33CAhU5a5scJ7qUMl1OPSp8tCF9W7JCCE9Y25v4G9iQ5jPjx4VIO0iBGi7N9WqZSsFVing5cUr/Z3O0mnKLpbFcrhGPsPJ+Wm5tMlxn9mureokNuFNink7iwrH8Hc7KELhhs3/kx78iP8SndTR2cfyY6fxI/xKd1aqk/Jaqup/NP3uWJaaUcqaQT5Ug16ENj0raB7CRXtFSUwj8w9qiiihLZFFelJ4ALRlQ4EKBCSe3HL2Kde0PSELS86HKskp2VZ7rGRJhPuJ3VK8FO+CPZOR48EdlR31MbJWROObr257bfvpUiOkmlhknYLtZbW5tbIHovl8QmnX0DDxZMoNL6lKw2XMeCFkEhOe3AJx5K+dTczsynXzZzovStsUzHm3NyVf5rrwO60z1YSlSsceRbQB4yr2ar8WxiDCOSM5sHutfgA0uJ+AHWQpOHYbLiXKCIXLRfpJIaB8SU6tlKyrZ7ZuOcNLT7TiqZnSmH+ao49doXwrp/6NtjGnLUrSDUkSnbG6Y0mSnglx5QDi0pHiCFKKe04yaYHSk47KVf83hfCummVMdZDy8Ru1wuOcHZ1qyMT6cclJ6QyPSNquZ0JLE7fuhps7htuxWyEy3SZEbr0lInyDjdJA48OeRw5GrFWSxxbPaYlr6tlzuVlLW8EemwOfEk+2TUCdBG62y1dEHZyq5T2IqXI00JLrgQFHu6RwGan1GorE4kKRd4igeIIdFVLgNcneuHPk5PVPo3v8VldI0cW2WRHbB6hz7QepNNf6W8WXq1nWMiTHDzSmVs9XFKXkJQyWy0XN8hSFBat4bnHwePgjC9db7ZjbJgF0jZ7nc4dYPUmiPqzS6lIhJ1FbTIS2FlkSkdYE8OO7nOOI44oTKVO5Y33u1+gKbGpNIwNVSXbbKSyllsxXloLWUuBJe8A4KTg73bS73/snrrF91FJw1Jp6Pd5SpF8gshTDGC4+lOeLnafLQhbli0/DsVqjWpr7MiMkoQtxCQQnJISMAYCQQkDsAySeNZXqNHFrkkMNDwPUCvWtQ2J9pD7F4hutODeQtDyVJUO0EHBFal6vlmNrk4ucY4R/SDtFCEiu7NI8nWrGsn7gC5HkqkJYDOUnLXVAcVYT4ITkgcSnymnj3LG+92v0BSd9Fel+6TC+iK290pzlnupHWDx+lznkR7dffv9ZfXWL7qKEJC1LpNvUssxEqiNNs9Q8tD0XrkO4DwCSkKTwyrPMg4xilbT2nYdgsVvsiUtviBGbjh1TYBXuJA3iOPE4zzrWVqXTsS4yn5d8gsNlphIW7IShOSXMDJPOt9OobE4hLjd3hrQoZSpLySCO0EHjQheXmNHFomkR28iO59oPUmkKBs8gRNVO6qWuOp5xbpCG424AlaEpCT4RB5FROMqUrjwAFKV5v1lNonAXSMT3M5ycHqTWbes9JPPCMzqa1uPEZDaZSCvGSOQOeaVD+qew0ISp3LFHKM1+gKaF70f9E5kMokxY6GZbxIXEDhKlMoSCCFJxu88cQSBnlinJ3/svrpG90FaVtvtmS5OKrpGAMtWMuD1KKQgOFiu45HQuD2GxCVI8CHGZbYbjNBLaQhI3BwAGBTe2nstJ2aatCG0pzYp44DH+zuUtC/2Q8rrF91FN/aRcYMzZtq5MSW08UWKeVBCgcDudylXN87rhps6/kxz8hj4lO2mls4ObY4fxGPiU7a1VJ+S1VVT+aUU69mEGy3PWEW3X6EiUxIbcShCyd3rQMpzg8eR4eWmpWbSm0OoW6jfbSoFaeHhJzxHHI5eSpIyUGpiM0Lo2kgkEXG0KzP0JaB9YbL7m3RUd/Q9sQ+9pP6wnzaK6vJwHX/C898Gk/Um/wAf/ooHU67a9ZjPCNd2E54cA+jgD+cbo/OKmi53iz6g2M2qCZSXLvYXurUy2hS1NtJUpGVkAhAKCg5URnFQzrOO6bUm5xs9dbXUyU49SCAofAfzVOWw26xtSWC9aLdeCmLpFMuOkqyAFo3FEDyHcP5qzWOnwdjKr9N7XfA5H5r3nRRprJ5MPBA5eNzM8/OHnN3jPLI9ijGJG7slsQ94jr3UNZAJI3lAZwOJ5+LjVx06o0nB69uHPZ621RkuOx1NqakIhR0leChYCt3wD4sZVVXdm1ocmbS7DaZTZ327mjrk9nVEqV8Q1YXbFLdXoaJb40dDk28zW0shScqA3us4HxBS+obPaHCPHWF/ERwrcQpKAXzBOR9o2va2eTTvCt9Dr0NBVVptkQMx7I2c2bhxSdoFqQdPJnzMmRcZD0x0nmSpWP8AD+2mJ0pP5qVHsu0L4V1LMOGxbojFvjHLUVpDCD6pKEhIP58Z/PUT9KQH6U7h7LtC+Mut/FEIIGxD1QB1BZx5L7uKun0H7FF1F0NtnUGY66hoNS3CG93wimdIwDvAggHB5cwKsVabazaLdHtkdx1bcZAbSpxe8sgeMnxmoC6BCZSuiDs57meabPc03PWNlWR3dI7CKnzq7t4psP8AVlefVW8DXJTRkcW6l8r3ssrtwtcwgkYjufFNN6Ds500zrAbQuqfXeVsKa61TvgpSsJBAAHYhIGc4CRS1Jh3SVGejLnxAl5CmyRGVkZGM+n8tZoYuyEJQJ8TCQB/oqvnKRNrexTV1Vo21a4fetV5dlJjtIZd3WHurKiQ8nBODkYUTjtwfFS91d2+/4n6sr5yviiFdES3ZYuEXedbQ2R3MrACSo+r/ABv2UIX1slngaes8KxWtotQ7fHbjMIKiSlCEhIBJ58Bzry+EptMkgn0n7xWfV3b7+ifqyvPr4TYNzmxXIq7jFSl1O6SIysj+/QhJsLZ7pmDqh/WLMV03N9xxwuKdJCStIQd1PIDCf2qPMmnJitTq7r9/RP1ZXn0dXdvv6J+rK8+hCRNS6UtesX3rXdy6Y7Qjv7qN3Cjh5OCFJIIwo+Lniliw2WDpyywbBbEuJiW6OiMwlayopbQAEjJ54AArBMK6IluyxcIuXUIbI7mVgbpUfV/jfsr7dXdvv6J+rK8+hC8vJ3bPOUM5EZ08/wAU0jQdA2mFfH9Rd1znpkiQJKlOPDAICglIwkeAAtQCSSBSpMhXWZEfiKuMVIfbU2VCKrIyMZ9PX1DV3+/4f6qr5yhC3MVpW1RU5OyTwlKH91Ne9Vd/v+H+qq+cr4x4N0jKeUi4xT1zpdOYquBIAx/GeShCUsU2NqQ/zZ6s/wCRz/8Ap3KWuqvHrhD/AFVXzlN3aUmYjZnq/uuQy7/kKfu9W0UY/gznPKjmhC4ZbNv5Lc/IY+JTvpnbMzvWp05+0Y/+3TxrV0v5QVXU/mlFfRhh2S51TQSVYKvCWlAwPKogD85r5069lkgR9f2cqxuuurZIPIhaFCiqldBA+VouWgnqC6ooW1NTHC82DnAX6TZIXea6f0LP64x59FWw7ht3rfE/V0fJRWH8rqj2B2r0XyCpv1D1BVCcgplrXa31gh5aoq1bvMFRQTj9uM1ZPYX0UZ2mnEXRO0lL6oMjuZKBZygKbcQVkE9eftke0TRRWjxgCSAMdmCM+xYjCZn01QJYjZzSCDwT1tPR2Ytm2q43pjVCMNtyXEM978YcWwAVZ63tWTyp16n2MO3bUVhkr1MhuPaGUltgQSd5ZCzvZ6zhxaZOMH0nl4FFZF9JDLiEFQ8XexrQDc5AXtzbyr91bP4NNHfJ7ySLDMkg8ObYMk2LrA713KTbet63uZ0tb+7u72PHjJx7dQx0ozjZHIV2XOD8dVFFbM5szVY70VEegumb0k9l2j7doTQu0NFtsVpQtEOKbTDeLaVOKWob7jRUfCWo8SedLx9EL6YIGfptN+8Vv+ZooqKI2nMhR159cM6YJH87TfvFb/maPrhXTBz/ADuJ94rf8zRRS8mzgg7F6PRC+mAP+1ps+zYrf8zR9cM6YB/7WW/eK3/M0UUhjYBsXN0D0QzpgfhZb94oHzNej0Q3pgfhYb94rf8AM0UUCNltiUIPohvTB/Cy17w2/wCZoPohvTB/Cw37w2/5miil5JnBKvPrhvTA/Cy37xW/5mvT6IZ0wfwst+8Nv+Zooo5JnBIsfrhfTBJ/nab94rf8zR9cK6YP4W0e8Vv+Zooo5JnBCPrhXTB/C2j3it/zNH1wnpg/hcT7xW/5miijkmcEXXg9EK6YOf53Ec/WK3/M1r3Tp89LO8W2ZaLltUQ9EnR3IshvvJATvtuJKVDIZyMgniOIooo5Ng3JVGGzdIREmtp4JQppIHkCSKeNFFXdMP8AaCqKknlT97kUsaPeVH1ZZnkemRPYI/TA/fRRS1IBheOY/JLRuIqYyPaHzCtl1SaKKK8T1yvozVC//9k=</t>
    <phoneticPr fontId="1" type="noConversion"/>
  </si>
  <si>
    <t>data:image/jpeg;base64,/9j/4AAQSkZJRgABAQIAJQAlAAD/2wBDAAMCAgICAgMCAgIDAwMDBAYEBAQEBAgGBgUGCQgKCgkICQkKDA8MCgsOCwkJDRENDg8QEBEQCgwSExIQEw8QEBD/2wBDAQMDAwQDBAgEBAgQCwkLEBAQEBAQEBAQEBAQEBAQEBAQEBAQEBAQEBAQEBAQEBAQEBAQEBAQEBAQEBAQEBAQEBD/wAARCADVAOEDAREAAhEBAxEB/8QAHQAAAQQDAQEAAAAAAAAAAAAAAAEDBgcCBAUICf/EAFwQAAECBQIDAwQLCQcRCQAAAAECAwAEBQYRByESMUETUWEIFCJxFRYyQnSBkZS00dIXNlJWYnWhsbMYNVRykpOiIyYzN0VTY2RzgoSywcTT4fA0Q0RVZWZ2hvH/xAAdAQABBAMBAQAAAAAAAAAAAAAAAQIFBgMEBwgJ/8QATBEAAQIEBAIDDAcEBwgDAAAAAQACAwQFEQYSITFBURNhcQcUFiIycoGRobGy4RU0NVNUktEjQlLBCDNDZHPC8BckREVGYoPxJTai/9oADAMBAAIRAxEAPwD1RHXV5nRAhECEQIRAhECEQIRAhECEQIRAhECEQIRAhECEQIRAhECEQIRATYXRrwUQuy6pUyTkjSp9wTQd4FlsYASM8XpfVHM8WYpl4kuZaSiHPextptvqvUfch7k9RlKiyqV6WaYJZdodrqdtOdlEJ6r1Oopaan51TwZGGwsgY+v1xSjCrlehtcxr4jW7afz4rt/fWBsATERpiwpeJFN3DMLn0a2HUnWLgrTBY7OpupTLjhbTnKQO4jqPXGdlcqknNwmzz3NyEXG3i8dFrRcC4Vq1Kmn0aBCeY4JDh4wzkaG/DVSWUm2a7LGbl0Ibm0DMxLpVn1qT3iO60XEcjV8zZV+YNtuLHVeEMZdz2uYN6N1WhBme9rG40WCecWVc/CygSogQiBCIEKaxX1ZUQIRAhECEQIRAhECEQIRAhECEQIRAhECEQIRAhECEQIRAhECExOzbchKPTjwUUMoK1cPPA7o1Z6aZJS75iILhovZTGH6RGr9Ug02XcGviODQTsDzVQ1KaamJ2ZnGWOyaK1OIb7h3RwqkS0Gv15kK2Vj33I6t7L3ziWpTmAsDRZlz+ljwIQGbm7YH0LiqUVniWck9Y9WS8vClIQgwRla0WAHBfLmo1Gaq0y+cnnl8R5uSdyVsyThBUjoQTjxjnvdLo8CcpLpzL48Oxv1cbrvf9HLGM7RsUQ6OHkwJi4LdSA4C4I5da20zU7JuNz0i+WXZb0wR1/wCs8oo/ctqUpCmHU2JDu+J+91DgV23+kxhaoz1Oh4ggzFoMsNYZ4km1x125qZUyqS9xMKmZdCWptpOZhgcv4yfCO0OY6VdkfqOBXiiG9s2zpIW43Cc5xl3TUQJUQIRAhTWK+rKiBCIEIgQiBCIEIgQiBCIEIgQiBCIEIgQiBCIEIgQjIgQiBCIELFxCHEKbcSFJUMEEZBEMiMbEaWuFweC2JWK+DGbEhPLHA6OG461UNVaQ1PzKESipdsOKT2SjkpHdnrHn2NHmKRVzUIMPJlfcC2mi+iNOkZLFWFG0aZmRG6SEA51wXajyiN9Otcdck6FEIwoDlvvHoCk90Gi1GB0sSKGO4g7rwhifuC4woU66BKyxjw7+K9moI4X5HmnpWWKAVLI4zsEg8ooOPcdS1TgGmU05mHyne4D+a7v3Ce4nUMNT3hHiJmR7QejZuRfdzuA02ST4KEIBVw5JyO+JDuUymTp+lgWcLWeRz4D3qA/pTVRsUycOUnbw3AgwmuuND5Rsba7apuRnJmnzLc3KPFt1s5Sofq9UdkiQmvYWuG68hQXOhOD2GysCnVCXuCVMzLoS3NoGX2E8j+Unw8OkRBDpd2R23AqZaWTAzM8riFlGZMRAhECFNYr6sqIEIgQiBCIEIgQiBCIEIgQiBCIEIgQiBCIEKS2rYNaukh9pAlpMHeYdBwf4o99+qIioViBI+Lu7l+qslHwxN1YdIPFZzP8AJWbStJLWkEAzjLs+51LyyE/yRgRVZjEE5G8g5R1Lo0jgumyovFbnd17epdtFkWmhPALdkAB/gRGh9JTe/SH1qW+gKZa3QN9S5dS0qs+fB7OnmTX0XLrKcfEciNuBXZ2CdXX7VGzWDqVMg5WZTzabKubr0wrNutrnZNXn8mjdSkIw4gd6k93iIs0hX4E0QyL4rvYqDWsHzdNvFg+Ozq3HaFDIn1Udgo/dNrM1lszkskInUJwFcgtPcf8AYYg8Q0h1aku9GODdb7K99zjG8PA9b+k47HRG5cpAdbQ8bbGyrNakoecl32lMuNK4VJc55ih1juaz0pDhOkiYube3DsXovCP9JCiVePMwq00SoZ5BJJzDr5FMmdawoBtWRy32P1RYZLuVRZePAj9MLCxcCNra2VBrP9KGVnpCdkTKHM4OZDc12hBuMxPA8dFpbkc/lMdqYxsMWaLLxxFiPjOzPJPabrNOciFde10wXGysrTfSS+LzlWLhtpcszLNzgllvLdAW3jBUvhPugARt1ir1jEUjT3GXjAl1ri23rV5w9gyp1hjZyWIDb21369DupzfGltftWnzddn1SwlJV5DSnUqx2oVgBaU7lO5xgxF0nEcCde2XAOY+zqupevYLnaTDfNusWNO44342UEIwOcWcG6pOvFJCpVNYr6sqIEIgQiBCIEIgQiBCIEIgQiBCIEIgQiBCmmnFke2acVP1Bs+x0qrCk7jtl8+H1Dr8kQFbqhkmdFCPjn2BXLCmHvpOJ3zHH7Np9Z5K82WGWG0tMtoQhAwlKRgAdwEUIuLjcrsbGNhtDGCwCXJ74YSnrIcochLAhIUggjA3gSEXVOas2ZLUdBuemsdnLKWBNpSPRbJOy8dE52PdmLnQKo6NaUjHXgf5LlWNcOiXaahKCw/eH81XGYtg2XM9XBRi7rSZrjZm5RCUTzacAjYOj8E+PcY35Kc72OV3klak9TxMNzt8oKrX5d6WeWw+0ptxBwpChggxYGPa8Bw2VWcx0N1n7rAJxudoeXck2x4Lo0CnIqdakZB2el5JExMIbMxMf2JoE+6X+SOsak5HdLS0SK0EkA6DcrfpcBszOQ4L3BoLhqdhrxXonykL5uOzqfQLZtedNPZnpdT8xNyQDXa8OEhKCn3IOeI46ERzbCNNlqjGizE0MxadAdfXzXaO6JWpuiysCTp7sgcLlzdNuXaud5MmoF11+vT1n3FPv1an+Zqmm1Tau1WypKgMcStyk55HqBiNrGdJlZOEyblwGOvaw0utPubYhn6jMxJCdf0jMtwTrbtVdXFPopV61eiTNWkp9KZtam5uUTwsqKjxFAxsMZxttkGLVSiY8jCiBpGg0O+i57W2iUqseBnDvGOo27PRsnMjujbutC4U0iAVmS4PDxkHhzjONs92YQkA5b6pxY4Nz202XTnbZrVOpDVenZPspF4oCHVLTvxe52zneNOFUZeNHMsx13BSkehzstKidittDPHtXMIIAJBAVyONj6u+NwOBNgVFuY5oBcNCkhU1ECEQIRAhECEQIXctiz6xdcx2VPaCGUHDsw57hHh4nwER0/U4NPbd+ruAG6nKNQZqtPtCFmjdx2VlyOjNuMsgT81NzTnUpX2Y+ICKnFxNNud+zAA9a6HK4Ep0NoEcuce23uWvWNF6W80pdEn35Z3HooePGgnuzzEZZfE8dp/bNB9iwTuApR4vKvLT16hTi3KLL0GjS1KYSMMIAUR75Z90fjMQM3NOmozozuKuFNkGU+VZLN4D28V0cnvjApBEJZCyHKFQkJ3gQkye+BC16hIylTkZinz7Idl5lpTLqFclIUMEfIYfDiOhPERhsRqFhjwIczCdBiC7XCxXjtVQfs+7alYVdez7HzKmZWYXzW3zb4j4pI3jsku0T8mydhfvDUdfFeZZofRNSi02N+4dDzHBSMYIziMCzOcLaKN3babVbaM3KoSidQNj0cHcfrjdk5owHBrvJUTOSgmBmA8ZVi7Luyrq2H2yhxBKVJUMEGLA17XjM3ZV/IYRLHjVCFBKkqCEnhIOFDIODyI6iCIzO0tKRj3McHAbL0VT9T9MdT7WlKJq2xKSU63OiXk0yqXEdkkpAS4F+8HMHfGwjmkeiVOiTTo1LJc21yTbXmLcV2mUxLQ8SSDJWvgNfezQLiw4G/BPzF/aQ6M0aryemPms5XkPNNL84U46JgZyf6qNilIzyIGYxwqVV8RR4cSo3EMgm+gt6FnjV3DuDpaLCotnRgQDe5zenkOrivNdRnFVGoTVQW000qaeW+W2k8KEFSirCR0G8dNl4Al4TYQNw0W1XDpuOZqM+OQAXEmw2FzdYedTX8Jd/lRlyBYukfzXpK3rRrd0duaTLpWljHGpawkZPQE9Y55PVGBIFojHddYpVCm6uHGWboOeiu+nUGk022ZWnVyXkFNyjSVvlaEhoLSN1nP6zFAizUWPMuiwSbk6c+xdllabLScgyDNNbZoF+V+a5n3QdJ60s22u6aBN8WECVU8hSCRyAB2ONsRm+jKlB/b9G4dditZ1eoUz/ALo6PDPC1wtfVC1KtWrKNNsiWkET0u404w26kJQpsHKm0q97kdYzUWfhys6I02TlN79q1sTUd9QpnQU8NDwQR2cRfrVPVWjVSgzYptZl0MTYaQ6ptC+MAK7ldRnIz4ReZSbhTrOkgm4uuRVGmzFLi9DMizrX5rUIxG0tBJAhECEQITkvLuzcw1KsDLjziW0DxJwIZFiCFDc88BdZYEAzUVsFu7iAvSlv0SVoFKl6XKoAS0n0j1Wv3yj6zHLZqZfORnRXndehKZIQqbKsl4QsAPbxXSIGI1rLfWMFklkZI5QWSohUIgQshygQjAgQjAgQkIGOUCF428qaTRK6qqfbHCZuny7qsdVDiTn5AI6/gd+emFvJxXm7upwWwq5nbu5rT7wuHZV6EBukVd3IHosvqP8ARUf1GJedkT/WQh2qrSFQzDonqdOLA5GIoC6mQ3MLqN3RbDVabM0wlLc4gbHo4PwT/sMb0tNGD4p8la01JNmG3G49qrh2WcYdWy8hSFoOFJIwQYmWvDhcKBfCyGzgsSgEEHcHpBexumlo5LVdlygggAJMZmlpWq6GWpvB7oyLGjBgTvFXtzR2iViRlXqpMTCRITqAploKySoHHEe7YYjieI5qDFiCE0eM3c/yXpbA1PmpaCZl7v2b9h/NU75Vd+1SZuVFgyr7jNOk2G35pCVYD7qxlPF3pSnG3ecxasD0qH0Bnni7iSB1Ab2VF7qdemHzgpMFxDGgF1ja5OyoHAxjG0dCtpZch616t8la/arXqRUbSq8w7MqpAbdlXnDlQZWSOzJ68JG3gfCOS42pcOTjtmoYsH3uOsL0B3Lq9Hn5aJITBv0di0/9p4ehRnykKRfFv3e3qCKih6juBuTlmu03a9HKmyjG4JBPFEpgyPJzMuZENtE1JPP/AFyUD3SJKoyk8KqX3hGzWi+3Vb+a49v3BJXDJJmpc8Lg2caJ3Qfq8YmZiWfLPyuVTlJps43M1dTA7o11tLYkadO1OYErT5R2YeVyQ2kk/wDKMMePDl254hsFtSslHnX5IDS49SmVP0duWaSFzj8pJgjPCtZWoesJ2/TEFFxLLMNmNJ9it8tgSfjAGK4M9q7NI0hqVKq8jUV1aVeRLPodUgNqBIBzGjNYihzMB0IMIJHNS0jgeNJTcOOYgIaQToVaieW8VPZdJ3SnlAhYwIRAhECEQIWQ5QISEnMCEo5QISK54gQqn1a0EpuptR9nk1yZkak3LJl28oC2SlJJGU8xzO4MWihYmjUZnQhgc0m55qg4rwLAxLG76MQsiAWHEac+K8mXbadbse4H7dr8v2U0xggpOUOoPJaD1SfrHSOryFSgVWXEeAdD6weS8+VWjTNDnXSU2LOG1tiOBCklo3cQlFLqrmRsll1R5fkq+uME3Kf2kP0rakJ139S87KccJUTwoJwMnAzgd8ROdrdyp5rXPF2i64FyWy3V2y/L8Lc2gbHo4O4/XG3LzJhGx2UfNyzYvjW1VevMOsOqZebUhaDwqSobgxMtcHi4UE5paS08FgWyoYKcgw8GyxkXWstgIOMbd8ZWuC13Q7LHgEOWPKvZmjU9X5nzpl+d7SlSraWmmlBOW3Sc7HnjB6xxfEkGBDeHNHju1PYvSGA5qcjseyI68Jug6iq18qPTKrv1dGodIk3ZqWXLoYn0tJ4lMlGQlwgb8JScE9MeMWDBdbgwYfeEchut29d+CqvdOwvMx5kVaVaXAizgNbW2PYvOqEca0toSVKUcBKRkk9wA3zHR3RGNZnJ05rjTYb3HK0XPJeuPJl01qtn0SeuKvSqpacrAbSzLuDC22E5IKh0Kic46ACORYwrMKox2wIBu1l9eZP6L0R3N8Nx6NKPmpkWfEtYHgAq38qeu3kLtFuVKYSigLQ3NyDCOHCyBwqWo88hWRgxYsDysp3sZiH/W7E8uxUnupT9R7+ElGP7GwLQOPWVTtIqs9RZ1E5IrwoH0knksdxi6xoLI7S141XMJWM+XeCwq+tNJJepb6W6cosoYwZ1RGexB5DxJ6f8AKKTWpoUdt36k7DmumYapkTEcXLD0aPKPJei6DblKt2TTJ0yVS2n3yzutw96j1Mc1mZuLNvL4puV3anUyWpkIQpdtuvie0rqcIHSNZSCMDugQlgQiBCTAgQjAgQjAgQjAgQlgQkwIEIgQjAgQjhECF518r+kynsXb1bShKZpEy7KlWN1NqRxY+Ij9MdAwDHc2PFgjawPpuuOd1qUh97y81+8CW+hea21nh5+reOlll1xAPs7MCr8rt1XtYtpWU1p7RETsvU5EPTU2unqmFTL5Iy0oHJQCAPX0xiOdS0tJ1OamTUYhaWkgC9rDn1rsc1Pz9Bp0k2jwA9rxdzi29zy6kzqXWqXQb6bpTzCJIzskxNPNgKxLzDgytBJJBGc8sAco3aAyLHkXPuSGuIB5gKIxdEgSdSbCYA0va1zhycRr/rgozcVvNVZszDGEzSRsrosdx+uJuXmDCNjsqxMSgjC7dCoE+04wtTTqChxBwpJG4MTLXBwuFBvDoZyv3TChxZyM5hwNky6x7FHcYXMUlgryarFx0qSmm7arb1MmJlABdbSlRyDkbKBH+2KVGkpaacDMMzWXQpWpz1OY8SUTIXK4qRqhbdKsum1a+bopbE2pptmcKVbecEekOAZV48sfFFFjUeaizj4MpDcQCbdnauvyWJZGHTYUxUI7Q4gB3b2LrTb2nVApft2mZeiyknwIeFREsgZSr3JCgMnORjEasNs/Mxe8mlxde2W59KkIppEjLmovaxrLXzWHHbWygusmsVOp2nKKtYl3SPn9SW35qptQW6pri/qikpPuSO9Q236xNYfoMSYqPRTsI5G3vyvwVVxji+DJUfvimx29I+2Xnbj2eleTrkuiv3hVVVu5KiudnVIS0XVADCUjAAA2A9XUkx1qRp0vToXQy7bN3Xnup1abrEfvmcfmfa11z0KPEMDJ6YGY2y0DUrSZdzg0DUr3VoxYzFi2LIU9TQE7NIE3Orxup1Yzg+CRhI9UcIr9RdU558QnxRoOwL1dg6isodKhwQPHcLuPMn9FPIhlaV571j8rmkacXU9ZFuWw/cNXlSlEyQ/2TLTigCGxhKlOLwRkAADOM5zi5UXB8Wpy4m48QQ2HbS5I57gALnOI+6FBo02ZCWhGLEG+tgCeGxJPP9Vt6G+U3N6u3S/aE9p/N0iclZVc288mZ7RptCSkALStKVJJKgBzjHXsLto8uJlkYOaTYC1j6LEhZ8LY3fiGadJxJYsc0Ek3uPTcAjfrW/r95RzWidSo1Hlra9nJ6qtuPqZE32PZNpUEoOyFFRUoqAH5JjDh3DRrjIkV0TI1thte535jYLNi3GQwxEhQWQukc+5te1hsOBvc39S6WgGu0vrhSqrOGiCkTlJmUMuyome2y2tOUOcXCnmQsYx72MGIaA6hRWNz5muFwbW1G43PUtvCOKmYogxH5MjmGxF76EaG9h1j0KKa2eVarR++TZosY1bEmzNB8VHsc9oVejw9mrlw889YkaHhL6ZlO+umy6kWy32txuFD4nx94OT3eXe+fQG+a2/C2UrS018tG2L0umTtW47Wm7dmJ95MtLvqmQ+z2yjhKHPRSpGSQAcEZIzjnGWqYJmJGXdMQIgiBouRaxtxI1IKw0TulylTmmyk1CMJzjYG9xc7A6Ai/pXo/ORkRSF0xeVbm8uJ23bprFst6YLm1UmfmJLtU1XBcDTikcXD2RxnhzjO0dBlcCCZl2TBmLZgD5O1xf8AiXI53uomUm4soJTMWOc2+ffKSL2y9SsPRHynLW1mqL1vt0uaotaaZMwmVedS6h5sEBRbcAGSnIykgHByM4OIWu4WmaKwRi4PZe1wLWPWP53VlwxjiUxJEMuGGHEAvYm4I42Om3IjsVez3lyy9Mu2Ytue08KJeUqa5B6bFVzwtoeLaneDsu4FXDnwz1iah4DdFlhHZH1LbgZeJF7Xv6LquRe6myBOulYktYNcWl2fgDa9svptf0q9dWdSpPSuwahfExKCeEp2SWJZL3Z+cOOLCUpCsHHPOcHYGKjSKY+rTjZRpy3vc2vawudPYr9iCtQ6DTnz7hmy2sL2uSbDXXt22Vd6E+VAdarum7XFl+xHmsgue7f2Q7fi4XEI4eHs0493nOekTdfwr9ByzZjpc9za2W3Am+55KtYUx14TzjpXoMlml1819iBbYc1fB2EVFdBXmjyuJC7ppdKqHmQVbsiggvNqyUzCzglwe9GAADyzmOiYEjysN0SE4/tXWt2DkuLd1iWn44hRAy8BvEcHHn1W2XnFtSgRvHTzZcQ4qX2/qRfdq052m21cUxJy7vES2kBQClYyoZGyvRGDEDN0OQn4oix2XPNWmn4kqtLgGBJxS1vL+aik9PT1Tnpmfqcw4/NTLqnXnFnJWsnJJ+MxLwZeHLwxChCzRpZVyZmI01GdHjuzPOpKmNn3gWezpFVdy2cJZeUfc9ySe7xiOnJLeJDClJCeI/ZxCpDcNvtVZovsAImkjY9F+B+uNOXmDCNjst+alhHFxuoI7LuMrU082ULQcEHmDEw1wcLhQr4ZhmzlhweMKkyK5AcdIqiuS41yW1J3FKdk7huYQD2LwG6T3HvHhG1KzT5Z+YbLUnJRk3Dyu34Kuq/X73Zp6bOrlbn3KdKFIak3HMsgJ9wUjqB0iYlZCQ6UzkCGA88eOqgZ2qVN0D6OjxXGGNm8NNlHAAc5ESdgNQoeyyAxCoAsu5ZNOTVLwoVPcAKJmpSzas9xcTmI2rRjAkYr28Gn3KXoUv3xUoEM7F7fevoWkY2AwBHn8r2AABoEp5bwicvF2vGjGq9j6rzetOmcu/PsuzXskFyjYemJJ4o4XAtkg8aD6W4B2UQQMZPUKBW6dP05tKnzlNsuugcL6WPA/wDtcQxXhqsUyrurlKBcCc2gu5ptrdvEb7A6aFWJ5OPlLI1Vrrlr3XQJSRugSqltTsqjhRONtkFSCDlSFDPFjJSd8YxiITEuFzSIImJZ5MK+x3BPHkRw2vturJgzGor8cys3DDY9tHD94DhzB42uRvsqUvG9rcvXyuWaxc9ZlZK3aDVG5cTEwo9kGpMFWOueN5Kv5UWuRkY8jhswoDCYr2k2G93/AKD3KjVKpytTxkI028Ngw3AXO1ma+1wPrW35Nl2UmyvKSqtu0irMTdCuJ+akJWYaVlpzCy7LKHyFHrVGLE0pEnaEyPEbaJDAcRx2s79fQs2C6hBpmJ4krBeHQopc0EbHW7T/AC9K1fK/qBpflDSNVSz2xk5GmzIbzjj4HFK4c9M4xGTB0PpqK6He1y8esALD3RI3e2JGRgL5WsNuwlaTbV7eU7rpIXRIWW5SJRL8p506htRalpdlXEVuPFKQtwjIGwJ9EAYGYyuMphakOl3xczrOtzJI4C5sPd6Vha2fxviBk3DgZGgtudbBrTuXWFz79AvoEDty5mONr0SvnFIaiPaV+UZcl6S9DNWclaxV2kyodLfEXHHE5JCVcs55R2+JTRVqJClXPy3aw3tfYDrC8ywKy6g4mmJ1kPpCHxBa9ty4b2KsXyTrGvC5NYprVypUB2lUlCpyY4iwplp1+YyA0yCASlIWokjYYA5mITF0/Ky1MbTYb8z/ABRvcgN4nrNlaMAUqdna0+sxYeSH4x2sCXX0bzAv6LKoKlbHtkruqT7TXG/RVzVUSRzDaagG3f6DpP8AmxZoU33rBkwTo+zfSWXHtHtVLjSPfszUHNHjQ8z/AECIAfYb+hWnqRf83qzpfo5p3JTBXUK5MttT4B37VhYlElXrKlr+LMV6mU5tIqE/OuHisFx2EZz/ACCttaqzsQUml02GfGiEB3a05Bft1K2/I9lJan+UFd8jJICZeWkJ9llI6IRONpSPkAjHjJ7olGgPfuS0+tpKydzuEyDiOahw9g14HYHtXtsbiOVLuy1KpS5CsSExTKnKtzEpNNqaeaWMpWkjBBh8KK+C8RIZsRqFgmZaFNwnQIwu1wsQvBepFmuWFe1RtklSmZdwLllq5rZXug/Jt6xHd6JUvpWRZMHfY9oXkvE9GdQanElD5IN29h1C4TZIxiJLiozNqAsnGQ6OL3364AbIdDz6hMBvfBGIUuJ0WNsMtOqmVp3YphSKXU3CWjs08o+48D4eMRs1JhwzwlLSU9Z3RxFIq9QWqo327GETKRkK6LHcfrjTl5gwjY7LfmpYRhmG6insFVf4E58kSPfDOaje93qzoris6IELkXJbcncUn2LwCH28ll0DdJ7vUY2paZdLOuNlqTcoyabY7qpqjSZmkzS5OdbKHG+Z6EdCD3RZIcdsVge06Kpx5Z8B/RuGq1m0IcSHG1pWnoUnI+UQ9sRsTVpuE10u6Ho8WK6tt1D2GuClVc7CSnWJhXqSsE/ozGnPwjHlIsIfvNIW/TZlspOQYoPkuBPZcL6FsOtvtpeaUFIcSFJI6gjIjz84FpIPBev2OD2h7dis1AkbQievK17W75Y1v3zXpzT2qqnqDUKg9MyTRmpZ5LDS1ZSkImPSbxnkn0e6OgSMzhiYlIbZ1uWI1oBNnC5HW3f06rktUk8ayk/GfTX5oTnEtF2mwJ0Fn7W5DRM6MeTrqfZVQuDVi6BLzF2uyM77FU9uZQVLnH0nLrzmzadydgSPSJJGAIfW8RyE8yFTpe4ggtzOsfJHADdMw1g6qUuJGq83YzBa7K0EaudxcfJHYFw9GvI0qk7UKtM620t5hns2/M0ylTQVuuqUouLUpsnkMbHmVGNutY1hsYxtKdc63u06DgNVoYb7m0WJEiPrrCBpls4XJJ1Jtf8A0VhqR5JN5WvflJr2hlHVMSMihibBmqm2lxqcbdKsZcIJBAQflh1MxfKzcm+DV3WcbjRpsWkdXpTaz3Pp2RqMKZoLLsbZ2rhcOB6yOr2rva36Gaq3/rTRr7ottsKpzLNMMwVz7KVNLbc4nU4Ksq4c8xsekaVCr1Op9KiScWJ4xL7aHW4sOHFSOJ8LVarVyDUIMIZAGX8Zuljcjfh/6Xq8JHd1Jjni64jhx1gSryrpZoRqbbXlJVDUOtUNhqgzE9VnkTAnWVqKHyvszwBXFvxDbG3WOhVavyE1Q2SUJ5MQBgtY8LX124LklBwpVJHE8SpR4YEIuiEHM06OvbS9+PJeqeADfujnq61ZeWtIPJ8vqjal37Ub1orEvQbnp9TkWnUzbTpWmYmApOUJJI9DJ35Y746DWcRSceQlmSr7xIbmG1iPJHM9a5Ph7CE/L1Wciz0MCFGbEaDcHynDgCTtzUc8nzyXdSLO1Wply33SJdilUVL7zLiZ1p3tH+EobwhJJHuivl0HWN3EWKpGdpz4Eo4l77A6EabnX0WUbhDAtTptXZNT7AGMuR4wNzsNAb8bqW+TxolqPYGslzXddNFYlaXUpecblnUTjTqlKcmkuIylJJGUgneI3EddkajTIUtLvu9pbcWI2aQdT1qYwhhipUmtzE5NMAhvDgDcHdwI0B5BenQMRQ11NB5QIXkvyuZVlm+aPOIwHH6ZhYxv6LqsH9J+SOqYBeXSkVvAO94Xn/uuQmtqMB43LPcVSbauPHhF6IsuVt8q62Wzj9UYjutuGfFuslNhYyNiIULG4XTJSQcHnC9iZk5KXWrdPYBFNqThLZ2adJ9x+SfCI6alg454fpUtKTZFmRFM+1a/vyf5UR2U8lJZhzXQjTUgiBCQ5APChSzjZKeaj3DxgJsLpQ3MbLxre1/33rLewYtyVm6A3S5ZyTmGTOEobJWoLWvAxxHZOBk7RXYMSfrEyYMkS21wddF0ONK0fDFPExUwIlyCNNewKNz9DvzTBuQnzU1zVIlJpLqmpZ5SWwpR9JKkkZAVuM7jMZY8nU8PhkZz80MG+h07CsUjU6DjMxJeHDDIzmkAkC/o7Fc9pV72z0GUra5JUmZtClBhauLAyQMHqDjMX2nTv0jKtmLWuuP1mlikVCJJh4dltrsvbfk96hy922gzRZt8GqUZtMu6lR9JxkbNuDv2GD4jxjlOKaS6nThiNHiP1HbxC75gHEDavTmwIh/aw9COY4FWuNxFYV9QQDzECEDHIQIRAhGBAhGBAhLAhECEmBAhLAhJiBCMCBCMCBCWBCQkAbwIXifykLqYufU6bbk3Q5L0hpNPSoHIK0klzH+coj4o7Ng2RdJ04PeLF5v6OC8x90iqNqVacyGbthjL6eKrNsxaXBUNt1ttK6Rjc1bcN2lk8kgHcZjHZPLbpxTIWCpOMiFIS2TPDwnlCWI2S3I2T3aO/hq/lGCwS53c1csVVW9ECFz7gpSK5Q5+jOTc1KpnZZxhT0orhebChjiQeiu6GRW52ELZk4ogR2RbXIOx2XibS64qVaVeq9FrDz0q3Nu4YmJtstq9BSgO0B9ySDnuztmIXC1Rh02ZiQJjxc3Eq4Y9os1WpSDMSQDyzdo6xwUk1Svm3l2xMUSm1BienKgEtpQwoOBtPECVEjYHbAHPMTeJ61KvkjKwHBznHhqqrgXDNRg1Ns/NNMNjL76X6l1tI6cKXZ0q6HptTk4S8tEwCnslAlPCgHknbPiSTEhhSVMCQBN9efD5KKx/P981lzQG2bpcce3rVqWjdtYtOssV6gzfYTcucbjKVpPNKh1Se6JSpU6DUYJgRhce7rChaPVY9JmGzUq6zh7eor1zpvrraN9NNSUzNNUusYAVJzCwkOHvaWdljw5jujkNWw3OUtxdbMzmP58l6Dw9jen1xgY5wZF4tJ37DxVl8YivK6X5I4u+BF0cQgQjjT3wI1RxCBF0cQgRdHGnvguhHGnvgQjiECEvEO+BCOId8CEcQgRdIVgAnPKAalBNhcqjdbfKDpVtyMxbdlz7U5W3QWnJhpXE3Jg7E8Q2UvuA5cz3Rc8O4Wjz0QTE03LDGuu7vkuYY0x7L02E6Tp7s0Y6XGzefaV5KUpbqlOLUVKUSpSickk8yfGOusaGNDGjQLzw97oji95uTqnGucKQlbvZPjZUMcs50cthsFXxRh2WcDRPJUEnEF7pCU6WkrGRsRAgG6b4FfgmBKrkiqK4IgQiBCqvVvQu39Q5sXIpD4qbEupngbc4UPDcgkY92Dy7+RjVi02VnogMzfawtwUnJ16fpEEsk7am5v7R6VS9C0coNDelJmafmZifkZkvdpns0qIPopKN8YxG/IYQlJUtiPdmcDe/PktKq90efnWxYDGBjHC1tyOZup6OeTFvaMosFzgku3TrJwoQjgnM0cFugoeSUqxkd/TxEY7W3W7mtsu/R9T9SrWbSxR7xqTTCNkNuOdq2B3cK84+KIiYoNNm3XiQRfq09ylpXFdbpzckvMOA6zce1dX90RrHj78FZ+Bs/ZjV8EKT937SpEd0TEX33sH6I/dD6yfjgr5mz9mDwPpP3ftKU90TEP3/ALApHYmueqtXqs7L1G5y821Sp6ZQDKtDDjbJUhWyehHqiMquGKbKwmvhs3c0bnYmxU5QMcVycjvZGjXAY47DcC4WnaGvWrNTumjU6duxTkvNTzDLqPNWRxIUsAjITkbGM0/hWmQJWJFZDsWgkalalKx7XpiehQYsa7XOAOg5rTrnlBauylWqMtL3cpDTEy+22PNGThKVqAHue4Rll8KUqJLsiOh6kAnU8lhnu6BiCBNxITY2gcRsOa7N/wCueqlGuiYp1OucsS7bEspKBKtHBWwhSjkp6kkxpUjDVMm5RsWJDJdc8TwJspDEGO65ITpgwYthladhxaCmrg131UkaFbM1LXSUPT8g89ML81aytaZhaAd07eiANu6CRwxTY0xMMfD0a4AanldNqOO65LyUrFhxtXtJOg1N0h121U9oXsx7aVCcNaEr2vmrX9i83K+HHDj3W+ecL4L036SEv0fi5L7ne9kDHdcFIM10vj9Ja9htZcL90TrD+N6vmjP2Yk/A+k/d+0qG/wBouIj/AGw/KEfuidYfxvV80Z+zB4H0n7v2lH+0XEX33/5CX90TrDg4u9XzRn7MAwfSfuvaUo7ouIvvh+UfouFX9V9SLoZXL1u76g8wsYUy2sNNn1pQBn443ZXD1Nk3ZoUIX69feomfxdXKi0tjzDrHgNB7FFAlONhiJoNCr1yTclZBPcYXZCdbTgZht7rLDbrdOJBJzDXJQSXEp9G0Yitlp0TqcEgDnDRZNcE+3xA7mFSNOqd4hAk8ZW5FUV1RAhECEo2MCFEbzsxurIVU6Y0EziRlaAMB4fa/XElIzxl3ZYnk+5RFRpomBnhCzlWSmVtrU24goUk4UCMEHuMT4iB2rdlWXMLTYrJtONyYUu5pzWp1JIPKGO1TrnUrbSEPI4VAHPSGC4KfbNutF+VUyrB5HkYzB3BYnQyE32Rh10nRkqW6at8NaqX5jqX0dUQtdP8Au7fPZ8QVlwvDImot/u3/AAlcuwATe1vfnKV/aJjaq31GN5p9yjqFrUoHnD3rn3GM12rfDJn9oqMkp9Vhj/tHuWrVPtCL5595Ug1UI9u038Gk/ozcR2H/AKg3td8RUli37SPms+EJi7Pvas382TH0tyMtLF5qb88fCkq/2dJea74kK/tXA/8AuP8A3SD/AJyP8P8AzI/6f/8AL/lUZQni5RMk2VfaE4GSekNzLJkcdkdie6DMl6J/JL2KoMyOifyR2KoMyOifyWSWgDv0hpKUQ7arLpgQ0GyUv4BOIG2OsJqntGgTiYYVmaLJ1GOIYzCAJxsVsIOTCrGLBZwJVbsVRXJECEQIRAhKOcCFFLws9FVQqpU1CUTaRlaRsHR9cSEnOmCcj9vcouoSHTjpIWjlWpQpC1NuJKVJJBSdiDE61wdqFWHMeHZXaLIDuh1lka3xbJ9BKd4a4rK1tk+nhfbKFjnDdk46rVdllNc+XQxkDlgMI73Um05B9mKlt/cOpfR1RDVw3gM89nxKx4ZhlszEJP8AZv8AhXH0/P8AXtb2/wDdKV6f4RMb1W+oxvNPuURQ3f8AyUDzh71z7h/f2q/DZn9oqMkr9Wh+aPctapG9Qi+e73rvaq/ftN/B5P6M3Ebh/wCoN7XfEVKYt+0j5rPhCZuv72rN/Nkx9LcjNS/rc2P+4fCElY+zpLzXfEg/2rh/8j/3SD/nI/w/8yP+n/8Ay/5VG2sZiXdqoFi2RyhhFlmJN7BLgnfeGpbHmjhPeYEWPNIUZPMwWRY80cHrMCbk61kEnfIguAnhttlmlO8NJWUNWQBBhAnLNv3UKShOhQ4ucIsZ0Kc7QQJ11cEVRXJECEQIRAhECEqYWyFFrutBFUSqo05tIm0jK08g6PrjflJwwTkdsoqdlBHOZo1VdFtTSlIWkpUk4IIwQYm8+YXBUJksbFKmECcRonWic84VNWwAl1PAoQl00usbLvWIwW6tUiDt7CVLHzdUQ9aP7Fnns+JWHDv9fE/w3/CVHtP8m+LfP/qUr+0TEnVvqEbzT7lBUL7RgecPetG4f39qvw2Z/aKjJLfVofmj3LBUvtCN57veu9qr9+038Gk/ozcRmH/qDe13xFSuLftI+az4Qmbr+9mzfzZMfS3IzUz67N+cPhCKx9nSXmu+JCv7V3/2P/dYP+cj/D/zJB/9f/8AL/lUaa5xMFQLFtDlDHLL+8E6jOOUYrlZmi6XB7oUJ+UIwe6GkoyhGCekKCjKEoSeohClslxjfEGqLJQCeUCEqQQcmBCyG6swLGTcpzAgRZXHFUV0RAhECEQIRAhKmFusRiKaWrpnV6+G5yeV5lIqwQpQy44PyR09ZiAqFegyhMOGMzvYO1XOiYNmamBHjnJD9p7FWV1aaV+tzdQmaZbFSZflJh1ocbBAmW0qISoHrkAHMWCQrkvChsEWINQPQVU5/Dc5EixBBgu8VxA03F9CoeNN7/Tt7Tav81VEv9NU4/2zfWofweqo/wCHd6lknTm/98WbWPmqoT6ap/3zfWg4fqv4d3qTjenl+8QIs2sevzVUKazT/vm+tYxh+rE/V3epWBpfpJeVTcqszMSIpo8wmZJKZ5Cm1LW80pKSnY5APMxXK/iGTY1kOGc3jA6dRurlhTCNRmHRYr25PFc2zri5cLepVbbdJmaDqhTaJOLbU/T60zLOqbJKCpDoBIz0yIs85MNm6TEjs2cy/rCokjJvp9bZKRTdzHgG21weC4dw/v7Vfhsz+0VG5LfVofmj3KNqX2hF893vXe1V+/ab+DSf0ZuIzD/1Bva74ipXFv2kfNZ8ITN1fezZv5smPpbkZqZ9dm/OHwhFY+zpLzXe9T6n6L3bVtFmqvT3JOY7ea9mmpdsrU8trsS3wAcO689OWOsV6LiSVgVsh7ToMhOlr3vfsVug4LnpjDIjQnA3PSAC97WtbtUBRprqEnJ9pVZ+aKiymtU8jWM31qmtw3Vh/wAO71J4ac6gbf1lVn5qqGGt0/bpm+tZDh6q3H+7u9SeTp1f2w9plZ+aqhprNP8Avm+tZm4fqn4d3qTn3Or9O3tMrG/+LKhhrUhbSM31p3g/VDtAd6lYKfJwuGpWVTrho6nG6q6yVTdLnAG1cQUR6CuhwBsr5YrbcYQIU6+BHHiX0cNdOtXM9zmamKbDmpY2ikeMx29+pVNP02dpM69TqnKuS01LqKHWnBhSFDoYuMCKyYhiLDN2nUFc8mJeJKRDBjCzhuOSZwO+Myw3WOAdjAm3ugcI5ZgSXRzgTCVmAccoEizwYEuquKKoroiBCIEIgQiBYHvzaBKDjJhU1rcxW3TbyvG0nfP7bmhMtJ3epkyoll8fknm2vxGx6iNCapEpUBaMMp/iG/p5hT9NxFUaKQYDszeLTt6OSomvVufqVeqNSLk1LmbmnX+xLy8t8ayrh59M4i7yclCgS7IVgbAC9hrZc5qFQmJmbix8zm5nE2udLlaPns//AA+Z/n1/XGz0EL+EeoLT75j/AMbvWUeeT/8ADpn+eX9cJ0EG/kj1BHfMf+N3rKTzyf6T8z/PL+uF73gn9weoI74j/wAbvWVJbP1QvqxUTKLZripcTikre7VtL3EUg492DjmeURVRoEhUiHR2ajlp7lO0jFlVobHMlIlg7e+vvWFqVGcq2pNJq1ReDs1O1hl95YSE8S1Ogk4Gw3h9QgslqZEgwx4oYQOwBYKbNRZ2sQ5iMbuc8E9t1xrh/f2rfDZn9oqNmW+rQ/NHuWhUvtCL57veu9qr9+038Gk/ozcRmH/qDe13xFSuLftI+az4Qmbq+9mzfzZMfS3IzUz67N+cPhCKx9nSXmu+JbjWrmoDVp+0pquBFHEt5p2KZdsKDXdx44vjzmMbsN050134WePe+537FsNxlWGU/wCjWxP2drWsL27d1EvPp7pPTP8APK+uJroIf8I9QVaE1MH98+so8+nx/wCNmf55X1wnQQ+Q9Q/RPEzH+8PrKPPp/wDhsz/PK+uDoGfwj1BJ3zH/AIz6yjz6fz/26a/nl/XAYEO3kj1BL3zMfeO9ZVgHXW9pSx6bY1CmDTZeTYLL022omYfJUT7s+4G+Nt/GK0zCsm+dfORxmJNwOA/VXE49qUOmw6bKuyBosXfvH08FAWZt4OKW8444Vq4llaiSSeZJPMxZRCawWYLBU0xXvcXPNyV0UYWgLScg8oxkJ4ueKUIJG8M4pc1t0FA6ZhUB1ylQnCuUCXdOAbwJ4bZZwJ1lbsVRXFECEQIOiIcAsL33FggHEKmNBJWJOYFsNFgkgSOdyUTvCz26wlVQpzaUTiRlSRsHR9fjElJTpgHI/wAn3KGn5ETAzs8pVsWFtuKbdSUrScFJGCDE8YgIuFXeiIdlKODPSGZyn9EOaOx8IdnR0Q5oDX5MNLykMIW3XdsRsC9rfJ/8zlv2iY0qq68hG80+5SlEYBUYGv7w965Vw/v7Vvhsz+0VGaW+rQ/NHuWjUvtCL559672qv37TfwaT+jNxGYf+oN7XfEVK4t+0j5rPhCZuv72bN/Nkx9LcjLTfrs35w+EIrH2dJea74lHG8cPKJhygByWZQD7lMNL7aJTD1sEgbBztBnSiE7il7Hw/TC5yn9F1o7Hw/TBnKOi60dl4fpgzpOi60FrHSFD0hh5RunpZ1TasH3J5iGuF09gLdSuins1JCkkEGMOyzgsKXgSYQlF2JQkQgSgtGyMEnEOS77JeAwJcpVvRVFb0QIRAsJdfRPOyM6y32r0m+2jb0lNqA35bkQxseE45WuBPasz5KPCaHvYQOsFMERmQ1tkJgTHOslwe6BYCbrFauHYDeBAF1FLrtJNWSqfkEhE2gZUkDAdH1xISk30Xiu2WjOSQj+PD0d71XRZcQstuIKVJJBBG4MTQIcLjUKALXXs4arLsj+CYVHR9SOyI96YQoMPqUgsCSmZm9aEJaWddKKjLrUG0FRSkOJyo45Ad8R9XishyEUPIF2lTOHpZ8SpQcjSbOB014rh3TLTMpcNVampZ1hZm5hYS6goOC4og4PQxsyT2xZSG5hB8UbdijatBiQajFERpBLidRbiu1qoM3tNDvl5P6M3Ghh4DvBt+bveVI4sBNTIH8LPhCzvKmVKVtaz3ZmnTTKEU99ClOMKQEqM04Qk5GxI3x3Q2lTEGJPTLWOBJcLdfihZa5Kx4VNk3PYQA03028ZRRAISNjzidJuVW2jZbGD3Qw7rMdXFAbJ9KESliXsyd8GBJkCOzI97Al6PqR2Z/Bg0CXo+pBbP4MLojo0nAoe9MKHWTXQ3E3W7TpWfmnC3JSMxNFI4lIZaU4QO/CQYwRYsOCLxCAOs2WeVgRY56OAwuPULrdel3pZwszLDjLieaHUFCh6wdxCNiMiDMw3HUs8WEZc5IoseRFisMDuhVjzNRAjM1ECM7eatuKvZW7tRBZa73lxsEh5H1QhCGXuCpLq1rJJyNmUqRl7eDs1OqDjPniUuMhLCgkqISoHJ5j9MQFEw9FiTsRzolg3e2+uoV/wAT4ygQaTBYyFdz7WzWI8XQ3HuVO/dsr/S2bZH+gq+3FxGHYfGM/wBfyXNfDCN+Hh/l+aPu2XB+LVs/MVfbhfB2H96/1/JHhfF4y8P8vzS/dtuD8Wra+Yq+3B4Ow/vX+v5I8L4n4eH+X5o+7XXc72xbJ/0BX24PB6H98/1/JHhhF/Dw/wAvzR92uu/ixbXzFX24PB6F98/1/JHhfF/Dw/y/NaMzqS7OPKfm7HtR1xXNZp6sn+nDxRcos2PE/N8lgdiYPOZ0rDv5vzTJv5sbmwrS+YL/AOJC/Qzj/wARE9fySeEo/Cw/y/NY/dBZ/EG0vmK/+JB9Cu/ERPX8keEo/Cw/y/NS3TPWyk2bcDlWqVk0tppUstkKpUt2b2SQcZWsjh23+KIqr4ZjT0AQoUdxN7+Mbj3Kw4cxvLUqaMxMS7QLEXYLH3qL6vX3I6iXnNXPTZKYlZd6XaaS2+U8YKE4J2OIlaDTYlJku9opBNybjrUBi6uwcRVPv2XaWtsBr1LDVFYTfMwroliRV8ku1CUJhfTMo45veUzEz8lXD+QYfYFZupPlGW7d1sM0Wn2eX3W32nCmrNpdYwkEEgJUDxb7H1xXKRg+ak5kxokWwsfJJB9yu1e7osjU5BsrCl7kW8uxbp2FVcL9lhy0+tEf6Av/AIkWn6Gd+Iifm+So/hFD/CQvy/NL7f2ulg2j8xX9uD6FP4iJ+b5I8ImfhYX5fmlGoLX4hWln4Cv7cH0K78RE/N8kvhG0bSsL8vzR90Fr8Q7S+Yr+3C/QrvxET1/JL4R/3WF+U/qj7oDX4hWl8xX9uD6Fd+Iiev5I8I/7rC/Kf1R90Br8QrS+Yr+3B9Cu/ERPX8keEf8AdYX5T+qPugNfiFaXzFf24PoV34iJ6/kjwj/usL8p/VH3QGvxCtL5iv7cH0K78RE9fyR4R/3WF+U/qrD0O1Zp9MvVuRmrPpcoqrpRItO0uXLS0rUsH0ypZynbkN8xXMT0CK+T6RkZzsmpzG/q03VwwTi6DL1IQosu1vSDKCwW1678FBtSb7lLuv8AqlxSMs+zKTS0JDb2ONJQgIJ225pieoVPfIU+HLvNyL7deqqOKq3BrFXizUJpDTYa9QsVz2+FwBaFApIyDEiRZQoseCz4fEQiW3Ul4PVAkt1Kw6ZVUTaQy8eF4D4lRBx4Bhm42VjgTRiMyu3XSjVK2GDMbLFUJdZwFEdZv3qtT/Izn7YRu0EXmJjtb7lr4ps6SlOx3xKskpGM4zFluAqQFmGs9IC4BOsTsEdlCZwjI7kjsoM4RkdyR2MGcIyO5JeyPjBnCMjuSC0euYM4RkdyWPZeEGcIyHkgtbcoOkCXKdrLFbB7NW/vT+qELxZDWOzDRSrVUAXtND/FpP6M3ERhz6gO13xFT+K/tN3ms+EKLoSFbGJgCwVfDboKMHEPukslDRMNLwEZSeCOygzhLkdyR2UGcIyO5I7KDOEZHckdlBnCMjuSOygzhGR3JHZQZwjI7kpNpi3w6iW3+cmf1xFVx4+jo3mlTmGmkVeXuP3goxNAedv7f96v/WMScAeI3sCiZn+ucOs+9bVOnFSywlXpNnmO71Q2I1EKISbLutFLiQ4ggpPURgOi2d05gd0NuUmVdxKlIUFJJBByCIwEBwsVuAkG4UjpVUTNp7J4gPD+l4xGR4Bhm42UvJxw8WdoV0Y1StzMFEdZwBS7U/yM5+2EbtA+sTHa33LXxR9SlOx3xKsm87bxYzuqSwXWxjG0Ncs5JFgEEHG0Numl0QJOFf8A0YRJniJQlXWFRniJcGBGaIkIMCM8RJwqgRniI4V+MF0ZnhI4lfZq/in9ULcWTmueXC6kmqo/r4m/g0n9GbiKw59njtd7ypvFf2m7zWfCFGEAZzgRMA6KCh6p3AJ/RCONgnMGpKCDjGIZe6eSdkAbQXSEuCQhR5QJM7kcK4EZ3I4VwIzuRwrgRncjhXAjO5SXTRKhqJbZUOVSZ/XEVW/s6N5qnMNOJq0vm/iCiszvNv8Ad2q/9YxMQfIb2BQUzrHf2n3oQMZgJRBGl1vSM4uWWArJbPMDp4iMRbdPhuO5XU8/kv79+iG5Qs2ZSKNVbiVKlIUFJJBByCIQgOFikGhuFKLdn5apzTEhUJoSxcWEKeKcgA++xENPwny8MxIYvbgp2mOhzcZsKK/KCbXUq1i0blk2jLV2pXgzKy1Aln1KPmxUXy4sKSlPpcycAeuK7QsRvM66FDg3MQjjtYWPBXvFOC4UOmNjxZgBsIE7b3NwAvMzZBwBHTuK4azdbCclW57oa5bJ/rAnEgY5QxxWRoCywIYCno4Qf/yFQjgECEcAgQl4BAhHAIEKTaeWVKX7cSbZfrrdLfmW1GWWtntEuLG5RzGDjJHfgxFVipvpUsZhsPOBvrt1qw4ao0GuTok4kTITtpe55KaeUDpbKWk4LrmrobdfqKmJaWkUyxCldm0lC1lXFsBw55dQIgsJVt84O82wrNFyXX2ubqw90DDECk2qESPdzrNDLb2AF1TDRPFgxey2w0XL4ZN08nmfXGN+yywtiE7gd0MvYLYtcICQIbugNAS4EJdLYI4QYUFCXgECEcAgQjgH/QgRZWvoLp3K3dW2q41cLctNUKbbmHJJTHEpxvooKzyzkctoqOKqs+RgmXMO7XiwdfiuhYGw7Cq8cTQjWfCIOW245qH6s6eyenFfRRUXEipzjyDMPoQwWwwFHKQSSck7n1Y74l8P1aLV4PSmHlaNBre9lWsX4ehYemhAbGzuOpFrWudFC29zmJ4hViD5KeSc4BjHsE5id4U90MWeynMai3EQISpUpJCkkgjcEQ1zA/QoBLTmCc1V1HuC4baoFqzrg82lAt1xYJy+pJ4UFX8UE/HvEbRqLLyk7FmmbnYcudu1TWIcTTtRpsvIRD4ovc8Tba/Yqza2UPGLQRxVMYNVsI3UYxuWx/aAJ9AyIYU9qyCRmGp6y4fGBCOHxgQjh8YEI4fGBCOHxgQnZOcm6ZNsVKQfUzMyriXmXEnBQtJyDGONBZMQzCiC7SLFZpePElYzI8I2c03HaupqlqBWdRLkbq1WCWgxLNsssIOUNjhBUR4qUSfkHSI+gUqDS4DocPW5uSt7FVdmcQTojTGmVoAA2HP1qKs7nJicdyCrsPdbCeZhjtlkh6AlPAZjEti9lmhIJ5QJ4SKAScCBBSQJEQISgZ6wIS8PjAhSLT+8anYt1SlepuFqQS06ypWEvNq2KT+g+sCIusU+FUpR0GJpsQeRU1h+sR6HPNmYGvAjgRyKi9w1yo3JXZ6v1V4uzc+8p51XTJ5AdwAwAPCJORlIclLsl4WjWhQFSn41TnIk1MG7nEk/66lqNHaNkrDB2K2UAHEYjsssMAhZ4HdDFsWX/9k=</t>
    <phoneticPr fontId="1" type="noConversion"/>
  </si>
  <si>
    <t>data:image/jpeg;base64,/9j/4AAQSkZJRgABAQEASABIAAD/2wBDAAMCAgICAgMCAgIDAwMDBAYEBAQEBAgGBgUGCQgKCgkICQkKDA8MCgsOCwkJDRENDg8QEBEQCgwSExIQEw8QEBD/2wBDAQMDAwQDBAgEBAgQCwkLEBAQEBAQEBAQEBAQEBAQEBAQEBAQEBAQEBAQEBAQEBAQEBAQEBAQEBAQEBAQEBAQEBD/wAARCACWAOEDASIAAhEBAxEB/8QAHgAAAQQDAQEBAAAAAAAAAAAABwAFBggDBAkBAgr/xABUEAABAwMCBAQDBQMEDAoLAAABAgMEBQYRAAcIEiExEyJBUQkUYSMyQlJxFWKBFzNykRYYQ1NXY4KVobHB0iQ0VFZkc5KTlNEZJUVVdIOi4eLw8f/EABwBAAICAwEBAAAAAAAAAAAAAAECAAMEBQYHCP/EADQRAAEDAgQCCAYCAgMAAAAAAAEAAhEDIQQFEjFBUQYTIjJhgZHRI0JScaHwB+EVsYLB8f/aAAwDAQACEQMRAD8ArjxO8Ot07F37Ksa5CtxKMy6JV20ciJsfOEup9lJPlWjPlV7ggkTIvtuAhQuOS6maz5VA8yy77FOfQ/6NduuIjau0+I6ypVk3S2iDIbUZFDqob5nabLxgL91Nq+64jsU/UAjjhuptfcu3F21SyL1oqYVeo7hQpCxzIX6odbV+NpYwpKh3B98gcz0Z6WZV0toPr5ZU1Bji08CI2McnC7TxHiCA9eg/DuDXjdQ1EWTe5k1GpUtUWItKPlULOHSUg5c6diRgfw1MtmaBtlIerVLuG5Hrfl06KZbBTBEhVRwR9mFFaOUlOeXrgkFJIJGtO3Lzo/7Bqceo0qn/ADbyWkF6S4tL1PUhfMotYUEnnHlJUFDl7YOoi89HuqqvyqCt+OmIgck5oFOXCTzAe6cYz/XrpttlRc2U/wB8H9uatVaa/Y8B+iktsspyShTsoFXM+hpTjhbTjlBTzqBwT0zgQdmJeVxTU0OoT40JhxP2ioSMOyQCBgevXI6D31I9pduGrur0+OzVY8y4YsZ6Q2mdICVvqQkFLLPMQnxFgnlyQDyq/TUl3zsO2bPmwDaF7tT6pT0Azn46uePGmhzk5WnQlIcQoYyMeU9OZWM6J5lDUGnStm8tkLstS0GZsxiLTQHFQ4yf2iw5IS+1y86C0lZUlaCpHOkgEcwBxnWla3ExWbNtZVsTHoVKlR3y+stUppchb3IpHjNPFJUFFC1JByCkEjUYuPd7dS+5ceDVGpT9UaQWvm58jxGmh3UpAx1yepJ6k98nWWdYNQg29EVMbW7NdifNRn3mf59JUoeKgn7yeYKHT8pHcY1CTMhCLQ5NyKHL3FTJqkqhvRGBymGCcPciU+ZZx79P6tPmyy7FpVy/sS5Iq47EZbpnKQVeM81yK5FNqT15s8uM+UK+90zqYbR75W9b1sV6DXbOokirPwF07nkpW24gOuI8YLdQ6lRbLSVBPKMgq74zoYV+RR77uGTOtlXybkRPOmXG5glDilHLaSrJUnlx3J0JANkbmQVMN5KRagriZ1lVtfNHfabps1ZPiSCptOeZJSkgk8wUnBA6jKsBRjsm7tzryqEJm76ir5OnlJSkOrcKgj7qQVE8qcnsNNtKth2JOTVqxUXqhMR0Q46eiM9MJHpqylg8M8xcBq8t56m7Z1vuJDzEEoH7Wno7jkaX0joP98dGfyoPfSuIaNTjZPTpuqODKYkoc2Pad5X7XG7csmhy6nUFp5y2x0Sy36uOuEhLSB6rWQNHqn2LtRscwis31NgXrdyPO0xguUuC4O3Ig9ZbgP41gNg9knvpuujfCl0ChOWFs3b0e36EFfaBnKnJKx08R90+d9f1UcD0AHTQje/aVVlKlT5Dj7znVSlqydaHG521ksw+/P2XpvR3+PqmILa+Z9lv08T91K783cuzcKe47MmPNsuq6o5vMoegJHYfQdNRinQiVgqBznWzAo7ynMBP8dS+jW2srBXnGuaq4h1QlzzJXseDwWHwFIUsO0NaOS16HSVqXhSD10Ydva3WLKqEar0Kc7ClsEKQ42rB/QjsQfUHUMU7R7bbD1Wnsxk4yA4rzK/RPc/1ahVz79wKeFMWzELznYPP9h+iB/tP8NNh8LiMWfhNP34eq1uc9IMryumaeOeLju7k/wDH3suqG03ENbF50F1y6ajBotSp7XiSzIfS0w4gd3UqUQAPcZ6fpoT7yfEg2asAP02xkPXlVEApC46izCQr6uqHMvr+RJB/NrlfcV+3Jc61LqlTdWjvyc2Ep/Qdh/DUp2p4ct7t8pKRt7YtQnw1K5V1OQPl4Lfvl9zCT+ieY/TXcYVldtINrOl3ML5yzWtg6+LfUwDCymdgbkew8JMc1Od5uOHfPeLx6fOuM0ejvZH7NpQLDJSfRZBK3P8AKUR9NBq2LTvjcquIoNnW/Vrhqjp6RoMdTyx9VY6IH1UQPrrohsz8Kq1aR4FX3vu96vSRhSqTSCqNDB/Kt4/auD+iG/46uxY23NibZ0VFvWDadLoNPQB9hBjJaCyPVZHVavqok/XWUGgLWwSucWy/wsL5uAx6xvXc7NtQ1EKVSqYUyZyh+Vbpy00f05z+mr4bP8NOy2xkVLe3lkQocwpCXam+PmJz39J5eVDPsnCfpooaWmnkm0hAbjB4ZKTxKbaO0qOhmNddGC5Vvzl9Al7HmYcP96dACT+UhKvw4PJfazc7cvhu3R/b9FaepdyW+85AqlKmAoRNZQvD0SQn3BHRXcHCh2694dUL+I5wkOXdTHuIHbamLNwUhkKuCJHRlU6I2OkpIHd1pI835mx7oAJLesGk/v7wQIgyrY7E742VxA7fQb/sqUfCf+ymQnVDx4EoDzsOgdlD0PZQII6HRD1wx4a+JK6eHS/2r2t1K5lJmlDFwUULw3NYz0Uj0S6nqW1/qk9DrtRtxuLaO69mUu/rGqzdRo9WZDzDqeiknspC090rScpUk9QQdVNdHZKIMqTaWlpadFchLM4rt4ts/DZXUxcdIawDCqilLUlPs28POn+JI+mp5f8AfWznG7bsC2UrFpbqwEFq3F1LAZmk5UacuQPKpCz/ADZVgoWegIUoGu8lgPoKVAY9tQquUt+C6JMZSkFBCkqSSCkg5BBHUEH112eK/jTIHZic1wdEUMQRDnU+yHg8HtHZde8xqn5t1zdDNsTTZ1bjqbyPD7Hcf68FBr1sN2DVp1KuShvwqvSnnIsuJIQW3mnkHCm1j0II/wBo6an2038k9UturMXPIm02SmPmmvR0c6WnE45m/CGMuBWOijyrQVgFKwgkwrWzxf2yG1eEje+24QSgnCDedOZT0SewM9pA6Hu6kYPXHLVCtW9OS/Idp86VTXVkoktoygqUnoQpJ6hQwQfX0OuWxmDrZfWNCsLj0I5hbulVbiGBzSlWW20XABbsptFRaZLi0452+XOC2seoPcDuMaUak1ysS2p91VAFuOsKahsDlbCh2Kvc6z2vSKbChB2nDxVvpCnHScqUfXJ9NEife1rwNu27dVa0GLOYIU7XXlIU+42VFa2McoCUc3KUkZc+8kqKSEjEsFcVALjiT1sN1ClOcj8dXiJBOM9MFKvoR0+hxraRvZ4FrR7ZfS6+I8lUhiGtnmejvKGHEoWfupXgFSR0JSlWM9dRmbcM+5lqp1EZUzBcPK9KcGFLT6hI9P11MKDadSuutxaNbNAk1asSzyR40SOXXnD9ABnA9Seg9SNQAlC3FR5FuRrnjpqdfhJblOuLc5EHHKgqylBx3wNFXaPZG7twFuxbMpDMakwyBOq0xfgQIX/WPEdVfuICln8vroq0DYWxtr4qK5vnV26rVEjLVq0uVlpCu/LLlI+8fdpk/qv01pbi7x3NdEOJRKWGaHb8XLMOmU9kMR2EY7IQnon6nufU51rsXmdDC9iZdyH/AGs7LcIMxxlPB6w0vMDnz/ZUohVDZ3h7wq0Gk3lezQ616cwPBiL/AOhxzlLX0cXzOe3L20MLqvm7b9qbtSuCpvvreWVKSpZIJPqSepP66aI9PcfUnqST1P1/jqQ02gKc8ykKAGPMoYA+pOuYxmYVsWe2bcl73kXRjA5M0Gk3U/6jv5ckzQ6e+8rGMkHv76k9LtyQ8pJ8M4/TRPs3YK6apSf7JKizEt63Ukc9cr0gQIIB7cq1+Z09DgNpVnRft7bfbm2mWHjTnrkkPpyzNuJD1Kpa8geaPAQFT5wznBKENK6eYA6qpYGtWExpHM/sp8z6X5XlMtL9bx8rb+p2HmZ8EErI25ue76gqm2hbU+uSm8eKmI1ltn6uuqIbaH1WoaMtmcO7M0LlXNcyqgIvWRAtV1ssRzjPLKq7+IzJB6FDQUvvgk6JkNFQuFlujJp7tYisnDVOXCRDpMfrkclLjK8M4PYy3nT+76aINM2iuO40x3LqqKksMABiOOUpYT+VtsANND+ggfrrdYTKabe1p1HmdvT3leZZx08zPMZZRPVM5N73m72hVo35szYpmwEwxYprX7Lf8dMGz1rbkkqUELUuqSUKenOcp8raGw2VAFQwM6GtpfDXvDcC5XJdsbh0uPZLnK7Hn1FhYqiEq+9HehJACH2/uqJWEHoU5BwOkNK2otukNFyNASXynHjr8zh/yj11D76ZrlrwWrttlh12r2o788uE13qcEDEiPj8SlM8xR7ONte51vGsdSA4jl7LhXu6xxcTJPHmons98PLh52sVHqVVojt6VlnCvnK9yuspWPVEYANJ/ygo/XVmI0WNDYbixI7bLLKQhtttASlCR2AA6Afpput+vU24qVCrVHmIlwKjHblxZCD5XWXEhSFD9UkHTrrImUohe6WlpaiKWlpaWoolrxSQtJSoAgjBB0CuKTi5sXhcplLVX6VPrdarhdMClwloQpTbfLzuuOL6NoBUkZwSScAHBIHWxnxK9k9264xatyw5lj1aY4GopqUht6E+tRwlAkowEKJ7BxKQewJPTQlHSYlVG4/8AhKXsfeB3SsCm8tj3HJIejto8lKmrOSycdmXDlTZ/CrKPRGYpwZ8WVT4bLz+TrLsiXt/X3k/teGPMqC70T84yn8yRgOJH30jPcDXYS9LNtvcK1KpZV3Utqo0esxlxZkZ0dFoV7eygcEKHUEAjqNcQuKDh6ubhn3MlWfVC7Nos0KlUSpFPSbEzgZ9A83kJWn3wR0UnRqN6wTx/bpIgrsJ/bS8O/wDhmtP/ADgjS1wZxT/zM/8AZP8A5aWqIqfUPQ+6MlHnwyRgEZ1qz4KZDKkqSCDpyShOB3H669dZGMhWvoSpSkLgm1DN0NHk1S2KxGrlEmvwZ8B9MmLJYWUOMOpOUrSodiDoy3bSIfFXbkzc6yaU1H3Wo8fx7wt+G1gV9lIwatCbHd8dPHZT1V99Iz96F1alJlNKBSOo9vXUOh1K5bDuCLcdsVWXS6nT3Q9FlxnChxpY9QR/pHY+uuezjKKea0dDrPGx5f0VscJinYd2obcUOHmaxQ3npNCabfZeUS7HWSAhz1Ix2Pun31pCkVStSETbnkcyQfs46fK2g+2PU/6dWkqXE9at7KMzefh8s666woDxqzFQunS5B/M6phSOdXuTnTKriVtu01GTtDsNadrz0j7OpPNqmymj7ocfUspP1Tg68/f0cx9N+ks8wRH+1vm4+gRIKW3vC/UXoUK4d0aiqyqFKKflIq2Oer1IH7qY0Q4KQr0cd5R6hKtWwsW0KPaFGXQ7Kt9Fp0uQkJk8jnjVWoD3lSj1x/i0YSPQDXO26r0ve/a25X7qr06oTXVlzxHXVeVX069P10euHC8OJqvVFujWFQJ97wI2PHbmoKo0VA7lcxRCWEgeql4+muc6YdE+kNfLz/iK7KZvqDuyT4B5sPMD7hXYTMcOKvxGk8ov+FZTcnbFF42O/Ao8BAnU3M6EEpwpakjzoz3JUnI6+uNVtYtGo1lVOhUyA/NkynillhhlTjrhx0CUJBJ/gNW+kb37eWXTG3KpUGKxX2EASqda8xuVEivY/m3qq8ERkYPTCA4vvgai1DuHdG6w5DsCgQ7Ao9QUpbiaG27GkywpXMfEnuJ+dkdT2Zbjo9lY15R0TyHOKNMtzUaYcY7Qc485IJHnJPgtvRqtwWbUc0w4nRMg2mxA9Jv9lA6Xw+Kt12ON1Lkg2k9IQHWaOllVRrslGMgt0+PlaAcfedKAM5PTRFtZNuUVfJtnYTUaSwrH7ZrqWKxVEK6dUMginQVdOnMt1wZ6oJ0RtveFeUplRqbIaZkq8SQlxHhofV35nGworeP70hxw6sDamzNr2+2z/wAEEhbIwjxEjlR/RSAEp/gNekYbLG07tEeJuf6/C2uadKMxzSW1qkN+ltm+58yVXug7cX7eVWbuGY/NfqPYVWXIMqagHuG5TyAlgfuxGWh+966L9ocPVIpji5tWcVIkSDzPnmUVPH/GOKJccP8ASUdGWNTo8dAS22lIHoBrZCEpxgDWxZh6bDMSfFc6ahNgmek2zSqQwmPBgtMNoGAlCAAP6tPCGUIwAn+OkpYQCpRCQBkknsNQu6d5LGtUliRVUSpZ6JYjELUT7ZHT+rJ+mnfUazvFKAXKcYHvqIXw5SYTAluVFiLKZIWkrWAR1z19h+uh8/uLuVfLhjWpRjS4jnQPvA85HuB94/8A0626Rs6mY8mdd9TfqkjPNyuq+zB+iR0/j30kvf3RA8fb/wATQBunHYCiuUCzlUdNVYnxWalOfiKjtFthlh59bqWGgST4aOcpT1OB0BwBopj203UemxqXFRFiNJbaQMJSkYA04D3z21YG6QAl4r715kZxnrqvu6XG9svtVuS7tNXZNSNwMRHX3lKiKZhsOiOp5lpbzmMl3CUpUgKTzKAJGqCMcXvHvWIkvfmlyKz/AGHx5Kg94NBacokZIPVlXk5+ROQlThXkHusHUJAThhK6UcTm/FP4cto6luRLpSqpJbdag0+EHPDTIlvHCEqXg8qAApSiAThJx1I1Qq3/AIi3F6zFc3Sq+1tLq1hNySzJej0SVHhtEEZQmaFLCVDOOZYUAe49NGqv39SviG8H9yUq2IKIV/0DwJz9EDhVyT2CVt+ET1U0+gOoQo9lKKT1SSdP4Zu99tXftdK4cbqajIq9ufNLiwpTQ5ahTXnVKdSUKGFKbccWhxBH3VJOPvYB3TAANuENuP5iRvtsvtrxWWxa1XgU5hp2DUoFVjFt2Oy+4lTLqgOimS6goDg8qkutkdDqJ8VPEpw68QFhW9Zm3eycyXfT8aMmLMhwkxVUt0hPPDbQ2kuTE/eR4YSG+ykqyNX74nd5Nk9ndvjTt6qdMm0C5mn6UmnRKYuSJafDytny4Q2eTqnmUntlJ8vSg1Gpt+8CF6RN+Ns7eav/AGgvGCy/EqTrQ8ZuE6A4208+lKlRH0hXLz48NzsocwwiEItuFcngZa4hre2mj25xD05EBMZbbFtrqE0KqjkXlP2MhvrgowAjKi5y9FJHKCSBxK8PlrcR+2c2xq+lEecjMmj1MIy5AmAEJcHug/dWn8SSfUAjmVd2/Vc4peMLb+99rLRqNKqMWdSWIsIzfmllTEgrdkrCPI2kNKUlRHTkRlR6412LGcaZpjZI9sbrjh/6Mris/wDcFuf54H/lpa7HYV7jS1Zrb9I/PuqoPNcSSR6jrpOKODhOP118lWB09DrE4+QSnvj66+gHmFwLRK8c8w6+mmeq0tqW2pJACvT6a33prLKFPPuJbQO6lKwNRyp3vTIyCIp8ZYOMk4A//f4a0uPzHC4Fs4h4b4cfTdZ1DD1KxhglReqUKWwteGisZ9O2sljWUzfF3xLUlXTQLZ+bZfe+frklTMVCGUc68qSlRK+UHlQBlRGB11qVK6Jk4/fwlRwB2Tn0GPU6sVw78M+7d40mrf2VWDWLct2vLp0qm3WuKGZdOmxnytl5plakvOR1eIpLhSPukEEkDXE5h0weWkYNnm72/tbmhlQsap8gmmgUzhssWpIpNsW3WN6LqBwhypR3qfRUOdOrcFrMuSAc/wA6W0n1A0baVtnv/vdFj0i8JyaLbbJBYtymxW2IMdOegTBYKY6cZ7vreV9NWI2W4crBs2C0qFToKfmPtHPlP5t456kuZKnRnPVSjn21ZClUSnU1hDEOK02hIASEpAA/q1xteriMedeKqF37y2C29OnTw4imIVb9tOD23LdVGm1JjxpLCQG3n1B95A9kKICGR9GkJ1YG3bEoFvI5YFPbQs/ecIytR9yo9T/HUmQykayhtI7jStY2n3QmLiVhbjoSMJHQaz4ShOTgY1B9yt6dtdpoza7zueLElSMJiwGyXZkpR6BLTCMrVk+uOUepGhybg3q3mcKKIhW3VrrP/HZbKHqvKR7tRyShnP53ST/i/XSmoJgXKEcUQb53w2z2/moo9xXZCaqzyQpmlsrD050HsUsIyvB9yAPrrWYvC+brpLki3LakUJLg+xmVlKW+VP5/COVq/TlA+p037b7J7XbQiRNtK2GRV5y1PT61NV81U5rpOVLdkLyskk9hgD0AGpPPfk1AloEhJ74Opoe/c+iIICE9bt6/69KXSZG41VqTbxHzJbQhhgAfhQAO36YOhpdW9vDTw939A2+vGZPk3E/JjNVFbcJSmqY09gpfkPOYBQEqCiEc55cnpjVq6TR2IoB5BnVV/iK8MZ3W2+TutaNN8W67NjLVIabTldRpYypxrH4lteZxA9R4ifUaLaTaYlguna6TB2WDj7tniOVbVt1fYK47hVQ3X24VTo1ttYkrfWsKjyQ40PFcaJwkpzyJPIoghSsWY2Sqm5Nc2vt+pbvW0ih3euIlFViIebcSXk9PF+zJSkrACyjPkKin01Vj4a3E4L+tH+Qy8al4lwWvGDlGfdd80+lJwPDyfvLYyE+5bKD+FR0IN397uIvhV4xUV3cm86xdNsulS4sUkNRJtCeWOZDTCAltD7JSBkDm5205PK51OobqFpPZ5Ky3G7xoy+GdulWhZ1Bi1K7a7EXNQ5O5vlYMYKKA6pKSFOLUoKCU5A8pJPYGpdufEG4wrBqlIvHc+irq9qVhfOzGnW8KazMZGCr5SSlCfME9QSVjsSCOurX8RPCNaXGpUbK3Wt/c4UulJoqmhJiwRKM6K6oPMKb5lpCCCpzPMD97GMg6CPH/AMRkG7WIvCFttRk3RV2ZsKLVJqYiXVpnNFIbixEJHR8qwFqTgJBU2O6uVTO6ZgERCInFvs9aXGdsVSOILZQftG4aXAVIiIQgB+fCSSX4DiPR9pYWUpycLC0DosHTZ8MLfC27r20m8O1xoiip0L5qVBjvoBRUKa+4VOpKVDClNuOKC0nuhxBx0VgK8H2814cHe+FS2C3tZcpFCrExpma086FNUyetKfBmIUPKWXUlCVqHTHIvPkVqQccWxtzcNW7lK4qdlM02BMqiZUpLCPs6bVFE83MkdPl5IKgpPbmUtPTnSNSeKaPl9Ezbx2TeHw8OJKm7r7aRXnrCuF1xLUMOENqjqIVIpbij2KQA4yo+iU9+ReZ3v1w31O/5FG41OCqpPuTqny1qRToBS3JVI6+JIjpPlLuedD8c/eUF4BJUlVmLcrO13Hxw0uM1COltisM/LT46cKkUWqtAHKCeykKKVoV+NChnoojQ94CuH7iL4fpt2W3uJPo4sp+U4qnxW5JeedlJWE/OMpT5WmnWxlSFnnJCDgEEqkJS7nuqU8QfGDvVxC2jSdmL52/gQKlTqkzKfEKBJTOlSm0LbQkR15LRPiKylIJJwBgdNdL+Dvb66bA4ZLLsfcOnliqR4LxlQXwFGO28+44hhwdRlLbiUqSexyPTRnMKGZImGK0ZCU8odKBzge3N31n0QIulLpEBMFvWBYtoyX5lqWZQqK/KGH3adTWYy3RnPmLaQVdffWpuNudZO1FuPXTfVcZp0Jrojm8zjy/RDaB1Wo+w1H98t8ra2RtlFTqba6hWKiv5Wj0eP5pE+SeiUISOuM9z6aHG0+wt13dcrW9XEbJaqtzHDtJoCvPCoSScjCD5VvAY64wD9eyudeBuh4lN/wDb4W3/AIGtx/8ANB0tWcwrS0NL+f4Ukclw3qFZgUtAVPloaJzypJypX6JHU6htY3HCeZuntBH77gBV/BPYfxzplsLb/dLeauGh7bWbV7jnKIDohMlaGs+rzysIbH1WoavDsl8Jetz/AJetb+3smntHC1UOgLDjxH5XZahypPuG0K+i9djmXS7G4yW0Pht9T6+w81p8PlNKld/aP4VEY8m57wqzNIpMWoVeoy1BEeJEZW+86T6IbQCo/wABq1+yvwwt79wzHrG5suPYNJcwssyEiTU3E/RhJ5Gj/wBYvI/JrpttPsJtFsfTP2XtjYlMogWkJektt88qR26uyF5cX29VY9gNT/sP9WuUe8vcXOMk8Stq1oaICBGyXBZsDsWGZ1t2eiqV1kD/ANd1rEuWFe7fMPDZ/wDlpT+p0VLgaI5XVoK0A4X16kfrqRHOc+2tSYwl5KkqGQeh0N7KbIB2q8LC3Kqe3khwimXCp64LcWeiUudPn4af0UUyEJ/K64B93R0pyw4whRPpoVbsbcVS4qbHXQ5/yNTpUpFRpM4NJcVDlICuVXKoEKSQpSVJPRSFqT6ggYSNr+JPc0im7k7oNQ6MPIunWswumsPp9fFc51PrB/KHEp+h0jdTezCYiboubjcTu0+3EtyhvVhyu3AntRaI385LB/xgSeRkfVxSdCefuJxJ70KVGoEVG3dCdOB8qoSam4j959Q8No4/vaVEfm0SNvOG+wbEhoj02jR0cvmIS2ACr3PufqcnRUh0iHCQER2EIAH4Ro9WXd4oSAgFt5wxUK2Za65ODkuryPPInynVPynj7reWStX9eNGCDQVU9sNMuK5f11J/CRjGND7ejfLbDYK2m7m3Lr4gMSnCxCjMtKflTHAMlLTSeqsDBJOEpyMkZGrAAwWUklSpEM4wpROtKtXFatpphKua4aZSBUpLcKH87KQyZMhxQShpsKI51FRAAGe+gxs9x2cPW9FzM2dQ61UqLWpi/DhRa5EEUTF+iGnErUgrPogqCj6AnVf/AIoHD9UX003iLtn5p0U5DNMrzQcWoRkBWI8tAz9mAohtfLjqW1e50C60hENl0OW3xJfEqre2m5NW292ptGhzmrclLgVCqVlbqkvykHDqGm21IwhCgUcylEkpOABjM54Z/iQWXu3WoljbnURizrhnrSzBlNyC5TZrqjgNha8KZWroEpXzJUegVkgEKfC/o9iX/fu5FV3ApVPr91qjxZsZypx0SFeE667826lKwRzqcLXMrGcKA9Tl6+IJwUW5blvSt9dnrfZpkeCee5KNDb5GEsqOPnGWx0b5SR4iU+XlPOAClWUl0SFYQydBQz4v9nbl4P8AiApG8u04VTqHVagqq0VaE/ZQJycqkQVgf3JQKilJ6Fta0/g1bfcu1LO+IXwsU+7bNQzHuaI2uXSQ4sc0CqISBIgOq9ELxy56DBac9Bof8MV70fjh4a7h4ed2p5eum3IzSGKksBUhbQz8nPBPVTrSx4bh/EMZP2h0AuEveG5+DXiEq+0m62YFCqU9NJrzayS1ClDpHnoPq2UqTzKHdpxKvwDQn0RufuERvht8SU6yLnf4YtyHX4bMqY8KAmX5FwaiFHx4Cgr7vOoKUkejgWn8Y0MKhUZvBfx3T7svq3pNVpaarPqLLgQC7Ip08uFMpgq6Kdb8RSSMjzIWnIyDorfEs4bXqBVWuJ7bxlyO088ym5PlPIY0kFIj1FJT93mIQhavRYbV+JR0etsrUtnjo4cLen8Q229QiVyFzRkVJbDkGQ44kJBmw3MA+E8nlKk4KCsKGCEpOpB2Ukd7gVT/AIxb+sXjH30sOh8P8VyqVaZTVUp2VJjLhpkvKUp1tlXiAHDaQ7lRHKOfGcAnVs+D+3989wNjars9xTbaPt2wISqVAlVd4IqEqN9zwXWDlY8PALb5KSeVOAcBZnmwnA/sfw9XI5eVqRqvVa94S2I9QrEpLy4jaxhYZShCEIKh0KsFRGRkAkGwY+miBzSl4IgIW7B8Nu1/DhQJND25p0tLtRLa6jUJslT0mctsEIU4eiRgKVgISkDJ6aKelrFIlRoiPEkvttJ91qA0Um6y6iu6O5Vq7QWDWtxr1npiUihxlSH1/iWeyG0D1WtRSlI9Soa+67uTZltAit1xiKsJ5y255VhP5ik9Up/eVhP11UfeG/7Q4vN+Nt+H22Ki3UrXpjy7wukNrC23WoysR2SUkpPOvl6ZzyuH6aR9QMCIEqc8M23ly7o15XFXvfTiK9XUc1rUZ4czVBphOW+VJ7PLGCVd/wCvVpcDvrHHbbaZS2ykIbQAlKAMBIHoB7aydtRjdIvuoTK90tfPOj82lppCCabXtG1rIozFu2dbtNotLjDDUOnxUR2UfohAAz079zp3A6ddLGloqJfQaWkc5zrzmT2JGookf118LSD019Y9fbXhH9eiEpWstkK6EDXyiOhHoAP01sqHpoYXHxN8PNoVdVBuPeizoNQQrkcjuVVorbVnGF8pISfocaYlSCUS+QDtpiq98WbQZUun1i6aZEmwKc9V5MVySj5hqCyAXJBazz+GnIyrGOo1u0G4rcvCkN1m2K9ArFNkAhuXT5aH2V9OoS42SM9ffI1xZ4o9tb14cN/rmo7ddqjjNbYkvU+qvyFuv1ClTErbcadcXlThAK2V57lAPqNKXRdOxmowjZuP8VTdaoXU8ray2bepVuMvERE1WKuVLltg9FukOJS3zDryJB5c4KidQOtX3cXxDOIvb2166hi0w5TzTHxGcL7LXh+NIkvspXg8ziUpSEqJwUjJUBq0nAjw87A7h8K0efcVi0av1S4ZE6NW5cuOlyUw42+pCG2nfvscrfhqTyEHKub11SXcqyb14LeJVhunuuPv2xUWazQZjqeVNRgFR5Cr08yPEZcA7KC/TGqzMSVa3TcDdT3jH4JZvDOxTL4sqvVKtWnMfTFdkSkpRLpszu3zqaASULweRYAIWnlPUpJu1wa750fis2KnWbuKGKpcFKimiXLGf/8AaMZ1BS3KI9nUApUR2cQo9MjRcju7ccVOxKXCn561L6pHKtH90YKh1T+68y6n+C29coLHuO+uBHijejVtDzyaHKNOrLLQKUVWkOkKDqB68yOR5HstHL76bumRslHxBB3C2Ljpd/8AAHxTJkUguS2aS6ZNPW8Slus0V8kFtZ7ZKQUKP4XWwr0GuqFhb57K777aSLkpV0UqRQ5cFxusQ58htp2E2tBDzMptR8mElQJPlI6gkEHQs40NiqPxS7FRLy2+LNTr9Giftu25UcZ/aMVxAW5GB9Q6gBSR6OIR2ydcxuHraa1N7b+TtnXbzctSr1hot0Sa9DS/GelJyTFfQVJUkrSDyEK+8nlIJUNC7TCNniTuiZwD19Vr8Y9vU+2JLj1Kqz1Uo+QT9vBLTq2lK/7llf8ADV2eNzgnk8R1QoF52DKpVKuiMtFOqbs7mSzKp5yQtfICVONKJ5RjzJWpORhOPeEngFovDxdjm490Xem57kbjuRqf8vEMeLBQ4MOLAUpSluKT5cnASlSgASc6tvzD30zW2gpX1O1LVBdo9tJ23201C2yu2513k5SISYLs6dFQn5hpJ8iC2SoFKE8qBzEkhIySeup0V4Gsanf46it0bi29bElNMdddn1dxPM1TYLfjSVD3KMgIT++4Up+umMNElVXJUuC8dVqwD2HqdRa4tzrfoT7tMipdqtUbGVQoWFKa9i8skIZH9Mg+wOqy7zcW9DtqY5b9VrMiZWHAQ3aVpvePOX9JcxOAyn3COX+krVU9zN6bzuNMai35XE2Tbs0qMe1rbDnM6j1MqS2OdwnIHKjqonGfXVJqT3E7WEq+FM4vbCnXc7t9JqrFSuRwq8Gn2+vxkNKHZl6U4UtIXjJySgdCAM4yy3lxBUO2xUJd5LrlDjQ0OuOR6bDcaW+EYBSqoyAlakk/8nQn6LOdUPpFXvG3qpBp+11mGhSIS0TGStpAnthJBDvhZ5IiTjq48rn9z6am0qBuRfN9xrtv+q0ONACgv7KuGSyxKB8VhUtxaUpyo45VpKkAhI7Y0uoxEpiwBEqBQ6lu9VId7b10hEDbZboMSz4jjjSEqXjwZNVKcLfSsKSeq1KPMObJ8hlkrhzveyuJCj7n8MVMtqybYqdtLpdVLFPZkRYcpBU42Xo4UlS2nleEPFZUFcqSc56F8smiVr5qfXqNFcVPDKRVKKttSmH2TzBTjPUcxPMTgY759epPpxb23gs1BipOR7Pmf8HEaVyh6jrdGfCUn73g+oQOo6qwVHJZzYaQEhJlO+1vEtZV5VQ7dXbUIFubl0wvx6zbLj5Wtl5gZcWysgB1lSCl1tXcoWMgEEDHdG7ci6UIiWQ46mguuuRKlWmOZMiJ0OFNpI6Z6YWr3GB1Go7V9qKTcF7tXTWKJar0WDzSjKRCWzWeZTXlKZI5UhH4gVZBAH3SDp4tGkzEom1u34LjNWjhaalAfj5j1RvOErCh5eYoSOnv6DOTVQfUqA9Y3T+UxAGxTF/I3bv+F+pf5yf/AN7S09/t2wv8Flyf9h3/AHtLWRpSo6a87DXugdxpbs1HZrhzuu7KHKVGrMhpulUx5PRTUmSsNBwH0KElax9UjR2RAkwgfxV/Eio21lanbd7OUuFcdxQFqjz6nLUTT4Lw6KaSlBCn3En72FJQkjBKiCBSqq8evFrVal+0Vbwzoiicpjw4ERpgD2CPCOR+pOo5wt7CzeI/eCn7fInPQqahlyo1iagczjMNspCuXOQXFqWhCScgFfMc4wet1v8ABjwv27bgtqNstbMuP4YbdfnwxKlOnGCpT7mXOY98gjHpjSCSrezTsQqa8OvxRLniVqLbXEVGiz6TJWGzcUCKGZEMnoFvsI8jjY9VNhKkjJ5VdtdKadUafWKfGq1KmsTIU1lEiPIjuBxp5pYCkrQodFJIIII6EHVNY/wvNno28yLyE+S5YraBJTarilLBlhX82p8nmVGxg8hyonylXL01c6JCiU+IzAgRWY0aM2lllllAQ222kYSlKR0SAAAAOg0wniq36T3Vzv8AiacUN0UKsx+H6wqvIpjbsFE245UVwtvOoez4UQLGClBSCteDlQUhPbmBrzs78PnfnePb9jcShqt6i0yoNF+mM1WU409Ob64cSlttQQhWDyleMjrjBBOb4k1Gm0/iyuWTKStLVXptMlxlKHdv5YMnH6LaWNdPeFO8KNfXDnt5XqIUBhNvxILjaCPsX4zYYdbIHYhbah/Vod43VhPVsGlci7Yu/f3go3ZfhNtyrerUFxBqNHkq54FTYPbnSk8jrahnldR5h3SQQRq9nEPb9r8d/CdB3i21gKNzW0h6dGhEhUhtxCR89TVkd1EALR08xQ0R0XqR/Ep2Opu4ex8ncmFEQLhsFJnIeSjzvU9SgJLKj6gAh0Z7Fs4+8dVz+FHuVOpG59z7VSJCjT7gpZq0ds9QiZFUlKlD25mnOvv4afbU2MITqGsbhMfw0OIZG3O5ju0dxTuS376dR8itxWERqsE4b/QPIAbP76Wvc6tz8Qfh0O9e0S7otun+LdtkodqEFLaB4kuJjMmL7klKQ4gfnbwPvHVGePnh+e2H3rVctsR3Ids3g6ur0pxjKRCmJUFSGEkfdKVlLqMdkrAH3DrozwccQcfiH2Zp9wTpTRuejctMuFlJAUJaEgpf5fRLyMODpjJWn8J0RfslB/B7VSz4Y3EaLQvF/Ye55+KNdTplUJxxXlYqXL5mQT2S+hOQP74geq9WM4++Eisb/wBDo157a0xh+9qI4iCppbyGBOp7i+qVLWQkFlZ8QEn7pdHUkDWrE+Grtb/LfVt0ajcFSRQnakirUu3acTEEWRzJcWFSEnn8MOhSkJb5CAQCrpjVwyrHU/rohpiCkc4atTUEuEPZi/8AYbZ6Jt7f94w67IjSXJERqI0sNU1pzCjGQ4s5dSFlagrlTjnIAxjVCfiHcPMzZjdSNvJYrLsGg3ZN+b8SICj9mVpJ8RQSR9wOFPjI9lBweg11fW6B7aHW9cDai6bJk2lu9FizaJU1tn5JxS/FkONrC0eClv7UrCkj7nXqRnBOiWWhBry10qK8InEPG4idnoN1S1NouKlrFMuBlA5UpmoSD4qR+R1JS4B6EqT+HRUrN30ChyotPqVUYamzjyxInOC8+f3Ud8enMcJHqRqsu4vEJYOxlrxqC27TNtKCw3y0+j0+I05WpSP8TERlEfP53OZXqcHVU754k9xrnhy5FuuJ2otabn5mrTn/AJm4qon951WVIyPRPb0Ok6y0Nupp1GyuvuNxFW/S6m1Ylz3P/YhcFVfS1TKJCkofq0wlJ5WnylKkxPEUUhKwcDPVXXIpjuJu/uVWoMuLcVQZ2dtFbq0SKbFf561PWCQoSJHVZXkEEJyc+uoFVdxHK1YlKrm3VHdduWmTE24/cFUSZFTqDCm1PRVgHzKUjldQFK6cvID2Gnur7KV3dC/X76uybIjOVJmM9KTIWFSFyBHR8wRnytJLgWrCfcnppNBcZcrAA1QClXjMkTm7K2Ks4wXZ6yFVGW0Fy3/zOq5spbSBklx1RwOuBok7fWA4wtypw5rlTmqdEefeD48VReOcs0/nGEjIIMlQyB90JGAZBt5YFNu5ibQrJpiabZdLd5azUmSQ9V3Qf+Loc7hoY8yuuSevTGjsi1aTIjx4K2o7FuyW248YsgJ+UUAOUFJz2PMT06evXJJDNZ8FC48UOrUs2NKiv2tLgwWQpIefbYWtfMVdnXVr8zquvVZ7ZBwkdNEKhcLK7lSuy6vOdYpVWkQ5MkFsPc7MZ5DhbCT0BUEcmT0AVkDpjU9pW2a/m4dGfclQ7gp6S9SqispSzOwkHwVD8SDkDCsk4OcDoSHApFKu6iVi2KjNcp0qVTl0nmiv/bU5TzS0gpPRSVHKijm+8ElOT6uWizUpMoTcOVDlT7GYpMRyPBqlo3DW6PRZ6HyoCGxU322YygSSttKMNjqFcvTsTksvqqrU8VimRacxXClD1WttxaD8454nMl4E5SHCnzgAKWMp69woX8MHCsdkLUq1j1e949dTPmOvqkQy63ynw0pUUpWo8vmQCQk8ozg+5Ik2ZVWeS26/NZhXEhZapFcLQUmUM5SjnXlZUckFIwfQnBwqqiXO1F20mEHJsEOM3Hdm0+dKqtsVCSp2otyZC35lJWpxJJJyVloOIKySSkBIxjHMrdozVVloh0x2QiSzEW5NpNahLTHjBKQcJeQghCDzYbScYOMKwcBOCkT5EqsTqjTKQzFuaEypNWoy8FM9KsArQAoDJ9zkebpzYyp6tqx6XczK5EF1ty0qihchFOmNrU7CnJPJhhXRPggBXqrJA5cYBFxCCfP2puj+R3/wX/30tav8krf/ACmf/nqTpamgqIpxZUabGamQ3232H0JdadbUFIWhQylSSOhBBBBGqmfFBpUuo8LcmVGQpSKZcFMlv49GytTWT9OZ1OmP4XnEB/KVs2vauvTvEr+33JFZ515W/Sl5+WX1OT4ZCmT7BDfvqzu9u28Td7aa69tZighNwUx6I04ezb+OZlz/ACXEoV/DUcEWmCCuZHwr7qp9C4jKjQZqgl247bkRYhPdTrLrb5SP1Qlw/wCTrrb6a/PtaFzXdsrufTbmix1wrjs6rhxyM7lOH2HCh5hf0VhbZ+ijrvDthuLbW7Ng0TcO0pYfpdciIks9fM2T0W0v2WhQUhQ9Ck6VpVlUXlSg98a1J9WpdLR4tSqUWIgfifeS2P61Ea3NcdPiaRYTHFVVDHcC1SaJTH5KCchL3ItHbsCUIbOiTCRrdRhWr+JHsIN4Ntabvbt6lurVO0GHfmhCUHvnKSo8zikFJIUWVgrwPwl31AGqrcDnGajhxqUyz74alzbFrbwlKVFT4jtMlkAF9tH421pCQtA6+VKk5OQq83w26nIqXCVbMaSPJTptThM9OgaTLcIA+g5yP4aHHEP8MG1L/rku8NmLhi2fOnOF6TSJUdTlNW4o5Utrk88fJ6lICkdegT20I4hOHAAscsnFpx47DVfYu47O2yu9u567dlOdpbTUaK8lERp4crjrynEJCcIKsI6qKsdAMkV8+FjZFTrm/wBU71aYWKdbNBfbee5Ty+PKUlDTefcpQ6rHsnT/AGt8JfdmZVG0Xpuba1NpoWPEcprb8yQU+vIlxLaQfqSf0OuguyGxm3/D9ZDFjWBTltRwsvy5b6guTOkEAKeeXgZVgAAABKQAAANQAkyUC5rGw1fO9+xe3/EDZyLI3EhyXYLU1mey7Ee8F9l1s/gXg8oUkqQrA6pWexwQ77d7X7fbS2+3a+3FpU6gU1GCWojWFOqH43VnK3V/vLJP11KVEDJVpvq1cpVDgPVWs1GLBhR08z0iS6lttsfVSjjVscVTPBbjiwk99MlyXVQbVpy6tcNWjU+Ig8vivrwFK9EpHdaj6JSCT7aCu6PFTb9q0Zyrw58Ch0jBCa9XkqQh/wD+DhjD0k+xISn9RqiW53G3ctzTpEza+O6wpOWnL1ugoU+gHuIjGPCjD2ShKl+4zpDUGzbqASrubvcUlFsqkqqNVrcazaU4klmXVGvFqcwf9EgDzdfRbvQeqdUsvvi2va6vmpu2TKrKpUkFuReVxuiRWZifUM5yGh7IaBx7jVYKjdj9Vq71dcfl3RXZCsu1uulTieb3baUTn6c/8EjU7tLZO/NyZjdTri5CG1gf8JmZJKf8W0fT2zgfTSFpd3k7WgJlbueLGqT1StSHKrValLPj3JXSp99xw+rSDk59u51NrR2EvfcCporV2SpP2nmL8vK3yP3G/utj9ev01Yfbnh9t20GG5zkRTr6QlKpT451jPTp+UfRI7A6PtvbbNBxESaxysSCn5Z5s8uF9CE5HZWRlJ7Ht372BiYlBaxdqLXsdiFTIFKWXZSz4ktR5xzjCeZ1xShkgqA5Qc4PYaZ71ody7hblscPlsPZqzAU7clXYSlAh0w4UlvAyEOLJV0BzyqSFZPYvbruxeHixLhua46U5WKMiAREiIbbSPnUhKIhSo9eYuHBx1Hfr0JycKWzkexttjcO4dbkU6+b1fbrdVqIcCFBx5WW2RnJ5U8wHL2HMAew0Hj5RuVJUrtqwIVEpsWgWHR3qPMoMcIZpsnLaZbQGFLHTKuvc9MqHTpgmWUS3Wm4qa+1TU1SDIlBVQhLbQV08AY5kIyRzDBHN0wAMDPaVijSpcpq360hMetR3PEp1SCQRISnJHNjscZGOvr9QcV03fTrKgzLjSlf7UZWI86GzGUv5kgfdaScJCSo5UsgnocHl66YkNEBJuo9WajRLWgw7fl1qFUI850OUabId+2aWtWSknqT9T3H64xqQGLgqygijoXTq9RUrkS6c2gIgVpK08pWrphTpPIApRyOmM+Uph1NoM65ue5rmcVMtKugBiTGKELprxXyhKUgdRzEZPmzg5zkgkAwJLLEO0qxVHUOsvtuUOt8xU28pIBbDpA5VLJCgMkkE5+qgBN0YTRAm3BDW3WLbQuWy34zcy3QvD0WT4isrYUpPMFKd9TlCklQCSVEAgVKh0m86eqm1NuM85hamn2ghYChlJcaV1AUkkhQycHocjB1EqlCq9dqqqjS2ozN90RsCVEdwmNWmAAMFSvuehKh2wMdklGzLte4bBqbdUtinqmU+orb+YpTDyU+FIIIC2HF4Q0QScqUMLT0OACBANKhXxIp8hmqC3qjNVS61HQE0CpuvOr+bQATyvOAjxDlOSk4CcgYIHmntr16XKxSq9F+SqjRUjlKgEyggDndaTnm5MnuQBk4BPprxX7Y3HopjyTFnthawh5rJQpaDyqWyogZwehx0P7ySCY25GqDE2Nblx1JMSvxhiiV8tJCZQwUhtz0zlRATnmJycDupkEUevvpagOd5/+RQf62P93S1IPJGFxV4VN8pvDvvdQNxPEd/ZjTpgV1hGftqc6QHhj1KMJdSPzNj313zgTodUgx6jT5LcmLLaQ8y82rmQ42pIUlSSO4IIIP11+dPcC06zZdz1Ch16nuQqjAlOwp0ZYwpmQ2cLSf8AX9c66tfC34gf5R9oHtpa/N8SvWAEMxudWVv0pZPgK69T4agpo+wDfvpWkPbIQMgwUJPiXcKs6k12RxF2LS1u0uocoulhlGflZAASmbgf3NYCUuH8KgFHoskAnhM4zby4YZ8mkOU9dw2bUnfHl0hT/huMPkAF+Ms5CVkABSSOVeB90jm12mlRY06M9Cmx2n48htTTrTqAtDiFDCkqSehBBIIPQ6onvr8LKzLsqUi4dlLnRaEiQorXR5rKn6dzHv4SknxGB+750j0CR00hHEK1rxGly27p+LHs3Ft1cizrEu2pVtbf2USc0zEYQvH90eS4s4B/Kkk/TXN6+r0vjfHcufd9cQ7VblumegJjxWyStxWG2Y7KOp5QAhCU9TgDPXJ1aOnfCk4gZFR+XqV32PDiBXmkolSXzj3DYZSSfoSP11czhl4E9reHWS3dLz7t1XglBSmrzWUoREBGFCKyCQ1kHBWSpZGRkAkaEFyOpjNkQ+GDaZ/ZHYm0tuJ5bVUadCLtRUggpMx5anXgCO4C1lIPqEjRTxnXzkAfQaxyZTEOO5KlPIaaaSVuOOKCUoSBkkk9AAOuTpwFQTO6ykga051QiwI7syZIaYYYSVuuurCENpHcqUegH1Ogtd3EvFXS6xVNsbfVclMoUd2TUbikv/J0OKhvqvEgjmkEDP8ANAp6dVjVBd9OPb9uSXYlDfN3S21EtvS2jHosRXoWYucvkei3TppDUveV8NxuKO2LepUmpUCXTzAYJS5X6u8Y1LbI9Gv7pKV7JaGD+bVDd4eOqTXpzv8AYE27clQjKOLiuBpLUGCfzQ4P8239FuZWfrqpt13/AH3uvWv2pc9ZnXDN7Nh1RTGjp/KhAwEpHskAfXT7Z20txXdIaT4Dk3kVgBPkjM/x7Z/ogn66Qy7dOGwmy4rwuK+647cNx1WddlYcJK5tRWox2h7IQcZSPQeVP0OpJZ+zt47iymZshDzzQISl6Qgojtp9m0DGR9EgDVjds+F+nQ1NS6xHTOfGCGyjDKD9Eev6qzqy1u7aQaTD+blobjx2E8y1qGEoSPU+wH+jVjaZKayAe1nDPQqGtqW/C+emjBDzyOiD+4jsn/X9dHaNRaNbS2oTzDrs5RTyRm2SpXLylZV6dOVKu2TkYAJGNTthhqJSn6rbcdmW3SpA+eCkEL8IdSWxjqDgjmIx5VEZxnUfqVp23TQ5MfaXIti7lIcbqkhwrdiySCFMu4PO6g8gBSnqAkEK5kAmzTpQ1LBJtFytvPUiS41FrcdtT8RMmKFRFOYKVBA5vtFBHL7KBBIVnlCi3tnOcqlLfp9w0J2H8r4TE1K05ZadcBI5FjoW1YCsjo2pQAJQUq1FrYZgRExLWuqrwJc5C0xqK2+kqcWWgpRS68jCAkHww0UqTzJHKMdCMW6N3os+z6ruTXpLkWv2PAkVJbURSvlZCF4BHhrHIOdS0tqChnmUcE+ZIGyEyoRxPsSdxt/dpOGyYVP0pLy7zrKuUlUiJGUoNIXgYBK0cp/MF599Wyp0KEtpuGplOGwFNJcQCEkdig9Rke46jXPvYa5boq/FDZe9e4viwV31TplAagrU+o0x3Hissr8b+bKwlfK2kYASPU9bzXPf1FotHqEo1GCpqlq55kxQKW46EpJKzjHMpJAB5Ce56EjlOO06yXJnAiAsFeeiWhR5NOuecX4slS0Q5AX4bvnHVoqJHMpSsDlTkkZJ6dBAKRTahc1xM3hX5LzVyUhCnGrfYkpIdj8qg0klQ6KUAFlI8xCR07HWfwYm+sl1yoynEwooQYpZUAtByCh5P6/7SDg9ntilzvm41Hr1bYRdEMl2kyU+Vb0dJxyuq5Sk8wQrGeZR8xUPwm3TFyhsvIMl5UR24oLRmUp9Ji1SjPyUqNPKHOXlaSlISkJOR15cHJUo906CoVIiUtty4yuba0mpFVNDPi5h9FAh7PKvl6EKbwodFqKgDgu3y1WkT2bjgyYse6KYwFVmkx1qUxIHLkpBwOZQBAyMjJHY9S2xvknWJFct+nSKrb1TdS3WKGsFTjDxKSFtAHqMnpgpT3OcYKYAovKhHkTZCqPcr7ZrUVC5VAq0d5DIlpVnDKD25fugjoOuAMeZU1tKpVKv0qREuWhPxJcVfyspLzYDb55QSpHUgjtnGUgnyk+kUqNBYoEP9gXq38/bL0xKoctbwDlNUSAgKOEgJz08ue56qyrD/bFdqlOqTdm3Klx6SWS5AnJytExlIBKiRnlxn7yj17d8EtCCZaxRHtv1SatQafLlx5khL7yESseFjJUttBGPHPUcxUElJII7jUnact7cOgNxpbjcqPLa8Zh9hXKVpI/nGld0LAOFJ7pzjsQTIXWmZDS2H2kuNrGFJUMgjQrr9tVjb+rybltrxZFNmvfMTYaeqi9klT6ST/PEE+bOCkcuDzHEI03UF1Of7GV/3mB/3sn/AH9LUT/lptv/AJwu/wCaP/z0tJLeSMKi3xVdl6RQ73om6FLLTKryaciT2AnBMyKhJQ/2x5mylKvXKAfXVTOE3eWrbFb8Wte9OS49GclopdTitqx8zCkLS24jr0yCUrTn8TadLS1Vh948VHc135HbrpEaWlp0F8k6xKcIPb10tLTtCUrWmTflYz0gpz4Ta3O2fupJ/wBmqp7k8R1txeGihb27n2zLr9PucIaZt6HysR3nw4oBL6lLUQzzN9QAvIxkK7aWlouCguVQfiC4o91t27aehXJV0UW232nWKbbFBR8vT2uQdC+fvPYwMc2R7BGgDbVliqsx6hVZZcbfUA2yg4GT+Y+n+nS0tIeCcK1m2PDrR1NMv1p9l5BCVCKyCln6cx+8s/r0+mrSWTtfR4jTTTDTLaEABKUIwAPbGlpavpgJjZGO3bKgMITypR/Aa3FwpFu3pSUOyTLp1wqXBRHWcfLOpTz8wHZSSMg5GevfAGlpaudZJxXxVKG7YVeamUIsrYlsrWiO8TgNNlCVME4Pkw4OTuQDjskZeotHUxVYT1MajvUK7WCZFOlEgNfZhR5AkYHkyc91HAykAELS1W7dBQ6sWgxRaqnbFySqVGkQHXqK86OZxhtPOtTDyj3T5VFCgCUKHQcq1o0zXpbMLiB2suvbF2bUQ/CXE8OpTpAKpL5UhbL7qG0gDkUQAjKsgAlRUMlaWqipKH2yG+lQ3VuOTHqlEiRrptynpVNVyh2nz2G21eIQnyradUckdFAYAHKOxJ3Jq7tOo8O6I7i5FAqlOQ7IpTyEjHiLTyqQRnC+YKyTzDGMpVzEBaWlZe5TxdONpON7ZXBR7Kh0yM1EqswsRZEdalOImO5W4pwK6FlWEjlBBGM9VeYmZ+HFuiktSDGZTITlcZb7fiBl5KsA4yCpIUkHGRnAzpaWrN0p3UGNOnV0z5ciWGLnoCwlc9gqQmU02PurxjqSV/dSAcgEYJGpdY9UgVyimsw6a3CdlulcsISB4j/KnmWSO+QR36/6ytLQagU9TYUSoxXIU6O2+w6OVbaxkEf/ANwfoRpgtOi1agTqlTXJ7b9IQW1QGySXGArmJR2wEgAdMkkjPQeULS0ynFSXGNY5UWNOiuw5rCH48hCmnWljKVoIwQR7Y0tLUUCgX9r/ALU/821/+Nf/AN/S0tLQ0hNqK//Z</t>
    <phoneticPr fontId="1" type="noConversion"/>
  </si>
  <si>
    <t>data:image/jpeg;base64,/9j/4AAQSkZJRgABAQAAAQABAAD/2wBDAAMCAgICAgMCAgIDAwMDBAYEBAQEBAgGBgUGCQgKCgkICQkKDA8MCgsOCwkJDRENDg8QEBEQCgwSExIQEw8QEBD/2wBDAQMDAwQDBAgEBAgQCwkLEBAQEBAQEBAQEBAQEBAQEBAQEBAQEBAQEBAQEBAQEBAQEBAQEBAQEBAQEBAQEBAQEBD/wAARCADGAOEDASEAAhEBAxEB/8QAHQAAAQQDAQEAAAAAAAAAAAAAAAQFBgcCAwgBCf/EAE4QAAEDAwIDBAYGBwUECAcAAAECAwQABREGIQcSMRNBUWEIFCIycYEjQpGhsfAVM1JicsHRFiRDVOFTc4KiCRc1N2SSk7MYJjR1g7Lx/8QAHQEAAQQDAQEAAAAAAAAAAAAABQADBAYBAgcICf/EAEERAAEDAgQDBAgEBQIFBQAAAAEAAgMEEQUSITFBUWEGE3GBBxQiMkKRocEjsdHwFTNSYqJysgglQ+HxU2NzgsL/2gAMAwEAAhEDEQA/AO550Bme12ayUqBylY6j/SmFdluScnsAQPBY3q2UtQ1jcr+CplRA6R2ZqTPRX4yw3JbLRV0JG2PGnm2xbU4FIYb9YUgZUtxON/KnqiR2TNGdOaagYzPleNU3T7fIZded9XS2ylWx5vZPwzuaRU/E8PbcG6YkYWOIOi8pfFl29lA54JLiQfaUoKCj5juFKVjntsw2Sjc1pu4XSti4Sbk+hLiksMp3UEOcpV8z1p2Zix2VFxtJKlDBWpRUSPiaGzjuTkb80QhPeDOVuo/nUVPpNNEZpCpLyloIHVCykny8K80tpBGqJIkKbXCt7RwtYVzLdV4Jz08zUkTup4TL5Ac00KdtRMI+f0VnRNG6VjxfVmrJEWgjBLjfOpXmSd6h+p+FXLzTNMq26qiOK6fwKP4H7aGUmJSRS5pTdp36dQi1ZhcUsVoRZw26+KrqRHeiPrjSWltOtnlWhacKB8xWurUCHC4VUIINiiiksIopJIopJIopJIopJIopJKa1E+IfES28NYlru99iOqtc64It8iS2R/dC4klDik96MpIONx13qsVM4ponTEaDfwVtwjDX4xWx0MRs59wL87EgeZ081JJTDU2KpKeRYcTlCs7dNiD9lJIa5bTRxa221NAJVjZSwOuPxqfGWuZlLtEIka5knu6pJcZD9yfbiMxXUpSeccwwSDtkjuHWsJEGN68zEYjO8gyXFbkqTnc/AVLZ+G0MBGxUR4MhLyNbj/unFpuBLbU3FdbyBsEoH0Y6bA/j1piuEQw5S2eVQR1QVHJIrFNI7OWPGq2qGtyBzTotCEKcWEIAKicDJwPtNTCM0WY7TOc8iAnPjWK4iwCVG3UlNd11ZYrO/wCrTZau2HvIbbKyn442Hw61vtmobNeEk2+e24pIyUH2VgfwneqvDjtBUVZoY5PxBp0J4gHYkclMztvlJSIl7UF0Ztsdz6JbnsnHRON1fZVnQAi3MNxYyQlppISlI7gKM4gMrWw8tVLwlhe58x8AnaPcTt7ZFObMpLicqxQR7LI2DZNuodJ2bUrHJPj4dAw2+jZxHz7x5Haqm1Poa76aUp9afWYQ3EhtOyR++Pq/Hp50XwuuyHuJNuH6fogmLUGcd/ENeP6/qou3NtivbcucdDYO6kkuH5BAJJpOq9WpCiFTOzHcXW1o2+KgBVhGYuItsq8WEJFqC9ot9vZmMXGNHjOSEMvTlNl9uMhQPtlKDk7gD51KtGsfpTT0O73BlJcnx0uFBRgAZOCAdxkYVg7jOKaq3GOIOGhupFPEH+0UqudsYSltmBE+mOVHlO/L03z50iRZbktYQYykAjJWr3R8SOlMw1LQz8Q6rEsDs5yDRapMGRFcDTiMqPTl3B+FKItlkSme17RLZzjlUDn4066oY1gfzWjKd7nZTovHLJcEuFCWgsA7KChgitT1rnMKSlUdSuc4SUDmBPyrAqozxWXUz28F7+ibl/lF/dRW3rMX9S07iTkpVVeekDpr+1fB3VFtQ3zvMQzPYGP8Rghzb5JUPnVbro+9ppGcwfyVw7N1XqWM0lR/TIw/5BRv0WuIEzVuhWdMXtD6LzYW2m0pfQpLkiEsf3d0AjKhj2c9+B41dsqJIhOJbko5FKTzAZ7qj4VU+sUkZd71rfLRE+22FDC8eq4ovczlzeWV/tC3kbeSapV1gxQVtFDrilAKCDufMmm83CbObdTDghKlD6RaCSrHhmrBDBl/EkNgFRpJrnJGLpTa44tjRkTHeQvEI5e4HO2fOkF0YkvXJTaCqQtQ9gIGVBOM4wPDenInh0pk4fosSNIjDBvyWdntfrShKfH0STslSMhdUT6W/GnUGkpMLh5pC5O2+TKjCZcZbB5XkNKJS2yhXVGeVSiRvjlAIyaDY/WOihcWb7Dz4piV5p6UvG5+65ZtOudX2WWJlv1HcELzlSVvqcQv+JKyQr51d3DnisdWOJalOep3qMOcBtWEuJHVTfh5p/EVyLEqUsAqoNHNN9Pz8RvdB4Kh98hOi6q4KX6PfnJi5BQmfGaShSB9ZJO6wPDYA+B+NT3WmpY2jtI3nVczl7C0QXpagT1KEEpHzVgfOunYbiJxyCKo4uAB8dj9dR0V5w14jou88Sqn4Weklb7pw1sWs+LT1t029erk/aoryCv1eQppIKnTkHsU55k5JKQQNxna+ItySttDzTqXG3EhSFoUFBSSMggjYgg9RRfE8PNJM5ovkuQDzymxT9DWtq4wTo6wJHjsnaJcUkkFWT4Uu52pCC04lKgsFKkkZBHgaCOaWlEQeBUK1PwyiT2w9YFphOtpwmOBysEeQHuH4beVQORpyVbo5burD0d9LntZP1M427iPOjtFiBdGIz7w+o/VVyvw8RyGQe6fof3skruirJLjuxLlAYkNyElLxCezUfLmTgqT5HNP6UIbSlttCUpSAlKUjAAHQDyreWUy7ppjAwWCCUpyokDbJJ22HjVc6hl3S4a6tbdjbkS2JamFNTWn3UMwkNKKpAKQOzc7RONyT4DpTlJYOLnbWP789lsVYxSlRBKR7JynPdXtRVlFFJJFFJJFZtW5F3WbW4lCkSkqZWlZwkoUCFA/EEj51q8gNJOyciJEjS3e647OudW+jzxc07F1rpebBNnlPw5kl13tGbla3A20lcfbuS0l0gKIC84SjcV1fra+ou9zzBlJeg9k2ppTfurCk8wVnwwoUD7LvL6t8Mg1br+Q+Wi6l6VaGOCiosSpXBzJmkXA5Eut4gOAPUHQbJjhRHJshLKEq5c+2ofVHjTjPgM2wImRlqCkrSME7f1q6SzWkEQ2O64vHF+GZOSTzrw7MbLPZBtPMFZzuMDp9tTDRFlRbba7fpjYDryCpvI3Sgb5+Zx91Qq4Cnpu7G7j/wCVNw4Gep70jRoum9S2orBccWEoTuVGuWtRcMNP8cPSsuej9Tahl2VEzTzci2OMJQpbjzbSeVJCtiAO0WUjBISQCOtA8Xh76mFzpmA+hUarjbUOjp3G2YjVc1a40deeH2rrtovULIbuFnlLjPY91eN0rT4pUkpUPJQprgzpdsmM3CC+pmRGWHG3E9UqFUiSPdjvBVmRjoZCx24Nvkup+F/FZcV61awtrWFNqCJrWdsbB5v5jcf8NXz6T9r1lrXgnMtvDi1uXZ25LjuvtMLSHHIYPaHkST7ZJDfsjfGetE/R5OyCpdSzn2WPafL9gKzYZPJUUk8EQ1toPEWXOPFfRT961BpXgTZ3FKb4f6Jk3C4cm/8AfDHVJez5lQaT/wAdTjhFxx1tqLV3DfRmm5zSrTb9FCRf2HGkrS4tltZyFdULAbZSCDj6Q5BrsNRHHV0Te8+EOf5vzEfWybhlfTVR7viQ3yblB+6v/gvxdtHGXSCdXWO3y4PZvqiSYsjBLcgISpQSpOy04WMKwPMA1Y7E9QPKT+d6pdbSmmmfC43LTZW6mnFTC2YC1xdOrE5JTjIJ+Ne3C3W+9RFw5rKHW1pIPiM94PcaH3Mbg5qfLRI0sdsoRctDSLM2V2wKkRkjcf4gx3kd/wAR9lMdFo5+/GY78UCnpzTHLw4JsnoTcbg1aXBzR20CVKT3ODOG2z4gqClEd4Rg7E06FSiMFRx8aeOgsmV5RWqSKKSSKKSScILFo7MOzpiubH6tKTsfMjrTwxebFDa7OOhXLjBHZEZ+Pj86hTMmlNgNERp308DQ4m5K1XWJo3iPBc0tqvT8S7wHkklmawlSR5pychXmnBFR+Dwf01pyK3pXT06YhlttbsFuU92pabScFlKz7SkpynAUSQCN8VFiBoaoT/FseoPA/vRGH1klfhpw4m8WbMAfhcBYlvK4NjwOnEJOxYJdhLjMoZUtXvAYGB0rGRGjvKQ9ISVBklQGdvmO+jff947vGcVVDAYm90/gm7T1nXqS+qJSfV0rLzpIwOXOyfn+Gam2upKLdpx1pn2VPrSwjG2ANzj7K0q397VxwjhZP0TO7o5Zzxv9FWj0+TIZQw6vmQjp4nzPjXOXpLM3zR2rNIcXtNOKYm2t4MB4DZLzai41zfuqBdQfEZHfW2PQf8vf3fAh31CrtTI8gP4i1vJTn0g+Fcr0ndL6J458HbKJtzvLLduukNDiEFA3AU4pWAOxcC21En3Sk91Tjgd6C2itDts3/imYmqb3y8whqRm3RT/Ard8j9pYCfBI61S20Ylm713u6FHI8IbWVprJB+GQHAcyR+XNc+arjaF0rx01do/hxOjP6ec7KZHRGdDjMeRyjt2UKGxCVHGxOMY7q6+4G3Vd14a2sPOc64XaQiSe5tZ5f+UpoVg2WLHJmM2c2/wBR/wB1DwfLFicscfu62+YUle0dpd+9ydSqsUNN2mQl22ROS0A87GVjLalD3hsOuSMY6bVSHo8ejhduDV81jcb7NhThLhpgWqTHJyuNhS1lSTuhWQ2kjJ93YkV06mxExU0sD7kvDQOmU7eFkbqqAPmjmZplzE+YXOGg+IGqDwnY4FcOGn3NQ6tv8hyS4wShTcXkaSlAWPd5uRSlK+q2g/tV0H/8Sti4OSIfCW5o1Pr++WNgNXi6xghZS6BzOJSD7TgbBxk4wAMqJzVjxDCxVSGBhAe4ukLjwbsB5oFQYh6s3vnXLQAwAcTuT5K+NBcQdN8Q9ORtV6PuyZ1vk5AVgpW0se82tB3QsZ3B8QdwQal0a4HOM4qj1FM6J5jeLOGhVuilbKwSMOhF06MzUL2WfmKbbzpaBdQp9jDEg786Bso/vDv+PWobHmJ2YLaWJs7MrlXTlhudnnz37lHKDIfCWlg5StpCEpTg/HnOOu9e0YD2yDM3ZAHsdGcrkUVlaopvvUt2JGQWF8q1rxny76dhaHyBpTcrixhITJ+lLj/nHftoor6tD/Sh/rEnNSuigqKL1C1NrDiFFKknII6g0qu0iZfoSGmLiINyjrD8OTyD6N8D2Vj5EpUk+ytKlJOM5EWrg75mm4RHDaoU0wLhccufTzGicNI68g6skOaR1hbEWjVMRsregLOUSWxt6zFWf1zJ8vaRnlWAdyruujnGz2ttcStBVjlUc8o8ag0lUWj2h4jqi2K4cI5bMNwdWnm07Hx4EcCCOCW2OzRLHGKITRWVZUpzI5nFeJ8u4DuFQLi1fTGmQbWzAnTFIbLqgwyCApRwOZSiEpPXYmp2HuM9aHuPM/RC66MQ0RiZtYD6qAevX90/QafaaHcZM9IP2NpX+NMettJ3jXulp+lro1ZmGZzYCXA484plwHKHB7I3SoA+YyO+rPUQR1ELonnRwI+aqTmhwLVVXo2+kG56Ml31Jw54nW24uWtT5kNoiNh1ceWBglCSoBTbqAg5B2ISe84jPHX0weInGAv2W1OOaZ0w5lBgRXT28pH/AIh4YKh+4nCfHm61ymWpfBH6sdHC4PkkcZfHQNo2XDhcE9Oiq/hgFjWEQMjADTwIH7PIf9K7w4LWqUnR7E2x3jsLot551cVz3HWirCdvgOv4VGwBv/OnPIu0R6+ZC0wBpNVcG1gfsrPtOrWnnxa72wbdcBsUObIWf3Vfn4mpBsRjYjoavMkZjPQ7K9xyZx1UL0pwZ4a6H1VcdZ6V0tGt9zubQZdLWeybTnKuyR0a5zjm5cA4HTfNC6IuWm+AHpF8QHeJ8r9FM6mSqdY7w+0tTTrK3lOuNpWkEhXtBJHi3g9U5NUU1RiImiJzSOaAOZykafK6D1kENCIpBoxriT5g6/NQThnxUnaR05xy4g6VC7da5k5n9CILY5GZ0h9wNYQfZ5ksnnKcYwlINdL6D4y22Nw00rqLi/qmwWG9X+EJSW3Hkxw6gqPIsIUSRlPKT9UE7Y6VLxfDsxLmNLpC4NsNb2YCfr91Gwuvy2a8gMAJ16uIH0VpW28RZ8Rq4W2axLiPoC2n2HUuNuJ8UqSSCPgaeYlxVj3h4b1UJY7XuLKytcHAOalyjEuDKo8htC0qHtIUMg1Fb1olxvmk2glaepYUfaH8J7/ga1gm7k2OyZqqcTtuNwoq4240stuIUhSTghQwQaxor4IHa26K0S4UeakJfQSU+6oHBFbNcWOzDdauaHixWj9CWz/Ln/1Ff1oqR65KmfVY+SXUVFUhFeKGUkZx5+FJJMl7h2HU8u3aYvDMycsudvFft/OZttdOyZLbre7AHeokAjbCulPDWrtfcLgGdfoe1RppBwnUcBjMuIj/AMbGQPaSO95oeakDrQfEYfVpBMzYjUefL93CuOCTtxKm/h8+jgfw3Ha5+Enk48fhdrsSrJtVysmo7cxerFcosuJLR2jEmM6HGnU+II2NQXVzLttnzJ98sRlwHl8zciOnnKQEgBJ6YO22dsms03tuGQ68EPq2OhuyQbGxvw53VcQnZ0iI1JuUFqFJeSHHIzThcSwVb9nzH3inoT0yDjat+cDJOANyfCrlAXOiaX72CpEwaJHBm11VvFjhRZeLsVp+3tiLdYqeRi7Yw0pGf1ah1dTnoU+6eiuoPN109H7jFbJa4regrpc0oXyCRbGTKZVnphSNx8FAGqX2kwd4k9agFwfeHI8/Pj1Q6alfK+8Tbk8Arn9H30YrwZky7a7mN2a4hHYxrS7s+oZBUVkbIzgDAyr4V08pq0OmPab7b02GfGQlqLKjjlaISAE4I2wMf6isYLhTqEunf/McBpwyjh48T8uCsmE4f6nFnk3dv05JRcJD8RkW/W0FM6EThm5MDJTnoTjp+etb40i9aeZRJtsgXyzKGRyqy8yny8ceH3CjhDCMvwnboeSMXLTm4j6hSS0Xy23tjt4EgLwBzIOy0fEfkVo1NpHTGs7cbTqywQLvDzzBmYwlxKVeKc7pPmCDUUGSmkzNNnBSHNjqGZXC4KpL0geAF01RojTmhOFFktFrsUO7+tXGExhhSkrAR2qQdllAU4o5PMdsZxiq+n8OtMap9Mebo/iJGLtmaszKbHCcdU23JZajtoZaSUkEgYeVygjKkHzqy0GJu7g5Ce9a2R1zzJbr8h9FXa2ga2cZxaNzmCw5AH7qWcQG7b6Humpd74cS5MhGprvFahWG4vLeiRQhK1yS3vz5WOUc2cjI96rN4R8eNPcTpcrTrlquOntVWxvtbhZJ7KkutJBAK0qwApOSBuArcbd9QqqlkxClOJkjMTqOYFhmHnv4qZS1LKKo9Q+HgeRNzY+WytRmY42Rnfzz0pa/qOJbYxlT3gGxgDG6ifADvNVx8RefZRsvEYzO2UFv2s27y5lqyMthOyXVuHtceeNvlvTfGkJkt84SUkHCge40UZTmCMAm6BzyiV+YCy20VhMoopJL0AqISBkk4FKUW91RPaPR2gO9bqR91aSSNjFynYoXTH2Vgt7S8VBcuGrrW2lKFOKxJbHKhJwpROegOxNblv8AD1wNuP3JuSnAKAVLUk53zgDH200HVbzeJhHWyk9zSx6TPB6XTnC1TpskMWslRH+G1GxzY8jjPxryXxDtcM8r1tnoV0PM0E/iaitpJpJTGfe6qY+ughiEg1b0CruXHgW+5uak4W3Y6Vucp7tJtvfYK7XcDncvNJPsKP8AtW+VY7wobVO9JcVrZeZaNLattxsF/eSQiDKWHI81I6qiv7IfTj6uyx9ZIqLPSy4dIGP907W4H9/JHYqyDtBTd7H/ADox7V93tA3t/U0b/wBTdd2m+GrOHkV5t25abQUOIBU5FBylXeeTvB/d+yqmEZ+5q7S4tLajA5REWMFfgp0fgjoPrZOwtuG1frMRz+8393XP8To/VJbt907fonEDJCUjyAH4VYei4TkGyrdeb7Jx9alnn22Gwz9lYxJwEQbzK2wljnT5hsAUyXF9iStFu1xbvVJA9mPcY4wk+Htfy+4VnKcuFtiiJqWOi92de6JjY5ltjuJ3+/Pz7qhZQAGg6fCevJGybXd8x917GZnWyN63pyQm+WdYIVEcPMttPeB/T7u+tUBll5xdx0NP9Vkp3kW184SrxAB/H7xSa4AFxGnxD7pNBuADrw/ReA227zcjtdPagQf4UOH+eftPnTrE1TNtDybfq6L6utWzctsZac+Ph+dhWr4u89gn2hseY5LZkmT2+B36FSht1t5CXGnErQsZSpJyCPEHvqB8VuC+kOLcKMm9+tQbpbVFy3XaCvs5URec+yr6ycgHlPeMgg70zSVMlHM2aPcfI8wfHZO1NOyriMbtjxHDqudfSb0DrOK9w/RrR3UGodF6ZhBi9X6ElLkxbq3CXXloJJQrkS2ApWU7HfNXT6OMLt9NSb//ANY0XXkRbgh2i8LihE5mElIUYslahzlSVnPKokDYjrR6smjfhjO7YLXOo3Y4kktPQjbwQKkhdFiLhI7XTQ/EAAAfEH81brriGmluuqAQgcyie4DqagV0ubt1kl9RIbTs0g/VT/U99BaNl3Fx4ItXPIaGDikdK7b+tcHigfiamy+4ULThRUNJGR40U73RWudvNFaJMqPDR2rqgk92BuT5Vo1pe4NCyX5BmKq6Poa0Majm6hPMv1tYdEYpHZIc5ioqx9b2twDsDvjOCJHk+NWBzi63RB3OzG6ybcWy4l1pRStPuqHUVjNfuNzun6TuNzfeDcZMdiODytN+0pS3Cn6y1ZSMnoEADqagzUYlmbMDa2/VS4awxROiIuD9EUS2oV0trtmvcBm4293BVHfTkBXcpJ6oUO5QIIPQitqukjrYjE9Zw7EJ8LqW1VObOaQfkk9oe1CwWLdpn0hr7Z23XFtxot4gxLpnk95LTjwS6tIwdypRwDvtS1+1Isrca3/2me1A8hgKk3F5CULkPqJUtRSj2U5J90bAYHdQbB6WaildFJcja5+gvx/NWHtLidNi4bVRRtiJtdrb2J4uAJOW/wDSPZHCwW61RxKntNq91OVn5VYN9ftsGxerXdbjcaQExlqbzlJV37fCpmIXdK1o3Q3CQAxzio+f0naIOJKU6hsLgGFgc7jSf54/JFeQWZMZlU/RE4ToXV62vqypPkPA/nembttf4Tv0PNE9b9Rt1C1xGoFwkKm6XlLs92QPpoLo5UOHvHL+fgKJC7dc5SGL4wuw3xB+jktnlQ4e456H7fnW3tA83D/IJCxH9p+hWdxecbSm2a6gB5gnDNzYHQ9xJHQ/nBrNxVztEPEgI1FYnU7LHtONJ8fPH5xWgaCAAdDseR5LF3XJO/HqvLezIhtG66Hnpmwycu255R5kfw53B/O9SCx6ot96UqOOaNMQcLjPbLB8vH87U3MwyDMB7Q3H3TkL8hy8DsnggKBCkgggggjII7xSCx6esWmYi7fp60RLbFcfckqYitBtsuuHK18o2BJ3OKjB7g0tB0P22UgsaXBxGoSXVT7qLeI7KSS8rC8fsDc/yqHURoxaNCq12aS3JFL7aj2FvftnlHwH+pp2b3VESpwOFtYaUErKSEk9Ae6mZU+ba3mY0pSXEAZUUnKlZPeT4VrTsbJ7B3TEz3x2eNkr7S1f5n/norOabksWj5r2HdRKjOullSVMpyrvHQ9PsqOOvOvr7R5ZWo9STUqmhEbndFHqJTIxvVYUohW6bcXgxCjLdX1OOgHiT0FSnvbG0vdsFHYx0jgxguSprZdDxYmH7qoSXRuGx+rT8f2vwr29aIhzOaRbFJivHcox9Gr5fV+W3lVf/ij+/wA/w8v3xVi/hLBBk+Ln9vBQmfb5tsf9XnR1Mr7s9FeYPQ013F10pbgR3Ch6WSnnT1bbG61jzAIA/eUKsEcjZGh7diq7JG6JxY/cLUvTthcuMC7uWiKqba2lsQn1NgrjIUAFJQT7uQMEjf7TTjSDWi5HFYLi61+CctO2924XWO2lJ7NCwpxXTAG+PnipzqWXc4qGnI1qbuEPChLaO6+U4wQO/v8AH+dCq5zZJmsJsj2Etc2Fzrbn8lHrcwn27loO4Ab8z9tkK7/IHp9vz7q1sJt11mly3uL0/fknC2leyh1Xw7wfyDTIJuXOGo3HMc1POtgDpw6FezX4c19Fv1lCNsuA/UXBnZKyOhz/AF/5a2z35lvY9R1dDF1tisdnPZGVIHcT3/P8awWmwaD/AKT9isHUkkeIXrCLjaIhdtLyL/Y1pILB9pxsd4Hj8PuFarcwk8100HcOUg8z9skHbz2J2/O/dSBGUucNDo4cjzWwFiAN+BWLSbddpil29xen78gkKaUOVDqvh3/nY17NeiT3kQdZQzbbgnZm4MbIXjoeb+v/AC1scwdpq4bdRyWulttPyKcGr3etN8jV/QZ8A4Dc9gZIHdzjv/O5qTwp0S4sJkwZCH2ldFIOR/oaizRge2zY/RSIZL+w7cKK6vXdjcGpNndS4uGjC4iyEokJVuUhf1FjA5T7u5Chg5DdFdgXuMJsJSmyVFC0rQUqbWn3kOI6oWD1Hz3BBqTEcjARw3QqoN5nXWsxZAeSwUFKlbgnpjxp0bbS0hLaBgJGBTkz72smVlTVfoaHGfW0JUXG9jgZynz+HjSp35JAU1MzOwhR3mR+2PtoorlHJC/NLW5L8OM/DU0pJfAwVDGB3/dSSssaASQd1lxOUNPBKbZHalXGNGeBLbrqUqAOCQfOrTt7MOKwmNDYQyhP1E/j5/GgmMSOzNjvpujuCsbZz7a7JTRQVHlplw4s9gxpkdDzavqqHf4jwqC3bh49Hmv3O0uqkBaEoSwvHM2kZJCT9bKjk9D064olh9aad2R/un6IXiNCKhudg9ofVRtba21FDiClSTggjBB8CK2w4rkx8MtDuySegHjVkc8Nbm4Krhpc7LxU30lbW4TrnKorIGSojvO23yrVcua43h6Vpu+hq5xPoXojp9h0J8vn1/CgLnmSZz3C44q0UseSANadU2uKt93nck1Lmnr+2cpdB5UOn49Dn8k1ncn0uBFt13bw2oeyzcmBgZ8SR0+H3DrWzQ4EAbjY8xyTtha9tOPRZvuXG1RPV7w0i/2NWCiQgczjae4n4eOfmOlERqbb2DO0lNTdrYsHtILm60A9QO/5fcaRyEf2n/Epag6bj6harezGluquGjZ36OnpBL1ve2QrHUcv5x+7Xjpt12m8k1tywX5B9lxPsodPjnvB+3zNI5tSR7QGo5hY0tYHQ/RbLi6F9nbdd2/s1dGLkwMDyJI6fDHyrJ5VytMMNXllN/sawCmQjCnG0+J/rn51kBpAAOnwnkeS2F7k8eI59UQ2ZkCKqdpKUm7Ww/rILpytA7wM9D5Y+Rpz0kxY5D0m62dl+IVYZkRV5CW15zsPz8q0lJylx0OxH3WzALhp24FaZDvbyXnu5biiPhnA+4CmS5W+XHlG+WRvmmcqUyY3Nypmtp6JydkupHuLP8KvZPs7RkDQ7IVJq8lLrfcIl0htzoThW05nBKSlSVA4UlSTulQIIKTuCCKU1ggjQrXdFJ7hI9WhuvD3gnCfidhW0YzPAWrnZWkqI9mPFVFGrNQfOUuYuJI7C4FT7B7jupJ8QTXptLyoxltqSG9yA57Ksd3lTRd3B6H80+AZxpuF5Y/+2IX+/TVkDuoNjH81vgjGDfy3eP2W5uSoHDm48e+lKVJUMpORQhHAbr2iktk3XbT9svKf72xh0DCXkbLHz7x5GmFrTT1lQvlw+FKyXEju7gR3URp6x3d9w/bh+iFVdCC/v2b8f1T5YmymItwJyXF7eeKisp633KYIupYpst1SfoZrRwhZ7jnofn9op2O+clu/LmOKfHsxNaRpzWVxffiNItutoQmwujNxZTunwzjcH8fOs0C52iDlko1DYHU+77zjaf54/OKcAFgPhO3QrBJGvxceq126O6whVy0JPTIj+89bX1dPEDO4/O56Viw1AussyLE+ux3tBIciubIcPhjofs+XfWWusXEjX4hzHMLFhoAfA/ZElyBcJKYepoi7Nd2z9FNbOELI6EH+p+YrZcH34rQtutrembCP6q4sjdOehONx/PzrNjcMB6tP2W17XJ8x91kgXKzwudko1DYXB7p9p1tP88fkCsLew602q56FuAeZ9562vnp44z0/O5rUkOBPwnccjzWDcaceB5ha47VuuctUmwvrsV7QfpIrmyHFd4xjB+z5d9SqK/Pasjku5RWmZvIrtUt9CoHCTnz2pufgHb8+YW0egLuCY0jlSE+AxSebPYgpSXuYleeVKRknFOsYZHZQg73BjS4pnkuItj69S20FcR3CrrHQMkADHrCUjfnSAOcD3kDPVIzIELQ4hLjS0rQtIUlSVApUkjIII6gjfNbPaRvvsUmkEXGyRSrxDirU0vnUtPUJH3ZpluF0cuHKkt8iE7hOc7+JqVTUxDhI7yUSonBBY1IqKIqCivQpXKUhR5SckZ2zSWbkJZY/+2IX+/TVkDpVexj+a3wR/Bv5bvH7IrJC1NnKTihCMg2SluSheyvZP3GttJOA3RRSWUmmwUTITsFLq2EuoKOZrYpB8PCojNNytDPqGqoIvFqPuy0p+ka81d/z+81PpZA72Do7gVGmbb2htxCxjNXC2wzJ06+m+WZWy4izzONp7wP6Y+XfWu3MMSFLuWhZwjvg5ftr59k+Ox6fH7xU0m4LrafEOR5pna2vgfsViBbrvOykOae1C31G4Q6r8Dn7/Osrg/HlOot2uLf6pKTsxcmNkkjocjp8OnkKVnAgA+0NjzHJYuLXtod+hWyU5PtkYQ9Sx0XqzrH0cxsArbB6E/1z8z0ojNXG2RjJ07JTe7MvPaRFkFbY7wM/hj5d9YaGW/tP+JWRmv1H1CaFag0tbrrFjab1bAtV3uBV2VknSEtqkEb4SlR+zx6A91OIFtu85Q+l05qBvqMEIcV4Y6HP2/Glckkke0N+oUiajnpmRyTMLWSDMwkEXF7XF9xcEaLKe6zLeRbNbQDFl+7HuLA9knu3H4fcKcr5qG1woLVvTNLykFAUsn3wnrv3nIHTNUjtv24w3sRSMnrLvL/5bG2zOtvvoAOJOg6lSsOwyfFHujiFjxPAJgOp45Psx3iO4htX9Kbpcr9Jvlxt5tSgPZb3SoJ+BrmWAf8AEPQyVoZitGYoibZ2vEmXq5uUG3MtvbkVMxLsLUtgvTSBxHC1r+BufqttqnC3POqdS5go6AfWByK3WpxuyTmrQj2bbcOZy2nuZcxzLjeQxlaPILT9VNehxU09cBLTSte1wBGUg6WuDodiOKosLHxDJI0tI5gjit18t3MDOZTuP1gH/wC1MlEaV+eLwUSoZkk8Vl9H4H7aKe9pM3HJO8CzNqfS8p1D8bl5kqG3MfAinB21xZAWHWkpJI5SgYKQOn86Hy1Ls926KfHAMlnJE7anraBcLZ/eJEcl1DThwlZAyE5HSkuh+NOntT3pOir6wdPauS12ptMpwKEhOcFUd3ADoz9XAWB9XG9D8QcZgJTw0RLDWiHNGDvqrIaiyX0qU0ypQT1P9PGtXQ4IwaFIqitrT6m/ZO6fPu+FJZBsUpQ4hz3FZPeO8VlSTg1RXikhQKVAEHYg99ZBtqla6jU/SLkaSbppWV6hLJypr/Bc8iO78PhTNIXb7pMSxe2V2G+II5JKNkuHuOc75+Pz7qKwzGb2h743HMKHJHkNvhP0WdwfcbSi268gJcaJ5WbkwOnxx0/Ox61scNztEPllIRqCwuDZwYU62n784/JFOHLYAe6djyPJam97kajccwvITUmGybjoqeJ8BX663PbqTnqBncH871qiMwbhJVN0nLVaLqnJdgujCF46jB2+z7BWx0uSOjh9wlbYDyP2Xz89IKZcl8b9aLuLQRI/Sh7RrOeRQQjZJ8O8fGlenfSQ4n6egt2ly+/pWEwOVli6teslkeCHCQ4keXNjyoLFiXcvLZNQCbHj4L2dFgWGdp+zVJRYvHmaI2ZXN0c05BseHhqCNwpUr0xuK02Izawm0ojMvNvKSYpWt1KTko51qPKD023Hca6T0lqO06wsUTU9oe7ZqcjnKle+hXRTavApOxHlXnH0/wCDiZlNj8F7OJjcL3DfibYcL+0TzNlS8a7E0HZahikw0uc0lwcXkE34bAAaAp5rFxtDuOdOcbg94+B7q8ztcWm4VUGiUBxQiAyHXAQrlLiDg+RP860viUkpadWmShtxDqUupAwpKgUqCh0IIznBqXhmIVGEVIqaJ5jkBu1zSQ4eY3HQ6FMSQRVMZimaC0805P3hcq2rSlHtrPIo9CnxBHj/AFpor6Eeintae2PZ1ldNbvmkskttmaBqBwDgQ7pcjguFdp8O/hleYG+7a48D+my8yPGiulKu3Ck9ljOxof0x3cPOE/sil9A5iHSEhF4m5WAFJ7hFemwJMOPNchuvtKbbkN452VEYCxnbIO+9QLQvof2drVH9sOKE2PqF1pt1DEEpUptSlqBEhxZPN2gxtynbOeYnFQKo+yAiVENSbLo5ttDSEtNpCUIASkDoAK0S7fHlglQ5F/tp6/PxqCp6ZJUKREJLqQUZ2Unp/pWikkgEg5BIPlSlqTnCXDv41lbNNlv7sjoaKwnEUkudpt94jmLcYqHkd2Ruk+IPUVsx7o3Zm7rVzQ4WKjL1vv8AplpbMdBvVnPvRnd3G0+XiB+QOtJLawcLuWhLj19p+2vnbzAz0+Ofn3UXZI2QZ/hO45HmoZa5rsvEbdQsGkW27TCu2uuWG/IOFMq2S6r4dDn8g0XF6HNdTA1lDNtuKdmbiyMIVjv5h+R5Vuc+3xDb+4LU2tpt+RXz29IRl+Pxs1kzJlCS6i5qCnh/ifRowr7MVX3OrvV9tU+Z34riOZXuDs9cYRS//FH/ALQvULIO2ys5B86tfgnxgk8Orqpib2j1jnLHrjCfaUyvoHkDxA6j6wHiBQrtDgbO1WB1ODPtme27Dye3Vp87AHpdEq+gGL0EtAd3C7ejhqPnx6XXZNtuMK8QI90tcpuXElIDjL7J5kOJPeDSpSQ032z60MtAgFbiglP2mvBFRBJTTOp5GkPacpbxuNCPG+i8/vY6NxY4WcDa3Xko9G1EjUd+jW6yAuW+IkvPP4wHVKRhIHl7RO/XHlT2bjHlT5MFlXMqCG0Oq7gsgnl+IAGfjUysoHUxETveY27uhJ2+RC2khMZDeIFz5r2ZNZt8VsuqAXMeQw0nO6lE93wGT8BTlaLUZBTJkoHY9UpPVX+les/+HCQR4BWknUyiw/8AoBf5g/Jcl7ewGSuhcRoWn6FOH6Otv+SV/wCU0V6F72XoqR3UPJOPTaioilLVMAMOQCM/RK/CkGnNb3WwhMdeZcMbditWCgfuK7vh0+FQavcIrQNzMd4qzrLfrZfo/rFukBRAyttWy0fEfz6U41EUki268IChhQBB7jTZMs6VZciEJP7B6fLwpLCaloW2oocQUkdxFY0klm28tvocjwNKm3kOfunwNJbtPBZ023rUVpsDXaXCSAsjKGUe04v4D+ZwKS3VaX/X1yvDqIqHRBiuuBCWUL9pzfopXU/AbVP7vpKJOcE6E4u3XBO6X2duY/vDv/H41JppTE66akZ3gsmG4vJUUW3XduCFg8rFzj9D8SOn52rZJcuNphFi8Mov1kcTlMhPtONjuJ8fjn50RAGjWnQ+6eR5KKTYknfj16r52cfkQ2+M+r0W5SlRRciWSrOeQtoI61X9VCov3rr8yvbvZwg4PS2/9OP/AGBFbG3Ck5SrlUPsV5VrE8scCEcjcWOBCnvD7i7q3QilRrVdJIgKUpb8DtilBJBBUk78qu/zwMg10HEuCbmYsq+3Ge9n9Hkp99RWoFWcqOBnO5xXIPSf2eoqarZjdDG0Sz3DtLe0213X31uLgb2vxVK7YYbTwzMxCnaA6W+Yf3C1z53+l+KkFt1BcF29Ft0bZ026KhsOPSlL51hKXeVSnHThI9kE56+FeWbWDGmLY5b7fbFz5q+d8PuKIS7hSUD2R7R78f61xGXCGVDX05l9tzg6R32HLz248Fz80ucGPNre7j9uidW03ZmWjVOrHSmT2hYtkMgAlSnClKuUdAEqHn0z3Vbkd9KooeWoAIBCj8K636DsRIxuahp/5DotOpjc0ZvMyOF1znt9BG+minZs05R4W1+oTV/aYf7BVFesvVlyH1k8k+RXo0tJ9tLakqKUrzlCx3E/snHf0+FZONuNK5XEFJIyM948R4ihxBabFTyAQHNWiX/9I/8A7pX4VDh0qFV7hFMO913it0WVKhPplQ5DjDyPdWg4IqwdOcSGXwmJqBKWXOiZKR7Cv4h9U+fT4VEUx7L6hThC0OIS42tK0qGUqScgjy8aqPjL6Smg+EkRbD85uddlAhqIyrmPN54O/wBoHiRTNROymjMshsApuD4TU45Wx0NI273m3gOJPIAakqreAfpS2ridqCbp7Vjrluvtwf5rc264FMvoAOGkKwAlzv5MYO+CTtXQtM0NY2uh71otwIRPtZ2an7K4iaKY5gQHNdawcD06G4Ph1RR03FTFWUxa21LcbHbWVQltoW+tSC6oboATnIztnzNUHrPiZaNPxX7rdbo2kZ9uRIWTzq8Ej3nFeQrV72xtLnbBTKOmmrpm08Dcz3GwA4lc36r9JjUcq8MSdINJjtRXkuJfmNhxb+DnHLnlQnxHXzFdb8DvTS4fcURH09rgR9KakXhtIdd/uEtzu7J1X6tR/YcPwUqhNPiuaez9Gnb99V1XGPRo6jwds9KS6oYLvHBwO4aObeH9Q62XQU+2tvMrYlR0vtLHtJWMgiok/p67WBapWlH+0YJKnLe+rKTnryHx+/zNWmCYAFrvdP06rjssd/abuuAfSvgtx+NN0ns29cFu6RYszsFp5eRzs+RwAfxNk/OqfquVbck723vqV7K7HT+s4BRyf+2wfIAfZFFR1ZVvj4z/APiVvXZ1j1PHXa4Ddv0Nb3JIjhHOppbpUthlPIrAHUn/AErlvpdpHVVBR2mMYDpL2NrizDv5Ko9tY+9pqe7y0Xft4NS27LvcxgL1bN/RsBP0iIbSUtrcHY+0ENDvCiTlew863wb7qCDGZiWTTbPrTqHVpcRHU4tlJRzNoydh1HXrmuDupaKeERBxbACdb2z29434i9hfib24LnTooZGBoNmDjz56o9Ybss46h1VcP0hdkEqjQW3Avsl8jeecjZGDuEjxrfpPUWo3NQydP3R2R2iVPPSmFNAIbQpKFIWFDfJUojlOdseFd29AeGmpxepxJrMsTIgxg20Lgb2/uIJHGwuuc+kqRgw+Jm13eyP7Wg3PmSFNsnxor1MuJJ4sshKGlpWdgck/s+BPl3fIU+sylIR2awHWuvIT080nuNC52XcWo1TOvGE82KyWm+OLYfuC0hSCOw91w52O/T7PuqurnCMG6z4TI7SNFkKZZe50q7VAA9rA6b5GD3pz0IoFUvdnyuFrI7RRtYy7Te6Td+O8UUwpij/EvWWp9KcNr+9YLw/F7GBJfQlJ2StLSlDHgMgZA699fPZrUEzUy3bncpLz85asyFurKlEnvye7y7qrHaLMcgvoF2/0OCGN9Q8tGd1gHcbAXt4HfySiNIkRZLMmK8tl9t1CmXEK5VJcChylJ7lA4wfGu39H+lrH0om26b48tJtc91lCTeI47Rh1Z/2jaMqGAMrWkciT5EGtezveNEjj7mnz6fdO+mY0swpYWn8cZjvsywvfxIFvAro623K3Xm3x7raJ8adClth2PJjOpdadQeikLSSFDzBpTVqXASCDYqsPSElOQdCOzWcdpHS86nmGRlLeRkd4yK+ZF41beNWzf0nqC4OyZSx7PaH2ED9lAGyB5D76B4xI4ZWA6LsXonpKd756qRt3ts0HkDe/z5pEhCiVZGScZ2/HxpwtFmuF7ns2izWyRcJ0k8jUaO0XXFnvASNyPjsO+gjWl5DW7lduklipY3TzuDWNBJJ2A4lfTX0Vr/J0/wAOdJ8K9fS3hqtxV4bjx1KVIKI8J5HMlboykciZDQAydiAOm14S7YpJJSN/GrnTF0bGtduAF5FxeeCrr5qimFo3vcW6W0JJGnBcc/8ASAaEdcsum+ILDIJgvrtMxYH1HfbZKj/GlY/4xXFFQKsfik816X9GNX612bhHFhc3/In8iEUVHXQFvj9Rn/ZKrtm0wuILunLeJV+bhxzBWApyehsJSWk9kfZ32HzFcp9MMlDHQ0JrGZznkygNLuDeG3LdU/tu6BtNTd6LnM+wtfg1aXG7BZn1SFyjqC5qXzIaQklgOFgY5yd3chOcDx3p9uOlLxcbfEhybwpmY9HlOTUlasEvKHKSlJweXlI+4Vyrs5hM/aTHKTD35Y3yk5QRcMY1jnEkDiTbQbWAXK8axZuD0xr52EhuzRa9tvDUkeCX2jRlrtb5mO80qRzlxKnAOVBKQk8qf+EbnNPaYzCJC5aWUB5xKULc5faUlOcAnwGT9te2uy/Zmk7K0IoqY5idXOO7jz6DkOHzXnrtBj9T2iqzVT6ACzWjYDl1PEniVtoqxoEtkeQ7FdDzKsKAI3GQR4GnuBNbleyzhl4DJbPuK+HhUSpi/wCoFMpZiw5DxS9t48/JlTbo3xnBHmD/ADFKpCoV3GLshSH+iZrSQVjw7RP1x59fM0LqYBUMuN+CN09QYnX4Kl9Qo1/w1vcbT9s0Bc9UWe6XVbsO5QpIMeJDcSCWStezamnOYhLhHMhQCdxgTFSFoJCkkY76C7HKUZa7NrwUG41/92Oo/wD7XM/9hdfNS13aXapjiEYX2vMhKXM4Cjun5Z2+dDK+mZVOLH/03+RCvXZbGqnAWR1VPsZQ0g7HM0gX8DqsX5t4mPoluvucwzyYPKlI78DoKsnQfEy3jVGjonENg3iLZ54UGOy7RbkNRSHUqBO7aOVK8HY8vKOoFTY4o6WHJGLNA/fmVTqiure0OJGerdmlkcLk6AcPJrR8gFZFp4qa14PcX5lv9H25i96VuUtgi0ll1VsefeSOZttKvaaUV8wSpJCumeYCu0uFXpFaP4j3N7R11jv6V1rCV2czTl0UEvhYGSWF7B9PeMYVjqnvrSF4aTc6E6edlOr6f1oMbEy0rGe31ykjbmGgX5jXgsvSQ/7uZn+5k/8Asmvkfep0mBKbdjulJ9Xbyk7gjmOcimKqNstQyN2xBVg7NV0+HYJVVVM6zmvYR8jvzB4qSRJ77bCmXQ2HUJSoqJ9gcw2x3mrD4dcVtecEJMm/WSPaXot0S2mW1cWwVLSknlCVAhbYPMfdODtkHArNDh7adzpCbnh0We2HbyftDTxYfA0sZZpeOLnHW3+kX05nfYLtT0MdY2vjprm88RZ1plWe56Ybdaiw0y+0YcRcEMB5wJUAoYVBGMgfrN87V2SpKVDChmpEcjZRmYdFUqvD6nDJDS1bcrwASOVwHD6FQfi/w0hcUOHd+0RICU/pSIpDLh/wpCfaZX/wrSk/DNfIa5W6dZ7jKtN0jKjzYL7kaSyoYLbqFFK0n4EGmKrWxXbvQ3XXgqqFx2LXDzFj/tHzSaioi7YlMNsre5EnJKOUZPj/AP2u2IGgbDGhxxM1nADbbSieRSOjqEoG5J7xse+uTemLE58Po6KOCIyOc6Ta+mjBrbmSqh23qHwU9O1jbkl//wCQnFF20NpEKctDS7rPQDhxWeUKb5Wz7RGx3+qN96edOM3V5cq93okSpxSlLeMBtpJPKMd3XP49aDehHs/XV/aX+NVw1jadODQRlA8TcnwB4lcC7f1ZpsIc2c/iSkNA5AEOJ+gHmnuivYmy4Otvqsn/ACz3/pqorTvWcwt+6fyK1VtiPmNJafH1FAn4d/3Vs4ZmkLVhs4FS5xtt1PKocw6g+HmPCtHI6z1y6jx+sPiO/wCVBWuymxRprrJREmrZClMqQttwYW2sBTbg8FJOx/EU3XvSVr1E2j9HOvQ5aF9o00l4oUheMZZcOx225FggjbeolZTZh3rN0SpKkM/DfsVRvH17V2n+Gl+hP6Xm3pxUR+OX4KEo7FCm1BTshCyC0lA9pRTzAgbcvSvng29BnFIfbQvsUdmkpyMHpnbqOpB8d6qtY8slZNwG/gum9mI2YhQVGGkWkfqwk2bmAuNRxFgfC/C63sWu9XRpIaeiRgcdqVAuOJV+6nZJGdwSfiO6pBZbDAsbajGQtyQ9gvyHlczrpHirwHckYA8KFYhirnRMZC6xG/PQbrovY70fR0+Iz1mIw52uF2G4yjMbloG5IGhJsBsL3uuxPRi4R2bjDwduUO06wTa9ZWm9KuFuV+sQwlstKZW6315S6lY5gc45hgiq49IDgzxju+vf7Sak0fbNL3CLEbYZEaatxu4OIUT2zD3dkqJHMQU+ynAxmisML3ULWH3rD5rndbilLR9rpa9hvEJCfZ2IOhI5736qIaj9JvjY1oaRwz1e+iU+weRM64sEz2mSnlU2VZ5XMg7LUCR4nYik59qZmMerzGCWxgBQO6fgeoodNVSuc0vPtNXVMM7NYbHTVDKUXhn1I3FiDo3puRxHktmnpl4sylrhsMmS4yplL73KstIOQSOYEpUQccyPaAzgjNb0NNtOB15z1p5PurUPYR/CM7fHc+dTKmu9Yj7qPTmf3zVY7P8AYlmC1X8TxCznNA7tu+oAu53+nh8+S79/6NjT9gtsTUF8Xqa2zb9eYcd021hS1SIERDzqQX9uRJcWMhI9rlSknrXcVTaJoZCA399FQe2U01RjMskzS0+zvvYNAB8DuOhSe4T4VtiuTLhJbYYbGVLcVgD/AF8q+cXpr6Ktatbq4paUhuot16Ulm48yeXEwDAdx9UOJAG/1kn9qpklK+aB0o2ap/o4xyPCu0kNO8/zgWfdvzcAB4rmmvQATgnA7zQm116rVi8DdCPa61xFjOtKEGGfW5riR7raPdT4ZUvlA+fhXWCOGdpCQldxmKHZNNnZAP0auYHOO/vp/EewdL2qjgnq5XsyA6NtqCb8QV5/9LXpCqMCxWPDKRjXZYwXZr6OcSbaEfDlPmnq26Wsdrd9Yjwwp7mWoOOnnUCo5VjOw3A7qdqueB4DQ9naUUdAzK3c8STzJ4n8uC824tjFZjdQamtfmdsOAA5AcB+yipPbbfHjstPhoB5SAVKO5yR91Tax5awAcVGpWBziTwS/J8TRQpEVCaKsCCqYRTmKyc5+jTv8AKttADoUZbsFqcYyrtGfYcPXHRXxHf+NIo11jSHlRl/RPJJSEq6Lx+ye/4dakRBzweiXeBjgDxTk+qJcmPVbzH9ZRylCXNu1QPDJ2Un91WR8K5P4/eg3Zr2zK1pwseYtU1IU85GaQREePvFIQAVMOHBwnBQonbHWgOJUIv3jB++I8D+at2B4y+kzQu2PzBHuuH9zTqOYuOK53s2jbBwy4lacRxLYavel7rEZlyG4M4tOKjPoIylaVDldbOFFtRGSnB6inPVuibBrPikrR/o9zJ93tUpCXGP0kUNuRsAlztHc8pbSBkLVg745VEDmAswqJkuctvY3HK3XwK6BU+kSumw40kUuXO3K4BtnXuLlh4B7dDr7Jvbr3X6Hno9XTgxFn3Kdc0S37slCZDyEKS24hAPIlsLAUQFKUorIGcgAACr91RF0/ebc9Zr5bWLlHe2Ww4nKc+OeqSPEbiirRcWXOXHiuVuMfon2nUURciyQP0nGQedMNxWJcfv8AoXducfunBP71cYax4Wae0toSbeRqFDWp7Le37fcbNIR2chUYJC2pBHVSVp5skgcqsAeFMS0zHZtNSjuH4/WUjqdoecsTswHjuPAi+nU80z8NtCac1Xc5LmrOIFu0xaYDIkOuvNOPyZKOYANxmUD6V0nHs5Axkk4FOXDjh1Av11nfpyLdnWLcsoTFZQGe1c5iCh19eQwE49rCVrOcJSNyK9TjOQ0bk/ku/YxWCjimnnAa2IAtLj7xdvZu5DdNNMzvZuNSuvPRf4M8RrDKiXjSN0kQIqAluRcX2+SO81zBSm0tAZezgDmOT7IyoYxXWGqeJFpsJchQSmdPTkFtCvYaP76u74DJ+FWzD6J0pbCzzPJeb+0mO+u1MmISC2Y6D8up6lVRer9dtQSfWrtLLpScobA5W2/4U93x3PnUe1Jp+16rsU3Tt6j9tCnsll1PeM9FJPcoHBB8QKuYpo2xdwB7NrKgQYjPT1jK9htIxwcOhabj6hcJ634eai0TqqXpaZCkSXGVBTDrLClJkMq9xxIAPUdR3EEd1P8AovgDxI1i+2pdjdtMEkFUq4pLIA8UoPtqPkB8xVGgwyaaoMIBsDYnkvcdV2+wTDsGjxmqlAbI0OawEF7iRfK1u976EnQcSuteHXDqw8NrCLNZklxxwhyVKcADkhwDGTjokdAkdB4kkmVVfYmCNgYOC8T9oMbqO0eKT4rVe/K4m3ADYNHRoAA6BFFboMjON6mbZyhJ8QKg12wU2j+JZUUNU5QqirAgiktjkdtASg55miUH4d3404UEmGWQhGIjmYCk86QyxHcDj4bUpCuXxJx3VElntSpTgCis5VnvNTqIWaSodW7UBLod4kxMIeCpDI2wT7afgT1+B386kFvuSXMSoEg5GUkp6jyUD+BrWohHEaFSaSpzWadwodK9H/gnqK9TbzcNFWiPPuYKZCn2VPRTzHKihoq5WCo7koABJztVp8O+B3Dzh9ESiwWK3NpOFARoyW2yR0Jxkr+KiarFTAYX2vorLTytmF7ap44naqY0fpN+auQY7st1qBHcBCQl55XKk5PTv38cVWNg4jzIKxDvbS5UdGB26d3UZ8R9cff8aZa6xspTozlDuasODPg3SKibb5Tclhz3VoOQfI+B8jvVSce9B8CtR+qTeJMCIm/OoKLc4wlKp8pKdyjssgSGx3hfsj9oVuRcJoaFUlP9Ey4Xu92/Uel7Gq5Qpg7WPcLRJEZh5BBSe1SSFNKG6VJ2I3GTV+6K4CaA4Y2yNdNePRpbzQAj29psiMhQ+qlvHM8rzIx3kd9R6eiHeWiGp/f/AJRnFe0tbX0scNZJdkYsOZtsXHiQDYdOpJT1qTiJc7wkwbShVst4T2YQggOrR3AqT7g/dT9vdUSAAGEgAeAq7UdI2kjyjfif3wXNK2sdWSZjsNl7RUtQkBSk7pUR8DQdzk9aSVhuiikkiikkgHBBxnen1zUTKAEsRlK2+srGD4VGngMxGuifgmEN7i91o/tHK/y7X2mim/UW807647kmmipqhp309IQh5yOo4LgBT54zmn6hNWCJSilMQYwAmO+XBl1BhJQvtG3PaJGAMf1pmqfTMLIwCoVQ4PeSEV6hbjTgdZdU2sbcw8PA+I8jT5AIsU01xabhPEG/IXhqelLK+gcHuKPn+yfjt51K7NqO42ZYSyvtWM5LKjt8vD5UJqqYOBY7yRukqrgPG43UZ9KDUs8cGU6jsFpttxmxrjHfZtVzf7NubjmQtvmAO4CysbfUqoNHanhzLDcXZFlmWSfY3nGbrZ3nTJdguoQlRS2obuNKSQpsjuVjqMVWXNyOLeKsjJM7A47KinvSc4p8NuLOp7DZ7qw3aNTt/wDy5IuUftIzLimkJZfQDgKaU4FJVnISs5PRSTzRf9WcQtQapk6r1RqG6yb649l+XLfJeStJ939wJIICUgAYwAKcAsFCe9x+a7t9A7V/GS9QdXailWwSbVKix2o1xmJUlEia0oghhIwF5QpRXjAKwnfJNXNOlzbjMXOucl2TKV7KnHTuB+yB0SPIACjeDxx+0/4vshGMSyZWM+E/UrTRR1AkUUkkUUkkUUkkUUkkUUkkUUkkUUklmy84w6l5pXKpJyD4VK4UpMyKh9J3IwoY6KHWoFawWD1MpHWJao1cmksznm0EkBWRk5PTxpNU2PVgvyUZ4s4hFFbLRH86Uw7jKglKWlc7I6tKOw/hPd+FaPYJBYpyKR0TszVZejH9O6xsMzTV2iR5jK0kPQ5KArmbVscpPUb9R9tVRrX0VTZrhO1fw8ut0kT5LiHnEvzCqW0G0ciEsuK2UkJGOReSe8qNU2tidDO4FXWikbNA0jZUfrTTOntfWxnh1xdhORPV3sszYjYYWhRBSpK0lKlR+bm3KRyE4OU1KtIejXwG1HrhzU2o7THuzrzwStpV6SbeJiUpyh1pOB2iscxQpQBUTsc0w1x0TrmNN77roPUGoGtFNQmIVutEPTtvQ6m6TXZiIke1MoR9EEJCeRWVkJ5QU8o3wSQKpPhlrSVr6NqXUDt0Fyir1PckQJSY6mA5F50qRhtftJA5lJwrfajGEn8fyQfGLGEHkVMqKsirKKKSSKKSSKKSSKKSSKKSSKKSSKKSSKfLBMWsGGUICUJKkkDBznfP21Gqm5o1IpiRIAFp1BHZadbdbQEqcyVEd52ppremcXRAla1AAkNkUU8mUUUklsjyH4j6JUV9xl5s5Q42opUn4EU8ua71k4z6udQyEo6ZS22F/wDm5c1HmpIagh0rbkKTDWT07S2J1gVB9UaRtWrFmXce1Fx6pnpUS+D3cyj748j8sVzDxAs1o4RSXdK2G3Mi6Xtc1q8uYJi3KJJSp9pxxBORIacBKVbgeONqF4rSta0SsFtQEUwmqcXOidrcEpi4Kad1pqy6pgWvUTNqtTjynWIoLj4ivjl5pDAdKktPcqQO1wpYyeVSDgjrfReirLoSzptFmaIBPM86okreXuSok5OcknqTkkkkkmnMLpQxvfO3TOJVJfaPgn+ijCEIopJIopJIopJIopJIopJIopJL/9k=</t>
    <phoneticPr fontId="1" type="noConversion"/>
  </si>
  <si>
    <t>data:image/webp;base64,UklGRnJDAABXRUJQVlA4TGVDAAAv4AAuAE1AbNtIknSyjcIWqi7/gHu+ECL6PwE8zu1wSnqkcCYS6Lxx4DdzkAHYB3YCzCywOuZmfYT7F06wDQwQImBv8ks4dihIwto3JP+eBI2Q4mEnDzBDoiKSEskkV9hAJKhDkuBOMLZGgu6IEbt3YiwZ6O4ML8XQf4a2bemVWqbSZphXqipRYwPsC36VqtAJrP3iP0kETjJ+pUrSLWnH31C1OzO7qxe4agbmG3dT5nJgXoTuvQH8Aogf+INPF7JcbW/05GiU4nQrPaGNWEDEYlgsl7MSZHqHj55i+Qr/ZgmSFUly7SoQ3re8np8vef+/vMu7Es1B3jayw+FwkLVte9o2T8kgBcrc+huFjsf42/GImeELXqRkGs9yof8TAKtKgW6EXaSxuhwXK3GWSQuDhSBCC1hm2aoCxJldZM829xeHiyzCrpL5vOoBQAqlwhalolSV1twqRKYLQWFx9hq9fbO86vOKT+UPV38CQHGlkEIKASiIMLFvYjN1VYqT0o9t7Rgm+zy48u/tuNrJPLBcnUM4BACQCgAgtbN259R/V9/b1U5a7rjy6at2+NJoaiaAQEYGIHWmAI+pQTvz2fgXH5YjWHvw1JoGwLYXpuAtqEIFDpkHqblUqlS0A4fGh3S/u9Qb5qbhDsD9/69V4a1QQaGCtxBhIixDhtJEGEwnI5XbfRrsv9VTSl5c3BhuP3/DzxcU73OpPd0HjuBj3HVpGTI0WJYjjEz/BelyyBAAFK/rxfVf3ZY8OflfsjB/S45U8TEebv/uXX8Mr79GACBt5+nVsFTr193F17XxukjJdX9RV5duVxM91hOTTgJHEBFF2AiD+aP0I2yE7TBsLkBKSXl43V9snIW6+k1FRMZ4kus5QMRBWAwlT6WIkkDQAQQ0NAh1Nd4WE1URYVK0AuD0oUsXVl+baqAxaeshieu0xJIx4YmSVjdb3Wwlxw9di+7A2tQAjYkSjEHFYA61ThQKhUL2zm96A+YGNdCYKGoKxkBQd369AUos+mnZg0FOyVkGDY3r/mLNYx5BrbVakJk/wCCn9MkZNA3tRAMAoNpli/Mwyif6KEP65ICg7P7otffON+fPNzuZZpp1VgP6fqvf+stPcv6bawgX3qudLmvv6Rw6h3rTOToDUWn5m2q/v378Cl1OIZc7/HAAedSrM73c1uMVPfyYDlyZfa1pjD+h6dED2H1y+QMAgN272X1uAIBh9J9regAwc8fdnXMAl6bz5gzGGcJ/lAaDtm0EOeXP+v7/HkJETMC+2qu27PKlPH5RWQi2L7ETNpdVPOxHSATlYs56ab4Msj28v00Zix1l3h5VQtU2b1GFbDI+0IdztzxU2CUq5Pwr+zNUqnSjGlK12wq2Tfsj2TzeLCqPm4ug6uBmi237bQ/Zzx23mrD/X6TWtr6/f1l7A4EQEuJyXK67u7u7u9v4nuE+o+vuMnJ32+57LxeWRkggSAOtVV3/36CqqxpI1vjbq1h0Vu+wlj5t25bPbaTzer6qkkqWbBnCzEkzM3MPzyyBVzHHSBnayiwD/2VmZjKpLarf9/itbVu1bdu2Yip9zLU282FmL45I2nHgeIASaejTOfJxhJkZ1pqj5ZgAb9i2LW6bbdtxnDMjtmVFjtm1G+Yyc3sxX9fNzMzMzMzMTGVm5jZkCjgOJ0bBSBppNHCePwSRcsPvXZeb+r592wk2/v8PSZL0+f4iIrOysrIrS2PbM2vbtm3vPvKpsGpcd80Zz2w/8o3tqdvuQalVrkpnRUbE/4cH2rZlkqhcz/tPj8/67nE/uLuTSUhESJFR5BQZdab/wd0ldnf35aS4O6y773h3/29MACVt/9tIyu8vy3bl6smBvOcGcIa85jxcgaNwDJY555ypZNef0DNuS/4X25+eKqZoQ9OSY9tWbWXMcz/u0PQebYcYLBGXHAiDeIiDCNzlbkqybZu2rd7H4TNT/nbKquwvigpg276Kd3W0RkyAgrtymaMSry2eL/D/Gb9r+kOThzke/7KxiFWsNjZZYRskHTzySTkMdoaIDrT3xfs6ep3oSXZFU+GMDz/Ia9q1k3Ueapb/SvsdUw/LHHk68/3c15I9CJAC3luTUPJAED3QXTDPpWSnl+uircwt7FOtD2aa7XqHtdytx+krKvJmapkIEzRaKUQvkhPcqth5rtSd3XXN2w52N/90eqiowEeFAdVbWohRV0gZSF6SBwSZXkZNLQ39fa50v2u3g227Z8M6ZUYRCcTybeW3tV9rb+3WLlvbc1GqydasnmVtUe/Lai5cOtpzfU8yq0FSU+KP7nYwLy7M2AombrxOsi5fq3/9Wmfb1rU7IEhi1LKdedWy2i9Wc8Fld4YveMe/xfPt5Tpq+mM7U3SnkBTi83EEy0AyNOWuFwiJrvCS9ysD37PiG8+Gn5jmiwl1zPHHlylTuyNJZXyO40hyemTXlbZcLFaBszT1oYnw9eP+DZJZDbXF/AmZIqtIxB/gBNsIOocbo3Eh6yQNBmWZv3MNE47UyZWPKcgTwo+7OBpL4f71vXfzVltuzYar03nVsdK+vMQ5sa1k7ZLoFhd1KMzo5ulCATkMtdM5hgGmhKbOMrUXbE7pNIqMr3tnX3avOzwvSevCHq/ztnt5qvPqXF2pthXve732rULpuDCyQFZsbvzNFkQ4DGjtUB2TYJIuua6ISWtufGPmmXj6c6EXmjsbuPJm71Sv7MwrODzeBjscV/Es2p4bitlLmLLlkNW6tgc7khQzWdecZVsmFbCNQujc7bp3m/lqB3v1ajFHTKX2jyIFRDscSfT0Sdl0gFmWiqRMwbLoyqJkTwpO6U+B1h3pHP8JChPnkqwrIu0YVeBonOI8b16em3cfmQrpTBbTXeNJDNYopBKDKRoKRQYdSQRJ7tnz1B6zUecwoLpIKVHMnYsoZE/uSfZnYFJpo2YRX15rw47naZktrx6+TpxRrCJlinA6OUVG3buXoacCAx+QmnuKkrpMhII8hRSwr39S7vDTJncOpiqMos36+tppi4+x5RquR3xtbaBkqJRgCkk8BeU7xfsex8NlNY30s8HUpMICkk4inDgrGN/R2AWQwqQCkIWFU4tw50zl86lVQCaxSmCjyGJu+ag0klN/7KODo2VVroYLa4gnIEzvj8T12W593juwml+VS1lb/zW6kB/Iz1wx/yf3h0OFn7cWczdfCTC5xffDqDa3ct6PLOBmzuopMrAaQxYqWGyOFMzojGDgTvfEVSQeaY48hXW8v5ZShrnVIaaSH4rPGq9jl80Pcot9/tdohWe/aJX5ar46APKz1/ejSBUUdle7xJPsdM6wYM3TLItbQ0NlOGxV0NyBi8450Fd3/1acvUQXSFOIJ9gwwPlV/D1JhTa67Ji6ObX08oniUgnW/ugkznQx5bSqLfXoTVY4p3IyH2+XoWZeuhI7MjD/yONJY9nSzvkxvvvvieL8dDxzlCDdFHlCppp/giZgiSkSQBGmz4hFCiQ1LGbkBAs1ZzhpYUftZJidMqo259uH0JHBCoZ7NbzWLV1tWP/yuVV0fDJduVJItphqUxmqZuCpLQg7WMNG17iAQfTn89s7RmknXC9yOI8VXZO02gge2jjO7HNktEqd2Tfc6ZJit7b33Z4fo+NDNG8sRzMQrana8b9NoAAda8e69mAkgiR+XtZuFVtNDuf3bJZS7om/1v9+h8NRgfHH7tdNxw4daIPO+VHTPz6xBZJKFUC7Y9KMrUPYQAmSUEXJolSA81wwpAR68S0/8l3vXCnEjoRK+b57rx9+9S14PUF66exjLx+HvcL5wJGYlmWCFgjVWeucqbXaYUYCMpOD19v89bexSE6o0ZUDScPQZFbMcErhd7/46u/r7ceXL1vQ4WGzZ+WHfsxv9mv/9Fd/5pd/jk/MIa2ll8+X9qM/n8S9QNYxRmiBJAy1w+wO8K69N+frJV+TJZDkFIuZi6IgqWMckxnTn6/qd02//cp3lZeBk4gORaPlP3DrR/sZf7Lv+8U1739deWJ0XWuf4eUzuLnjw82qkeliqgO00lCXJQsiFAXHPuNoHaX6Ke6PjN8zfdPePrUUq5Aak0rLZZ7b/NjfdOcnqj7MovAJGddua5+f677b44OdN1eruq4SsAyUMkPOQLBsnnG0LAkymfBIwnTU9BP2wmMbWuPNdS+tszAWlAAVGbRgqokpP+dOl/mu3a3dEt7VKVYwPiG7vL97dH6MO3t8qh3QBLmmK3yY5W8/zJhlEJrplOmILAlnPLo62WM0ZwwPLTa4y8Nty7O7nsXEzjLRAmJSBgfXKjXP0rbC1dN5a+KdR3vMik9KpWxre98H5/v68cn940MsOlpUySq6Xg20MpAFpwQDUOzAYioiyJrhxKMve7JxeOhajwP2aHt6K2Q4ZOdUsCtX3Zq7WlemgnMeddLBJ2gJI0V3z8/F+senrW4tG7hc4OfyQwhGjkBmDANOhtYm9jBlqlAUyIRHV/YyJJ9RNpIQSRhJnaMOZlRB4o7fWbI7W5iDt8Neg+MT7bR2arcqvPw/v+/gf3/3r+IHd6DIRo4x0rYoy6wURODRln3JvmU7XOPgjptDZlEICxFW5Wjdi8Le5G0U1dndlNks6qbxY6+rnsbw3WQ7iK5HQJGi+vsLnjus47rPNJwMopFZ6lmf/OJcquxoQylAdLDW0902BrPDOCn3uHfW/MpddUs/30YGiaJrIe3R7gBpTo33uXevJ5LQUyWYS0FcIVK0uKpytOHYDEphKrG/uaa7PRVKl5DsFUduv8R9J/zVQ8MX5L6WdEIp1bC27cv7/sbORHbUyX1d4/2cO13kUCg0lFTAaVRhsi6e8pWdYrQpFQJ5v9fd2Y6mG91IYQ82O3ZvSqLiqnP7Dx7Js08PXxvqZseoUmzb53v/VuusALfTOdJ/Wf19XbQ/ioayLwlGtZYhWT2TwwBW2pD0oZStuco6fM5NYVK2uCJeP1MbJzNQ64efj8hFFaKrIPtZs37EJGXc88EiduVnJtpB/N8xlAxDgzEXpM2H8NBZvHZkxEukZN66vXR+v5yWmLsGH3a7JYONbr5nYjsbphTj2ESpUF3WIEOoFczrwpwJiW4cw+igoXpCw0g5B4jJU8Y4YyLUseGT9uqRFvXb8jflxede9dfDwV+bEiK4212LVyDcurqSpL09wjShqkBqDRjOqer8eE81WqRgygLtWBQNDYIs5GjlHEEljH6snjEdwRLR0KKpvXrUXjmyrR+g9174+Eerh5L8veiI4VMYckeMqMSyKCFCALwsFqHH48QhbZlatRue70owh4UCUIdbWuJMagxXtPZoE8qeuqtrkajNPHw313MJVolBjDHBoYgciDAezAxBGE5nuo9onpLTXsMBkbTSjZU53218vPo93kG18njBV3zrN5/OmxMHyOIe41bChqj3ESkrTL/fi9s/5taPVnnk/X+h83F6il6FTcZ5+kfTwz+b/MQ5RdVnK7vaIbM5lXsp73MHZE6BHUib/fufRcdDLIlzxbvxafnW3LsWPm3xM5Y/b45yTA6PfTaA5ygoh+pN4FE8NTWAUWDSbgq6usnF409u9c2W3+3Rp9//29uieycbEzvTpLdSbSbsk23lg3BBN/+ea9+btPf+Ze/+i7v/7071/uRre89Hg/r70+5uvds4bau/ok0n9iaFVEwTqsp4JiHJKWVpsJxrpVsNVri8LmYej8NSbTIACkAwM0mMtsQ8Io6cWmhoZvjaj/+u+o+//6tbLwRiUiUVhqdklEP0uzLKlBUtJ6gqj1z+lujlus8avk6MVMUxTjX1DNf2uJv77LgBOCGyzUBtRXB3tTPfyidXIGrddD194kg4xZq6qXKRG1xjAZNDYYddsX1oIRPAQTSOFsrVZBRV9kzLnevpv9z66nvPe4KBZLG+jylS2VZ5+EhbzYnqTYPPHTUA3s0uf7vg/kwPELQs7FC7U/fGu55H9OZwEiHMzKgyt6tTMhezCiqWge22jX22ZpFJSE41Do1cX9/NZUo5jOmOZ+hpD7wKwlk085SjvZhVl93EQl5gc4mYKtxLi4hiwFOEd9lR0YFc/+LRTUpejXdc/jY5AoIpDlCzNd6xt9sO8RKhmFfHlV1jJyhMLZBhdvZ5t2fbo2FSwfIPq6fvy+1Vy/jYt31B20pDGRNkrDXqYk676ZoIBUfGxNVlayuaDVE4vlLFpGzNyFzlalc6zgztJA4CoXpW1nrWbC+KiOPsUUyZ8WzA3d7f++YzuD+BSaypMy7kh9d3r2rGxgP93ZbDDYKM9eR2neahPVMxq9QQgWtDyIejw6u50oJUSsp2Q5c6R5Bxn7BqUTkepsnQe0tLxPzkOICM0kfh6LOpRuDjzz1v/PD73juTlSA5dXJp/Xju0LBYVwBt6YaxJRxEc2f9UgJpl4d2TbMIm0lS5U1ttU1eijEbr56dGVrOlBaSut2upc4xgUlfmVYfRS5QiojjdCZSuI7WE14OlkosTRhkr2fPenGoZ+l/XXx484feH31xdlakkLr83Byzm5YaxLuYQNkGdMbHAALxWu7vEyLk0Viy0J6HZY6ExQqeuf9fWng3WZz/L580/tenEEge5J52lpWIDSX15OvNXouMlvt5f/2Hf9zffXRKSPrasAduP8PC4tmCziNE1cuwlLMUTnS1y9XmGkRNY1ixljZq1ApEHboDafJQZZMlabRcTZGQuSTnSNKyVY8U6iOO2U+SubRj2yVN7gI7v9Iv/Ks/RAqokA3u0ZJFQpij6tyPWZfQMhVUEGhog1IoIcklIcO4zQw5kobwKHp2hyMjD+lIKw81Sg6Yp5VUJCdzweQgG1NbWAjHzCjVLIbapSJ6qv7vkpxZumOL9bZrMRJAT5faYjW6G1SiRcGraldjW61dp7rEpUgMykijXFxuwlUmIA1hZniIQs8iQTwfMPq+9chFyzQbYYG7ZuYSKtGpXUUbJo5fxsvO4/eMQdzqmiyv4Z/aOC86bB/b6b3jrElIKlf5vsmJpZ8+QZEonnBYob6929FcLbcy0hRH2hybzDGy3DvN7YijIfQcIqOKkKv3OoQHO7DjQqAmtFGyTRvdz9/JiSS7HGwaWRy/okL5k8SZQ9HakWFLT2fxv927l1c89q8/j45Jzpi4zc2pwzovj8e6FF9Mf1l9+75UilDiJayRnju/589brRnruxKNoceUY7QtdmJQBqhKhgmmyMgu1GoTIdEEyy5VlukcP89uiaRNV6EmPExS9+/dXL/674X8Ss6vOtX3Os8fzcnZGVASrFDrDqrPTg3rcl1gRDesZkoADCXlIanJSV40eX2N4X6i+9pVhwjrRjjNZWY744iiQDfGtAHABtRYMijz9fN3NyA56dVwITxUZhHioV9cFb3TSPeZit8l5wcYoJbwkT/1UQwcVi8xEoAq27VVBZVSUIsjGW6ss13czlJDSE77rkvP+hqadXTqOUCfqxJkZw4ZuaiLJtQ9ywjlXH7+umYkOawC4aG2dF4S3+lww/M1I2qKdiCgnVbApe5qr1LFltiuN9SHRAXTgmqBEjl1GGk8LDcoqVinkMoEZ3AKK6BDB+kaLI9M3vWGdy91KXKeuUSSvuyN7SV+wK45ijI41Tn3Pb4jzfzoEoyeXWJlzO8MWp58ufVxWbNFFAngNKjvbqs1BnJ7ak/C+JIwePik7W09B+Wgc8y5El4+JMxFQZJS+2N7iR+QAgpRClkOYTXAkWDynARpQ9qOm7l5Fq/UZg6KFpPFpFwSkpxWp59gNcagtc4b5Vzf8zGFvJ33eEw3rOY8N3INjycLO5zmoXs1MwvvPkBTc+mEJM1WXnvEVZgA4erL6MhTO71oDOfGRnTQj1jtOgVR3k5efHT76r02M5lytJgLU2Y/wRrJt1Xf5KvrBcz1lR68ZQuzpU6uyxUgY/42/57d2AB22KbFT8pvi0AyrPfOp1Hn4uXJoGkzRCwHvevJES6tHnNex2S53CoTJlCqWPXx9pt+s6320Mn2lm/fvKvT4zUuQQd0qOC6pfgFhm5+4tjZ5tn+qOWcPKYpKIfE1MlNuxWpPJIOn+XLPGIbS3D7VnnwNirkYb2ZN+o+jv5wSDLKn/pbvogLScbZoLW+GwnJe7t/cHJy2f7PutMiPQkYrzaxg7LBUIvX7z/25rkxmKwuP1iXAPap67x/76jfUVbhysvSYe5QHWeTsRDRODf8TFGuN2stVJvpiaHnweUenbVuprPz3KKeFJbLYVgms1pWp0vmhLm3+f+0MZCsPPxQefQhZYev6T9v72ZfVoLUS0rwn/NX0CRY4seGJLH79tqF33ROa9Z/1jdo8QRglLY0mbS87iY/kGDAHyWqqncoAiBLbPjJCjml+kim6vU17r3cSefGoSiDM51zz+M70izT+MD08vX2bvfMdpJhPagXph9ASCjzfP/qd25qVo9fIL/loHtJTMrRwnufhhdUPdDn1//aXl6tTSIyoc0LYz8NSG7xI3weE1LDn4OQ2OHlHaVMtHbzyYu7/7W+uD1C69hxQBfYKO3OlvJDXAgEkoHmETHJPnE0oRLLH817r/LhBKsZS4BDweQ5SXwz11g/efx96kGBswbNzBFEK0FXqx1JhWOchrv31lkCy7m+r/wHD+qL+vJaJyoTESBptudrAsm7/I38P2KAzy/MLZh8jY2SAqQgMoR1T1/ky9sjjh271QdKU8ruu/VdgeCPmTS1vLyhcym1PzVTfTSuzolKI6KDHLLadaycSv71kco3jcU/d/Of/GP52ec6ru1WR1AmUwqyIJJTjlnLZr1SOP2Xf/t58fm2SmVgOjJw38oQ93qA5L/nR9MLS/wEmBzYtxRhwlTEoHqsb2zfPn1nHht/OcIXMyiB1M7hogaSRdSgZlaepNMFVkBOHVGzSRq5v/j84z/B9eVytoXD42YH+Obg9PU+f9W79uH9YDomWrXLu9eiKSxE7JXwUTD3Bfdlck6Pg42LENMlGFv/63n8L99lyNEIaubrF54BwLT8K4pgLObwL5JCxS+kVhpmVTh8W2sJOWbHb+ebk4Xaq8n3utsSQqjpK6/Q417smBZRG6Vz/9782ys9ULpd7e201wiisHGldm2Cc5mgzCp3rFIN9fh1q+2ejY1M2ppnH95PDvaHWhXK0rJHT9b+SLvfCOY/q/7fO/evm/uPSh8QxlQ4jCD1uug+FTNCP3OreBdTIgRoHcCIEACFn7rvWMwZ5+F6ddvejhfD+lp7PQ7X9n5A5wTqvPRytNCHD2Mjr9pGX8RqL4OV4+CWe5NMYsT5jCJln/JVzXv5Q4+3LNp5x95pNVaDHOWpN8unH18uj8WjWZFJF+ZbHp7H+weJdo6+7l/e/KMhgJDzSv2/W/5HtaPdp2ORuJWB0bUQbBlsXcVszAiQGIELAoCyjIAApLY3VkrJQ1E/73GvYh0rhnk/HqudCxjt66xUezY59cCtP45W3wTKZ2yYJqe9sGNenZc7msd79WoSrFFQ2aGzrYd6Or7Yl97eeOXBg5dv302ZeePRrPiJ7DHh278x8KbP3nnUQCSpR3K6r3X1wBqHIVhZtML7YjLQ1+Hje4AtRwWVClPiCnDg6T2nmF/Atsu96taxyqykrJcm/5FN/tYZeSFLS4bSQI7Q2IlMlZtrXs+LzmtU2b40NjuqJzccXePkwvTFJ9d7GENKWhaMKwbTp6M/ufP2PxrU3rbnQgGS2nXZYFdxB+VDAoQMjK/1D7plsOx5+JKbF7LIgFGxuIAcYPeHvY9cshoDiRq4zdWhE4jJ0fMc/5bj320eSy2ItAhN1Dl/NG+UryuwUszl88IRdL3L6fX60wBEmLGHMSjzSofufKf//HruaYEBLbfvIpEUtDrVYtjEctGXs7JwcL9IGTRHTuyeOblJMGEJSwVJAXnB8aWdY4s7xVgoWPb0KzrA46TAHUt3PN6CKCJoLjZjtesaX8m5fyqSkPfy33KP6kk1yJqc3C5PjTB2Myb95i77I4OFOIDCrk9r2+81hKQwdP1med6ohEOm+KrezexuFM3mbP+jlwhFlIFKRgklIbfvkYuFzgyMW6elrhGdo7clPfQ4JtJC87EYPNb8VqV3FCRc8Ad/6p3U4//+OFfucxrA+ma21yW9ad/8LSIbUUqfXS/n3iYkBI/Z3C41wArkSMnCwa1Q2EYpMvL4pdzeesBoUgU6AurU5sb4kxeZHhtZUzOuy8pJ5eASBMIUlfR90a5/1PlegFTKuqdY+PDp8FTC56gF5EqH7+quj70+Q0Sc6b7pioTnJGGFaFFk3du+VyyHlksAM/txiuXIoJYw02f7wK96nXojJKm4sI0aUI0uZH4rbNUCTfzdcQI1tgbIUMm12l6ULb/f7S9BRbKcW35P93JpRbddk8gl6gF3fXhnPfBZv4/SIApFt4ho8OE5CbKsu39Lk4MO5WSDXVVGLbh59jw0BdPcyaSjIqjc5UVdex9pPw9aLVk1xwf0llIYsioSuVbXhyjlqF4ZesqUQ6PtkmjDqY+qnX29zXqfh30mIdLiaNAtmuKDBrnyH/fE5TEpkY08fllxSB2sHHm2T6262fSJVAiQZIhcT44tOb7cbNUcsfm5OsemcN3PEhoUSDHqSdnyBM+6eOUTj2atJV9EESdVhVx5I5ei19CqIUmrrb232PCZr1NWiIAthil0q+sfd6OY5JD4ZAOZYi2k1FrNt+19dOr3vp4mB6zcHKozz+5HFXvF0hw6XNlVckxyV4buggyaFL+d9N01Fo5ZL+M68eHRejnxGyxsGr1j+/hDF4qdRFgSnN2k/lv+ScZE+j8ncE4SZOw2vJX1pmTPpRasIvi4z/IMw9/e5xWGMslEF0k28jiV1plqgdzok/K7ucs6BqUsJsgdqtRGJhbCIDRZU+dOFVFAZp70rkCD4ojcd/p3c/DfFgei4x6eB7X0aJ8OnxtjwsJGd258kvmnX3P06VnMVm2PH6X/jTZi7VtEryMqIYwO86O6dm29KukZaXWI/n1z3Op/r8/s83f3eZVYJlkmOSATRhaSWmw1u9YTC71T2SSSXNjh2RIy+nSntq00i1p3uEwUhVtzz4MMmSPF5+rQd2ry12uke2Ry3q+Xhq1cWtHtVykNJVjWce4U69wYPufCsfs36J7z7tdOyTfRqiHULfQdYX5MaNPj6BSf/ITVvN7gtMf/XJ/Z5+/t8xqxTEblD3Wx1IKbZe8jq2DfHWpNMVR3eVHH3sf4IWhe3X7yLoq5F8buawkIQy/N/VNGPlxn/rBme4sDOgpq0auXinJpIqHzs7CdNVMVvPC1t707N/N17n71fWhquwXOWdN3RvnpIf/qbj5Zye2vJoVTi/++PrPPP9hnjckIVR7yBLs01MFWU886tepWm7ow4LmBTC3mxHKENI/8QaLY2q1DjHDYJ6dT2cUa/+wXmQ9ekzKuzqg6yif9yVPf17xkYB86L39PWzyccQtjsj8b0sHSX1D/kcCYj5/th+7w4B197CwZsEWRXvqNr2dWylyuswmdj/OfQUZByYdCPp0sf+HQj9WefXnpv33vN1cvhqOwlijq2FaGSooKKa51bnFye+XurAvreTngVq6/6bizcuh7uaVBj9c6Ji9dTgpkNk/xy1P4vMx9IZCuCZMHOHrGQ3f0pRPrpEfDa9+QNl8nomgirwUfgjIo0qt8TzEcf+U/+q8/2b57vSYBHMFi20WxhUoorPZ6zKVY66UKKyvSMiZZ133xxkde/UYbnHq+5scJj+5Gxy4QYgosw15mb0Rf63pIT3mAPSd8xy/71JaNdPllSNpE2BRn3ofclQFCvtxzm3zfP/qZF8aOiY6CzXKiIPT+UJQd+TxNHVaWFeVV3C5zkdMOKQCTORyEIh/8yIUNo8+89NwNM2Vi9b3I5CUCEPVECNM1+xmqM7deD9VTnifv6+8/2qW+r/Vl9WUIoCA5O1cFG9F7xrySRZKd8i1uqBdWXIZD09Kc3lo/vqJwcXEPUhggJ5X4ZE8f6Un18STxPHiUez+sUUz7qfyKwmkyDzMBygZpRp0Z9F668bkv7PnP31KUG2Zom7gk4hmh7j7d7jmx60zrPFRPZbLkuvnOg9Nzj9ii6UfCUgJ4tpsdnMwXFNFkhueCF2YZlBLFt6Ovu5htdjgqrVllt9L9cBY1iyITMT2FaFLcTKnbhV5b3bZT0Z3hFl/EpSdb2BKS7/ntnf9Wuo0q78ouxm4USAEg8tWM5xAh+sOfvrLt+qmwcEcxeD6wD52Xv4etKmQ/4f9Lt4Rmv2KTJZA616l1KpqjzKhH7uofmm8n9fW+/JivEEq0XuOFJs1NFRdNaO54zwNZldxBwq0fA8ddYBWI4Kap8+u6LlewIXj/iyBK1yQHFCBb2v61k1uHZ7cOrS6voEIrBcXnckKYiukH/9CYTkZmlT+d/AqZTswEAMqG7uX/HUXO9V62+cXfuy5PP3Q3XkoGN6xp0Uyv7xEAuZ/swzk2Xw//BvtJCdGcqwel6BxlJ0WNUK65VSHF7Pj2X/SLj9um1Y+ExRoQcWqgHbXw068j0FhlPmTIQp6waMw2yzPB0mkCQ4kEUxWrVqMtrgssEZQdCJ59gk8+gGPqpDAnCcY2Ptt4/kufSn8xw0NBSCHUL4aksXNazOeVtktRK6jUsuWOO/70sOCjn7my/WW7hadveY0jz9ckpeV782euHCHdoq3UyT8YnO0kXp0Lf4rzhgQDLWt1V28CoIbosJsU5W5+n7IA8MD/+dHfndw03+jLj/hKAZjI1JHWfLSLSqIZVunlXEgtlbKQB8osojoie5wpNEmBUxde3QqWnxKlVVKDJs2taR9LsKdB8PwDXr59zOMLDjwUM0JHnjj/T39p8OwHe2VsxpzKBnIVpEgGqxVzt7wMMxGq+zKC/OhRP/kiJ5y1SoXJTUopp4/+sfjDVWnPoX9XXEzk1sTfJnhVQNYBLXVkJ9lRC3Wqc0K55g09Nk+RUpzckXmyhQX0qk9EvatOXWkxv06VD/oVfy+5LbwSHaKjiBgyDlaKwGXGfz185plrgVLLKDFAOeaLQ8njYc9uHMx97yYMZzH3jrn7Rt+ihTAvhS6nBYCZvHQydxRbFEUKqjM1jUkQ+Ri2ikxZS1EqL64LU//x59nv3u6hKCR8a4wLgnMd0FJHtlCyAzp3qlVKyBPRfMGTr3Xw18fIICQEJ7Y66VdjCjVEMgbZsy/2w/9h54/4tMxdH3law7teusNYeo65FZU6224aoxJVKHbK3Oam2CfU9mRE8sGg5wudIF5PuTlRMjhJiM5P/mPqL9fsEHFBuBRCAwe0qiNbKMDTpfTM7i+o7Ej+yJhshQAWly6dtHCqN0nAOOPtoPjUBKfzUuaSmLsWoI8e5WM6ve7goxLnKDblmyW9SFCbqbM4QrPlE+otNKi2jP/67TVzt9d+/HH3a19bn/0f57ac2SWB6hoKGchBtTRIoG48XSRkWWDI1YR+MobTkEBT+ol0wDptLBwnYtPL04Nl98c9p63Vim1h5YMMObtcgpYU+0QK6vTUI5IPGbpm43M0K9BKpV15Gnjzk97P397x3Se75s7jt8nvBTW77KZJtYQM5BCXcFIO7m+B2JH8kTHZAghxSSeS77QT1tlYaNPfniJiMp83RDbrSKvPOMC0Iu+hXkHOyBSE5ZNfurYJADNoPlPF8N6a8vXBKxIfD6GmspE2DGquah4hQ/JffkvKyzyQ8I/H0CAkLL6YsIDx6xbyFOHA/ZEXln7DGg5w+I5qBIVg+LrNz33jGgsBrOiso03XIlxCnV02LC7KjkGao+YRsmze+oP3s2OFQ/vJVrBaljRxieQQNMPZ0wSce3XbaXzz33Y7PKZOY4oIy6e/cnX9LVsAWCU007WRsHewAoCCKjabtCM7oHOnZJDmqHmEUf/0O/3ln2EeTWQwhrP4ShYzpKyw8BCx2e1pQi6P/Lo+safRGkmsHefgvlPueesejSxKWllJ4+mLn7xywcNWSxHr+Zz5s5r5+6hMha3d2tusCSjsdJKlBYJpTjVEVbo1Lqjt2DOvMDMiJbPGVkjQXLueLjD878uyRguKkNDyCvXGwnybEJLQCCWOZQR7nqynG8vJ4ZU0zm7MBxWOcxsKJ6I8FWSkPR0QI8HSCcimg0HNSQFATKNOUkrmaD90fR/ADFwwCM2F4utXZzxVmP+84XfPQimKojA4y2RADCBJtJ3y4f3ykHnpYQSUnJWp4OQf15F/qUNxJv7f4dm7xmSteZ3YzWFDqB3V3nZADApQ1nMN1ulu5bNIoFsH89ZO0sXDna7yCQuaLaN0s4PRyVMFi3yBaOYwR+3kx8VglsRZ62MDUs8T6Y3WfJtqTToYAUcZF8sy/Xd14o+Guf+t/T+8N/0PFbokbAj1R9rjgDiy6aAsncy8Tn9/mE+rTXTtZ2j7aAf3w0DzJf7tVdwD4u5pcpgoGytVrp8cSBILGXBv7ONsQ93wb++XSxboHo2ANisl71qs2MIdNfKFe/t+dHfh/igP4dwj7XFAHJFCEidE/qZuxjm65RxKtDUSzkM5rvTWaqvrNvQ04XjRN6KzhGmCpCXE2RvMxsKxKQtNiTMC4Z9yLdMyHht/3jvzNfFMpFHSADLSHgbp9nfwkZibC8mIfUxwP3o2ngM5Ct2IibkqePwyruru2sBZkm0IminMWPRu/8c6tF8sW1D3agQgREnLVabdvoGMtGoUbWZqvRbHMiRj4mW66Zkd52gn4R7sSGskqYtCk8UYi1H3/hhorqq+i5Xa10YsyVezBYZGlizmvC/9wp9k5jsrBtoZCQCUtFotXxSpEWIqsXaMXW800/CYZGJ7qTvn5kQyYh/tUG+uZ1Cvooy6te/Kpl+M2/9ov/OtMPJp5z+s8l40Zrt1W1sZUqWETrnixGRIkMLs3Cpnq/s4CDUFSFCzw+bORogVpfC+7zQLui8f51bb9XZnE2EkqQMLU/29rfzwNT41mZv1nl3wwOBjmPJMqu/lPzz20Lan79SQusqZ5BHiNcwIkqBENM/MVYB8oXcfatUZ1+NdG8qaFbEi5Anv+wyjOs4dSbJb7J92SNEYUVvl3mvpa5a/nX9LC6Dsa6U30zlJHt3qn6v0VmFtdtrF+TI17HBX6QpzRxkuIQ0Jkp/Zt4Pt9Me8AdgF13MOkR7ZAFmCTlBRxFOEPBHXiK5L57Mr7QTurAgjSQ2sInhs5YfMfZ5cHc6RKHtyrmLu5wtfYR5szVreRVrfyZJ2OLVEvpg+IJUkSEKM2TmZdn0hegRw3eFmDjYz049HAPgd5c0oTxXGOVh7FRdKEAMs4tqrA56nKJLdUpoTYtSA6ljmRuXzq3z6CR6/JhMmmHOiovOgn/bX79XZ+uXRQKKl/lzs4ILJUS5NeygpSJDc7Gi7VKs+6k0A5tPE4qyrropFxnVh3ja9rsyDOfXHffIP2u+pRsYlf2kRVohoRp1QUe3VQeIi337c7Eq78GZEmC9XwaL3VrUv71PiHJMoe1J06TZCwHQqce6f/6by9zR/vYXfHt4KG0TW+bMaMp/K0sqD1V1DEiQhJcTcnJNuD6FyugRwXTaLcecj545n6w60S+0/s5d7tFVI7Ib4XRTUosF/ShLFagahZCc8j2pPPdP86E9n7ijNClGaRlRiyVWVTz+Vz8/cmHCknqqfuoUvwBFJ0UTmzBXnJufBeW/w3sp/lPeI+96ZmwdvhQ2Q1PIroHY0q3oVVh6hl24EAkgQc2a0g0xb3+QcwHyaFb15nn/6rZ92/NRZfmeIXpP2FwicEzKEuuUp/ylJFItAnYMVUgusv3M/6zM5zpvtiEaSCp1zH6p+WfCYgMWMy9+CcySJqTglirJgVIel5zF9HVrs8KYV0+OVhzF7KAAkIRKcGc1IulXhoUQqI4BYguj5+pZ96nj6T24F4o5cQR8Lzl2e8r6fPDGsGqVFpcTV3d/4ab/gPfZPO6y5JgDIcaz83qpf5NynYmYJxw2tSTtlnR8uWHk01XV1OYBhyi9E08PTH9t+pcdu373+piYAMH6GPrbKHzn2Joa+77234/WXOUq1sASPUaTBf0qpBF3Ik8t0xI5EHrFJKmu/+L3xzQFSN/eR6vducKmygYFhgi602MFl1UynPDRcogkEecH6Z6KXM6R7PF/0lmndhR3XSAAgG20/uer66kb7DTuobrORPvVqymMUqanZAgWJ+7Q6JdG2x1/7mixizYIvVP1e7uNTYbAFaGjttGL5pvV1CWE03Gv+3FoShj3IfCM66dEYZwQgDo7Rv/22xRrtbGKDnVP1rimPUQBYDppH1UQPLXR8/aLKvHGVb1/5a2euYAHBCkYADTFaxd2w8tCwQnutGTN4x3phpmywyJCszImBXsZ2jYQ6pftOO5QF0zhV77ynnKcy+Mq9ms5ItJ1NDzoR/E9X+x7vvbTDYrBQj1HAviG8SPOgUy6lQt/5kx5jCUqbDuzpMT3DJqsSWXreWld6Gds01ioHD1OgoywUdlrRUrynnKdGTKif0ArDT/WN/0Sur/yVKt86c/+weIQ1pnEwpXa6CvMLnRNTYqxZSHQSp9oY7el5er7LZasSGVkQA70aa4TidKxV/aLsdO4EhlJF28feUx8mfPo/NJ21xJo2Phgtg+W9QzLhUQZv2SSaen2fcnQuF/VY7/kdrgAUMaSDtPXH4sH5hXLJ6mJanVL/jTIjVVapaWfP+kXZaaEoyybaFO+pD4FR86Q1hp9ywz8TtWX3PxzCI51OLEaAn2xZOl064Fw+5YlVu2tq0iIAFDEKiXZi/YPSwY9ljk3lEhaJX5RvekH+3jKroLqmnT3rQzEpIrKKaKkS5VaW/9A0bdr3euNDtLy1kUXvP5CjI6VZ4Em3QRp7wvoZIisXhTIuTCpiKAnEOLCmx8xMHIXFL6TbnWp0qDz2To7RyliB1VgiXhaK9c8oRu14gq7860lqnIEzRM0Kd0e//52zN33qZS/scJ3CeSRGnb+kJq11zTORWEguGsqcJgAYSgdiGoszY3qmHbB4hXRLqtmhkt6psQJYjSU6r2u9anDmtkhYqMqhe3YsScGUjom0RuFUcZB62UejE8IHtM4fbQrWuS2093ikK1n56Cx/jSCBQRKIMBan9zMz7UAYr5BqSrc8q06hAqDSu+RN0Wq9qn+xfKtT4yztVKi5hHojybKz8f1kUc7ptPKQcp5AfeYAAYM9RFO8IfkUBw8hBSCBQRJUhNGa2c/MtCvCeIURuU+eMymlSurgkh4ssUxpvqOtuQgIABTKnVh75RXFOB+0CMeYhCNNrrd+jYF0cjICWEZA1pAIB9nf2M9Mtx+1kJV9cq/6BXUGtfiVmoVToWYT7I3LFWBvL1VopNyNUkhp1iJjrDcwhShtrj1hxnCTNYbCxVlapAawDINYZ8raPrB/th9IkQixlX3yH+oXJEvmSAn5Sz9xRVM61tHWXDhUJ0WSUivFvcjMYjOUAo2OkW7c1gFotTwx12KwxkB6q2OMMLUAPzj0XOV2Estq132rgUVGGhIhJWWv8h/mN/Fz1ITkF/NHfyKngqYT6o3LNbDCod1+rO12tihVgzCxJuXYReg4lUSQJkLDgyfqI4qscQjxUfEDzVKHm2fiRBW6ISXUy/BxO++fBhbbSC0LKUmFn7B+Iz+bhkL+/E/cvx2leZHWyI5QLymyYC1VaYkaIEt9zynMsKn0TvQH2Scfa1svrnrt58THLkgNRIhHMN0vnH027n5IGkDBx5BB1zMxGCnq52292B4QhTyySGTU9e9ZfvnMiTvIT55+bm7mHe8aZich52wrrMRthV1d/mDm99a9/obX23T2duzti/bWxfLu7tsvX/r83b2Rqy4B8+12UqdCQSPoUFoZkBmTkNCrd/LCOpPHE3KySGysQyPSa9VB73uEHAAp/j5rlb3WKiCl1v/N3PEZmV99wE/X/f7s+D9/GRWUSqk/ec/yC7Q+L2PyhhwypzdS2CmSRigeAbJGmPVMSZBSWN2ayjIy6LM5j7RabK7xScP8pChib7KWef1cqkaKzGLvXiitXeZ4WgYZ0tSFHz5A4315dtRXvMLdr/Tlr/B9r/Bb9Ctb7DQsDaBQxmeSVrjhaCnyFL0nB9nfn2ZCPEm6D7ISxgCw8zsKqylvRgWkVJEDrKYICQEKUbkLtHuJZW7cH3yMhpsXPFr1j5O+4eVekrNIyxnZV2R6K2rQJA2gobFO006DlYFgUZ7Z1nIqN09dhkGa4yWL9JTWYj0Xvx9GFXIEQIkht7hNsKvDm+iI/dNnPPFK+6437axHDfRY7mZ8pVyN/yfpHFjXiCSNUEqrsUaUKLJAuVxr5WWtlFVFxgSwc3cVjsfZpFSkYEX22ks3AHJCrnPXulWzpv8/B92xmBrVMSo1ZV+ma0W7+0K8db9/fcB3uLh4EpWvGSSxESUNoDBHQAqrOORws0YzSVFplxa7uBiZYuE4xSX2xkVmIkeyy93qdCGY/X7+JT3iZTbcYWDF8Tey96i+YOSvHvA7D0iKwEvyspB8T+RjdymTRmhKLK4UpcJsKtORASlK5Wwl/0Tnn2I+Wod/bW6eeC/J8jbcjZDgv+9ZPAkRgVYwJFkRL1v2g195wCcB/J78opD5ycQf+QXha5oxUFimlITDhTUpGCBWGgmr/XQGUV7CXHgvqaGg6S/dZOpV7APyNQcv55YYF6MSt7BdPigsL5tvfLknJB75u4f9oZ8FZDjXG4PSzNJIsMEFHAIwnZ+UJUeWSAhysAb0GRA0vTDsR35s5MXefZex18sMeI8T59OvIbBsy5vmz+VhZM0ny+69x0/9CtK5x3uDNKw8LHGVFIcQpT1dq95+0n5RRFIqj+e88zSDQKJER4lsoO1WxS9/hS6pC81dS7+VqPOfp99Mu4pqo8AW07mx0gt87CV+9p+UrpH03lB6Z3KdVh7J5SGQdDEJA9rX4e/V714ISSyT1rwBKATNTTUXtP7g5daKQouMdoULFNNvwjVcJQ7QL1J8s5kvKL1KJPYScQDp3q7+Rd4bwy7HdCkaQAbYKEdAaue5tfebJOxSl/MwCEsdsdtH7RxB8yeu5MCALhdbfIDxAtqlaN8l48UCL0YvULqcPezi6/lsNgNI79b8155SESsTywwQ6OAzpDgCHG79O1iApFOeJJQwLhtyV91QGex/81Z52SDfifWQokBGuwJHZBNlxDgeogUEJ4Zs8/m8HBtAOcytBUzpyMQHsQgOw1h4FGXpEVOlEsSuETcfEI8R/gf4+Gu4iONL8NvX+qQL4SI5Eo5RRjVRmRjBRqAynCiv5nPZDMk6F1YlWJMsb49385g9BghHYVK7dekRFEnEsulwfXFFvbdW6YL/Cf79aReDMGSD/LT8CC6HFDAowkY20D6uo4QmEQkKyYK8mhiLXCSDN138mef8jz7ug+nKQEuvWtUvHkUd1eOLt26+R0RSTtFN9vF7feIHw99eIhESQxDBF+G3rvVxnM75IJBwQg2i9nAZOSEhicp7CmORVxNbAHL+m6795rPwnUeuqIBNDQosxqZkmmrTTEna4W71DaR2+VYXAulMQ6PlbneFCyoUiu7kN8NmAuyP5Odhxo9DSRgCADbjZ68zm3s3bYeDLp7fxNcWou+zou9Ve+QOta+lIyJBWU7J59fLaAD9h1v9hefG7z+H7h+ya6Ucm2qHKGksr7Ay2GP111+Ke0TOHoqkPdMlU6JXbxJ1sLaiBhlW5sKzYeBpr4iJsbsri11tKPcbEvq5YYXrvjuHmKAygr9v+f09xLd+Tl/8Wf44zGlal9Lxj/BEVJdqIMcSkohoYnmJL6wtSNY+u9y2yYeHyUeG3JmoIlCizGEoq9tPdP756NEoLBqnmTwTkdPoo3BkX2dukKQRqSG1E5PIUqeCkRSC0HMYYJ+syOa+Y0AgjCrvyleuebafa/TP38Av9fN41WBZZiOut2KiKSF3qBRBR1SCIFt8dr2ChgTMvbywUG8eLzdPWyPJ9Th3kPFpLpyUvpPzIUo2Tkh0svQI53SayRlOZ1icndhLzA7BSAhGkiAUhNJMM/djAV6T3QCQxp/L7zXS7s++SZ98Lf8kaJCisxpMH/QPHgVGljxOdagGciylVIYTy8vri2wDMGv+2jwm07nFcDfDx2vxv1zl/RTJuEjsNl5+8+HL70zndY2Yt6dOibvC4ulAbxOPEjcr0MPTRsCi/1w9/oUfDI/1fBKT+LFnPSwelPy7vIXZ/PwL9cWf5k8inKwAwJr81XD/XrsOeSIUkztUiu6oDH8gm3x2vc7WJT/1So8FEgQGqclS+ot+5p8z91L0WnxJTyz6M5n17j7tnp9yuaNqr/Yk3aAwF9V24qpihXSm7TVr90WsDwj4aXwXSvhF+TPznPybeMp1/OM36Ff69JgUVA34YjB90D94FKgtaTyyTT+EZVJOZUwsr3DzX9v9BEe6cbdE8bJMCviVd37/X9+FL6zyWOXRVLrO9wpN8j+QoudQEkPSMRHkMJEmM2xmEWX0zCwRBVMmRgjNKmbPmBGmHQVSvU4mKogHkipQ8AC1A1Jekz+Qw4hKVtWfP9pD4EhU4amvzWO9+V1qoAzXQzFBlJRt8ryfgxvE8KPyBSDsMd/zCseD15Af60FABlYr5a7taZdwa3NQIbFUWIqddd79bHhvzvITUDpVV+107YNDLRz/+V3+EquciamrZ2GQhpRy3Tmn5XYeOrfEd59A5TNJUoQOouA/ntDz1bjRBP5zCWWfSLqEShyvCQsaApzAn5onFM3PPtv5Y2Y+c2Syk8zo93rZATXwcLgatrAi94V2KOnFbQCucjvcI24eKQAigsooYdmdnbD0FFW8c67mRIazHNzlYbCfFH5y9fN/VuZfgJxo1iJ6RFlavlaWHm9yPuiwa0iPNyAgKU6LBEVzyQBwhS0pyNlTOVgIjJ5zIIswBRbuNRP7f3d992Y2ogovdjKbG9stlb9DNkMZHg2XIvYTiDDysgACTFkQBMxFNFyDbPX1zfmGTs1tFbveP+ot4aLm0sldsxXoivN3j47XNmD+Wy78dCk1l4Py/MfpCmCaN0omxY/DPgkavU6lVHsr9EzU/QxbMJ0/eqfzOyq8ykFKdG9GtrqVrX2PNzigBq6Gh6NfjGVOflO+GVG5V/ZjcQsGXOMou7YvPPTt6XJHW9u71iTpTqKQh8crVlUx6A72WQ/q0i/CSvkzKEqqUIw+7aHkjDyBYARtKfnZW90/yg7+k0kurmgYDMuocnp0Nzf0XbIRKug3EOeSm54z3/AKQgoiXSzyJbF2aQIhBCWLfH5yIieik52I5CfoJRHAB0glY/2/mer91ecxxrhcLnFvPfRMdXu6/n3e4EBuMF7KfczFAshJeBPEax18g299QEdP43San/+85a8n1W1iapUBQj1KeXfDTb1y56Vz57rbC9S+QPIB4mzxcHf7d2V4RaQBAWWYXiOsCARD2/Fwsr53iuv+IuOFaEBuUwWalL/e3Av8xLwf/0+/8H2Nw2r676v9PeDEcAHAiVbQ64ojsftwXiQnHxyKfvpW5w/M7H+Y4NwlfdIvugJA99Zw/0u/8o3LPqN4Zka7HXgDPkf3gk/8tb1vNvVKA02Ehstm7tIjOcdnJOXEZ6ScD6nHG/kxVTQu4bAlFIRqJgEmSU1Ek8ZepYBhkVrCRMKQ8osvLnz4YwOvtmmNwbSLMmLSrKCUGE7aZo7vUM2OJus33fm+zQ9f+5Z3GV9ycFRjLGXTWdDh2fDRwzHjETxECvs+2OeTF8T854bQ4Xq1vELU9XZnNLqZbW9DqXq7M/Lrf+v3OI+rAG2QvcX3f7h0fmW3Xq9HhJWvRABHGkbDDBszpe8a2v6xW+56f6Q1a3vUP+z4R5TRCA9Pk9f3YDQYjctiRZI6qRfFg42EEHUUsEgIUUcxbORrP89kel2eAW2c+/C7aq++r9KU7W5NG4WVQ+PLDUeTIiQoRYaF7l747A/F9jakmSqMA410lPu87popwjh2KDF+LT8aK9qgZPH//+j88WG53J3W/urNgewaEz/MbpjWmWi2yX6xJ8op56IhGCP/82xYEI8pZtwoJ7AhVb1XevmlhdyZrvFJTyCnthKSHKQICarvKH/yLeUXDiE01pH/sr25SR2Xy8dYFhvS1Qfn3v9hoWZXpyaqFNti0jQBbph/aeH8H81V/43oxuC+/sNqd8Xx0DLCY0ojf+Hf+c2b//lnvddfNDMpJkV7udtz0KMhOTEJxDGuzE78zMz4Hyp1g5TPuq+KxxMzbvJaEyu+/1//4i/5m7/zk//BL89/9MOEJZA2j3m3ZxsNiZSaZBzEZJf/z41eotF7+nfbQyc6FpJPsIAVpJQ5ryKHFgCY2+n5XVjtnqrkWNGWL6fAGKFwaeEv4Ozf0Qu7YY7F9/iJgKWlXJNxE0GLiFsk3ZRpig5X33mlGe2cCgqMU3PqZW3XAq1gx2IStNXFnFdxir91dMqUIsV9elzBMgKDSWocMAoPJ9vj3PkHMqN/n+Qvs7pPNKnIQYPfnbLPNkPyQGUun6w3wd2PsPRyio+f0t+7OmUKybh9aGq/3q+76pBDc9qrsoBv/gpAsprh3w7rZlb3IzJYIvWprZCoNuceS8kEo/D4eHsI8i+ixfOj+rhf+ttYdMZyt9A9l7LlTZ9mgYorV3oTZOthddDuaME8V5NRkCyz0d+YyU2NX8tzN7r5Lui8DmTVMvUaKnzXXsRdHjw2HMIRUlW4vc5hFVAqPfx2vb9YX8AGoknRP9kaSDtAit3KL9WcMkSJDb272iUcjQoXF1VQgpbX1j/46Pv1Yd2ekKfu6u21TyyCm/aW/mGgbd5Zm04DHYWUBLnmAIxf+Ovb3ltsX8I2AWSfNT2osEIM2uliftUIhUPuu7v0nXAECMnhAZhfW/3go+/Xh3X7QnJX72ogs1ueLo6lXyunDBe2o7ddax1ecjVnltwFF/78Zr237MsJFRO/mnzXWPLV1fwLBN3Xe9v6qkIAbQPU9CgiU+6GtfPvfWT2GwWlyrqSy93Cq1/UDIvWbfDBdCmibWjx9TGIcGcsX37cv/yAeIPR91QvP33t2R8y+CUqsFWXw+AOGex3ly8/fTox+/WVT37jyvNfCW+3trg1rz8O8+EufRVjhwAA</t>
    <phoneticPr fontId="1" type="noConversion"/>
  </si>
  <si>
    <t>data:image/png;base64,iVBORw0KGgoAAAANSUhEUgAAA70AAAJhCAYAAACNVtdMAAAAAXNSR0IArs4c6QAAAARnQU1BAACxjwv8YQUAAAAJcEhZcwAADsMAAA7DAcdvqGQAAP+lSURBVHhe7P0HgCRbeteJ/iPSu/JV7btvm2vm3rkjae5oNDIjaWSQFhASYvG74gGPJ1jMY9ndtzxgH+zCW5AQvAWhFYgFAQKEJCQNIDMzmpE0RuNn7lw313Tf9l3epc8M+77vRFZ3dXdVd5nMrMzI/687KsNkRkZGnPOd73/Md6xQACGEEEIIIYQQEkPszishhBBCCCGEEBI7KHoJIYQQQgghhMQWil5CCCGEEEIIIbGFopcQQgghhBBCSGyh6CWEEEIIIYQQElsoegkhhBBCCCGExBaKXkIIIYQQQgghsYWilxBCCCGEEEJIbKHoJYQQQgghhBASWyh6CSGEEEIIIYTEFopeQgghhBBCCCGxhaKXEEIIIYQQQkhsoeglhBBCCCGEEBJbKHoJIYQQQgghhMQWil5CCCGEEEIIIbGFopcQQgghhBBCSGyh6CWEEEIIIYQQElusUOisE0IIIWRICBHA0tfQhqUrBinSTbEuO6yoeI/+yns6674frQRBCM+3ouPm857sT+jKvtGzhOYk0YUk5TQJ+X79Z9uyLtuyJkeDznuCzie07l0XvYqtK4zOoevm2u6+jxBCCDkYFL2EEELIALNTKa2C1Zf9gWhI3yyyoduhCEZ5NbLRiN5I1Fqiiu8V97ougjl6k9mzxdY7Dsp9Z9Pvu6fGO0TXdO9ViV71Si25Zr1sW0SyEcu2BUte9R26vhMPfQUhhBDyABS9hBBCyBGhBbAKV1MSixDVNk2zKjtUzOoxz5PCWgRfsFVch9taPUXwxVXzmV/b+cn3iFqPVcQbIay/X1SyLfcnoeLYbEfvjIiOmfeoeiaEEDKSUPQSQgghPeFe8apromnh+doaK+vaIit7tWVWha223EalcSR6zdp94k2PyCe0GdR8ljyIujNRi3Z076JtiNi1RPh2xG/nvYruU6GsDci6RAe33qFPYfu7CSGEDDMUvYQQQkhXiYrVlhPA9e2OmI1EmApWI3jlf9TFmK2P/WXL5YmegW6bUcwqlvXFCGULyaSPdMo2gpkQQsjwQ9FLCCGEHADtbhwGUZdkP7DguBCRKwdEKG1JJUqm4UQdo8g90m7RUeuxtgqn09qlOtqn4lgx45ApjgkhZKCh6CWEEEJ2ZauIjLohe54IXdE3gYhc1w8RaPTjjt6h7Ikj+vz1yXZe5eVuipBNDbalkar1VduK9Z0ahMuMLzbv1Jb8rXMQQgg5Kih6CSGEkB3Q0lGFrStCV8WLiZi8NcWPChy27hFB04kmha1XFcC2af1VJ0sEcBJIJa1o3DAhhJAjgaKXEEIIEUTSinCx0GgCqnNVo+i2tt9Rr5CDYtKRimAjiqPgWem0ZVqIoxoU7Sqtr4QQQnoFRS8hhJARIyr2tIuyGZcrm822znUbKQ8KENJrtnteKoIzmU7XaFk0tpnukxSqR3WFEELIIaHoJYQQEmvMvK5b66GFthsJXc/XAFTROrsqk6NE06j+12SogjchWlf7GOg0S8mkbN9NnkynhBByECh6CSGExBgt4kI4ngXH0Q7MGpAqakGjfCCDj44N1mjRthHB6ZSOD9Z9esw0BxNCCNkDFL2EEEJihbaaqa7VwFMtxzItuodvyJUTykmGXyiLdGKpP9REjy9EKgEjgrciRdsaQcscZXUOIYQ8CEUvIYSQGBB1U3a8aKxu25ENo3S3irjDCoEQ9aYLf5iLTLn2Yj4diSOW/LFAXTititHW4Ew6ihyt28mEtgZT/BJCyBYUvYQQQoYa1wtksUSQ6jhd3dODFlk54c3bFYwXk0imkkOnGVUArW02MDOdRz6TouiNIeaRyp+tCNE6RVJCxK8kV9nWHEERTAgZXSh6CSGEDBH3iiwVuo22tnZ1dvSSjug9eayAlPYrHTbk+ueXaxgfy1D0jhhRg68+cB+lfEK2A0kOndZ+tgYTQkYEHQBCCCGEDDzqo2tLrk4vtFm1UGtpl+b+qjczb6985VEuvh92WrcfXjw5Jm/Z8XNkNImev4rbBDZroeQdG5U64Ehe8mUxcd0MTCSEkPjCll5CCCEDjRZTjiuCV5xzx9MiSyPZ9hn5Qm3pPTFXRCp1dPXF2jC3sFQzU9nsdBNUwBybycn7HrhG/dwKW3rJPdT72+oKrV2gNRhWMmmbbUIIiRs0bYQQQgYUjb4cota00HQsEb46VvcIBO+A0W77mBzPYmLs/mVqPIe245vWO0IeR9SzWeeqjvJX07FRb8H0oGi2QwSmTUSbge82BRNCyNBC0UsIIWSgCMTXVqd7owoRvRCnPNrP4YcR2sqbTieQSSWQ3r6k7ege8T6RfbKVZLSngOsBbc8yXaA3aiHq7Xtd+gkhZFih6CWEEDIQ+OJxN50AZXG0W9qqSwW3OypCOquEdBMT+9wkLl1LwJW8uCkCuFLXFuAAjhuyNwEhZOig6CWEEHKEBKZlt94KUGtZaLW1tbIHUw4NFDqHqk4ns8ti63FKWjI4aH7UGYFbrnaBtmRRAaw9MbYHk2OaJYQMLgxkRQgh5EjQ4kcdZ9dEkFWhp671gMpduaxuBbLSn7m4VEGl7slpH/69IXycOzWGTCb9UJdS/axex1k5/mDhbctlXTfTKhWRfDAakXyOgaxI94kqaHQe4LQkq3Ty4fRMCCGDAFt6CSGE9BUVuC03NOMF256KX+3KrMXRaDjM+iuDwMKFsxN4+sIkntq2PH1xEhOljAkuRMjgo+N9bbi+hUZTxwAD9WY0fZavXThYu0IIGRAoegkhhPQB7QYJtEXs1sQ5brakABKhG/eOzI9Cxb8v90S1wfbF1xtl5lUlZDgwqdWyYEvSdUQAV1s2ag3t/qxR10MTICtC3kAIIUcARS8hhJAeoZ6uOrmhiQhba4ZG7AamZZeibjf3X6dlAsf0kiFE62q0IkudSx0DrMMXGmYaJG0B1qEMmu/VLmzZBkII6Q8UvYQQQnqEbVp4dO7PRsuKIr5S7N6Fd4LEHZPd5Y+ZCskPTQCszZqIYXnVXg0hhS8hpE9Q9BJCCOky2p1Rx+uGZq5Px7Mi15aCl5ARRvK/6bZvoeUlUBbxq0MddMiD493rFUIIIb2AopcQQkhXiFptQhONudm2TOuu+rlxlrqq43XRyMk7LeymTMjDqE3QfOP7Ov1R1PVZbUbbEQtiQpYz3xBCuosWyYQQQsgh0RF8oRG6uqjwjcRu9DeOqNNerTt48+0NvHl17aHl8rUN1GoOG7gJeQS2ZBCN3t5yNfAVTOtvvalRoSl+CSHdg6KXEELIoVDnVEXuZs3uTEHUOTACBIGP2eksnrk4jacv3Ft0e26mAE/DMxPSA7QyxdSn2EFUsaLb2xc9NkTo9WrVmU7XFdkTC5W6BsELZV8gdkW7QBNCyMGg6CWEEHJgVNI1nahlJnJZRw8V+Rqo58FllMQ/6TWSmFTIWqHpNu/7IcplB+ubTaxttLC+3sKmvK7J6/qmLLLeFuWo019vieBhQ6/ZD3Xcry7aEmyZsb/MVoSQg0DRSwgh5ABo64vOuRuacXgRoyh5Cek9tm1B/ougreParSqWVqpmPueFlQaadRdNpy2i0EEg+24vVCRPuiJ867hxq4Ll1SaCIIjGmA8ZOv2Ril+tQNI5f3XohEaAbjkqfoPOuwgh5PFQ9BJCCNkngXE6qw0Rvj7n3CWkV0RZy8dGuW3GjrsucHIujxPHCrLuYG4mjzOnxpDLpJHLpjA7ncMTZ0pwPR/Tsn7yWB7JZIjL1zdwe76K0Op0hR5Cosu24HmW2B8blXokgHV4Bbs+E0IeB0UvIYSQPaKtuzrvroVm2xZHk2KXkJ4h2avVdnHtVgWNpotL58dxbK6AdNo2Itj1AsxMpqM3hlFrqDJeyqBYzKBaceW9CUxP5vGOS9MifpO4cauKStUxQnHY66r097oigHXsrwme5+ncv3oTOjeCEEK2QdFLCCFkT7huaFpWHFdboNjCS0hPkGylY3c3NptY3WhiZiqPU8eLsttGGFjwdFhBw8Ws7LesROdD9wgCG5NjWaxt6rheDQClY4CBY7Pa8ltAudLE/GJ16EWvuVH6V15cX8f9aoWcVhQE8nvZ8ksIuR+KXkIIIY9Bha4I3rYlDjXFLiG9I0RCstethYoIWwfH5woYK2ZMYLQtmiJ4E5aNbDZ1t3X3QTSPnjs9hjvzVZXKZp++N5NO4tSJIlJJG9dvlZF4WDMPLfqbdbhFy02I+LVNvIHA/HRR/ISQkYeilxBCyK7oWLmtFpStlhVCSI+QLLa8VkfoAU+cHkfSTtwnbFWkzi/XjHDdLoQfRD+TzSTNuuPdO4Hu19bhY8eKKBSSuHG73DkSL1TseqJ1y/UQ1WbCTB22WwUBIWQ0oOglhBCyI9pFsGbGykWtKISQ3qFZrFZ3sbjSxNkzpR1FbavlIZ1Omvc+DhV5kxNZrG00Hnq/JcemJnNw3ACLy/XO3rhhYj+brt3VhiXiF/J7fROXgBAyelD0EkIIeYDQtIxowCpGZyak92gOazs+qlXHjL29MV/FwlIN7bYH2466PGsr79JqA7NTOSPmHmSnXJrLJk1Lr2ZhnbJIz+MHPpZX67h1p4bxUhotxzEBs3b6fFzQ36+VCNrtudECGu1QrJyqXypgQkYFil5CCCH34XWCwgSMzkxIf5CspoGrUikLc9MFnJgpoTSWwaKI3NevrOH6rYpp5XW8ANm0dnneg1gzXZlFHstrveni5nwZr7+9ibevV+R7bJycK2JyMovTJ8cwv1SXS4h//1+9H1qhJxofmzURwG3aOEJGBYpeQgghBm37aDmhmX9353YjQkgvaHs+6i3XCF5tkVRRWsylcP70GN5xaQazs1ksrjREsAUiXmu4caeG2wsVLC7XsLRaQ63poFpzsLpex8JSVURsFTdE5N6er6ApYnlptY7xUhbPXJzAM5cmMTGeQzJpixOYQDqZQD6XxHq1ZVpE446pCDD/5L67FjaqQK2lvVt8jvslJMZQ9BJCCDEtR82WJaJXnMFR8HwJGRAsO8SKCNrZ6fx9nW1VgOn4UxXBeRHAE2MZzExkcfHcOM6eGsPxuaIZl1vMpZFKJEQoJ5DNpDA5kcPcTAFnTo7j4hOTmJnKYXIsh7FSxgR40vNtF3e6fmIuj2W5hmAvLcgxQi2dmjvP094tCdTbgYlhoFWAhJB4QdFLCCEjT4h607ovyisZYvgYhwrVmdV6CxPFzO7PLtSAcgESSeuuYE0mbGRE6BaLaWQyInizsl5Im3G8ekwFnb43lD+eJ0pul3NH77FEQGdRLrdHorV3N1zXgs5FrkGvtFU9YreHQggZJih6CSFkpAmxURenODBtHtEu0hd65krzMQ4NKjBX1ho4MTPemVN2dwI/ROKBh6sfMSJYli0xvPW6RVZEsCaK4BFfoNdRzGpQq9Fq6X2QqJdLFMBPKwKrYhtdX+Mb7H7vCCHDAUUvIYSMJCF8ceS0RcNiwKoDE4ZRi5pGxrVl5cFlN/SQ+cyDn5NtSyMPPQp5n7XDZ6MWOjrnw4Q+s1bbR6F4rwV3J7S19kBdj+WcqaQVTdUjonlXxAZYCRXGvmlRJiJ0JaN5cl9qDRXAkPsiz+BxNRNyw6t1RxZvT0uz7cmz5f0mpB9YYkhZQhJCYoSYNDVrnRr7AyPnUOMY1/GtavqrLZ2LNwroQh6D3KSbtys4MVc0QYbMLtm3UW5hda2BfD5tkt52VGhMjGcwOZ41SXILFbW37mzK2xNIqFrd/gRktd5s4fTJCeQzyfs+p+h3Xn57Pfq+B5FjjaaL82fGkUhE13gXObawUsP4WEbOm3roWskRIc/lzkIVx6ZzSKa0RXYXJCEsrtVQyKYwVnowPQHr600RrZC0lnsozQRBgPnFKo7PFuU75E27oK2ZGgirVJA0kks9dB6iXcpDpBIWMmkVqlG86/staIgvvrqOE7N5uX+PvoF6uNEM8PSFQmfP9vMQQroNRS8hJGaoSQtw5XoDG/U2EuoJ7gf5eChe5BMn0piezMqOB8TD0BOZ/HJdnS46WXtGbtWDolcJAg86XHLnyhGRteIg2/aDaVC7TLry4Z3TZhD64lSLMN3RCZbPan/LXR3kwAQ0eijdytspegcLfYJe4JvuzRq12dam+92Q57VaboroTT4kSLdEryYzjcr8sFcX4tZ8VYSYpN20vcPxCD2Pzt+bzSRN0Ct6h7uh+RqSR0OkdeLj+/JigC++UsYLz4/Df0yrsPaweeXNMr722QndinYSQnoGRS8hJGaEeP1KBRMTWZyYyXT27Q/Xc/HKW2WcO1HsCN+4EBpHVrs0B2YML9krKghuiOg9eex+0Ts0yPXPL9dMBGAVvSz5BwB5Jo2Wh1rVMRGWNYqzitud0N3rZUdEb8IEqtruummFy/pGSz5vYXI8/dCz1eO3F2o4NpMzFSK7uX1G9Ip41h4GpaKehzbiUehtTNiB3C95FfG7VfH15a+u493PTpn1R6FRtF+5vIGveZqil5B+QNFLCIkVOh7t+nwN50/lTQTTg7bUrqy1dZgb5qYOJpwHER0TWG/aZhoUsnfCIETT8bC4XBdxkkcquXtr2aCiY4BX1xsoFlIYK2Qe7v5M+o5qpGq9jTURmoVC2mzvjBwIfdQbHtIiSE1L/rYEqGKrXndNV/mciOIHs7eeV7vha+ttQhJCNHDjYfQ8OtfvzGTWRIGm6H08eocCuZ/ppI6dhrxa+NJr63jhuceLXrXDr1L0EtI3KHoJIbGi7fhYWG3i9LGCiN6DOxIr6y34HnB8Li4tvSEqNQ2GI2KH/tXekSLSFe/0+s2qSU8JcWytIezyrgW9BinSoDk67lO7wZIjRvJho+WiXGlhXASprTUTu6BCdbPaRjZtI5e5fzy3itrNShO2iN5SQccFPzA22AqwsFLH7EQWyaQe29kA6HnWN5ooFVOyaPdmGoq9ovlLx+qn5BlcvraGr312OjrwCCh6CekvFL2EkFjRVdHri+idjYPoFcFbFydLnFi6VvtD71fL8bC81sCZE2MiBIx7a44NGyqpKg1HRLyPqTGK3kGg5TjY2GybseJb3WN3QpPdWlm7HieQzz0gemVZE7FqxvTu8lxvzldwck5sYlLHe++Mfr0Z05sV0WtaejsHyJ7RuHRvXlvH809NwQzLD4Ndx2pT9BLSX4avupoQQsie0Yis1Ya+0q06KEbmys2LFh27t317+Bb5q3/IAJBKJeGL+vG9aLz9bov+8b0AgSqlaPPeYnZE62Z1a39nMQGVZHlw/4OLvi+UtJF4VEAt8mg6WctxgXItgONZRtzKHTb7CSFHBy0bISRWaBc/FSaH9dtsOUckEIabZjuE5+sPodA5DFtpatiXR7Umkv6TFHtluhFbkZjdFfPY9D37f346ZZGt49A727vhiaj2PN/0kFERTA6BPlLLRsvROX5DedWKBd5UQo4Sdm8mhAw965ttLK64CG1Pe5PBc3wzrcdTF8Y679gfTfn85WsV0zqaSon3EtpIWCHOn8l3ppIZBkI0WjAtDeTgqEZsOx7efHsDuczuXUMPSyBessaW0pZ5SWo9w/MDzE7lMS0LOXq0O+ydxRqmptLIptK7ClN93/JaHRlJg2PFvc/Tq7lfu+fXm66ZL3q3AQ56jkbTwWbFMV2tycHQiqU3r67j6QtTJjrzPUJ5hqHYEBupZFR54QcWuzcT0kcoegkhQ0sgqlSn6bh2q4rJsRTGS+IMinxQx+MLL6/gve86Zt6zL8T7q9YbZuqOi2cmxIG0xR0JcfVWxUQ11YAz6qAMeoNZyw3RausananDondQ01QvC0t1kFfX6yJoMtGUNJ393UZ/i6/FPoMUDQyu5+Hm7TqevDD+gFC6h4penc83I2njwfG2jxS9cmyz0jZ2UEXvbuj7NqoteE6A2en8fecge2d30RvdY30O2hspn1ERDLx6ZZOil5A+QdFLSI/ZXXNpoceC7qDUmx5WN9vGgajVXZ3RA4mkeByC3tV6U5y3mZSZbmZfyDPx2h6qjQCZnHiRxnEJ0GoFJqppMqm19SnMTg1ugCvHC9EUwcvoq8NEKOm5gWIua6adYck8OqhQunxtA2dPFZHaJbqyRgZe32yZIw9G3lbxpNMe2fJRDWT1kCDeFEEs65MT9x/bjrZCXr6+jidOj5sIz0x/B2NL9L7j4gOiVx+A3lN5NfdWllQqxNvXynj+mfHOGwghvYSil5Ad2Z4tNACItvXBRPPVgkx1lOYc3afdxaJ3a7dEWd9Wdpn3RAd3QN4vHsmW7o1eNJCI/pXC0+yJAovoe6I1LVR1wpSollhnuLBsWe98OjrL9i/c2h8/FlZaIux8HJvuzKNrbvy23y6bB7VupntppJ/vnlKflZ5P52tdE7H99BMH6zrdW0ITNKXW1DS79QPIoKMBda/frqDZ8mAnbJw/U5J8LjsPmH7J8FFvOlgvN3Hu5M6tvSqmWi3XtPaePjlmKkw1r2t3dWVjs2H2jY1lxPTZSNydXssSeyViWezj5Hhmx0pYLV8qVcdMiXTuVGnH7yd7Q5/Ta2+tmR5B99xrfVXfQEpqHX/TQff6foinzpeQTWv5TptNSC+h6CUjSFQA3XvVtUhQqrj1xCvwXHEmpGwy4laORLI2+kyUY7Y+p+hovK13RPsPztYZo2/Y/s2KEb9mh/yJ3mrEWLQRHTRCWI6nxelJJqUYNSeKfsX9bD/z8LG42jLRRk/N9XfqlZbj48ZCA0+fK3X2DA46D2ulYR54ZyGDjjrJt+5sIp1Jm+7zjbaHpaUmnnxiHOIPk1FA7LY+6hvzFcxO5VDM35uSSAWoumme5O1qtYW1jbbk7ARC20dCjL3a93Q6gXbbN2VBOi1i2IeZlioSr7odmPl7pyYKyMh7tcjQylNFyxPdvnxtHRefmJB3U3gdBr2rnnlouhVlYB2Cs7hcw3ghi2w+Gd10facpr6VklgegSyEbIqUN/eYshJBuQ9FLRg4VsioONOmHYQKulE9tR4SrJY6E/IuKm8PL16NGc7ZxpaQw1XVtHdZpazPiFKmjrUeN8yOCeLd5BAcZFb1aQXG636JXnMsbi4MnejU915o67QgdpmFC89+VGxVcEpGrtkmDWb1xZQ2Xzk/FwAqRvaK2WFv61zeaOHG8iHbLhSOFU7XekvIJpgJTx3tvlJs4e2IM6UzUBd6kEPmztqbz9FqYMMGqBD0maUnF8PxKHWOFtJzLgeP5SMn7xkpZpJM2stkkbs+XkS+mMSOiWM9JuktClsXlOopjaRNgcbd7rPuTiQDZNET86lM0T5IQ0iVYpUdiTtQyq85D0wnN0mipOLBlSaLesuC62hqaMMWLZgh1NONQ1BhBa0f19ip2tSZZ26Qb4kCpOKo1LfOq96DRVjGn4j809ypCX+kBDTqm8kb+qWPsUfAOH5pRJa9V623okHQzF6tkva2WODIaaDmVzSRF3NqYX6pis6Ki1zdjdC+cmzBjbadE0B6bKWBxtY7QD0060d7N2mNWP6+Rv/VV92kvAX1ttj0kJC1NTmRx9uQYLp6bxLHZomn9rdTauL1QQzKVwNRYnta+R9y9r4+5wWoKvMA2ZbLGZDAB5/hUCOkaFL0kJmwvGALZ0si14kg2gGpTxa5l5svTufI8X9+j3Yk6/uZ9xMzR3KG81F9477dH0ya0Xb1HMOJXX819a0Ri+P6Cd7gL4Ojqt/+G4f49ij5H1xPRK0vMUu9IoMJFxcjt+aoJgPPWtU2cPlmKQ9IkB0AjJ7daKlRtHJ8toFTImLSg6URFrQbTq8tx7Ra7xW5JRW3DZrklwlnHl+rn5b1ynkwqiZmpHKZn5LtEFM9NF6JKFqa5Iyd6qlomW6hLOaxlcwQfDiGHhaKXxACt8Q5NQAhtxd2sWSjL0pJCQwVdIIuO1dXCZOsvuR/Tui23RVuDNQCSaSmQ++a4QKUujlNNXwO0HA2UpK0JWgAPXyGsI6QdJ5B04hnHUSNA++pNDjGuZ8nviZ4bGU5SyQSeuTRtxlQ+dXECxfzuXSBJvFEb/PT5KdOteXG5YYTuPSSfi12eFBG7vNrsDFPZHS0TW66O571/iqPQkrKy4eLGzSqeODOORILRwgeRQPwWrbCv1EN4HOBPyKGhl0SGEDX+InSllHZ0LlIRYtWmFAwNC20RAOoYRFDcHh4jh81rIKKq6dhSAFumJVjHQevUOMPVBcvCjcU6btypi0PZxJtXayZqqbgX0eGhIurWrC3zTOvDjclBGn1cKy5k4VRTo40GUbxwbhyNZhsLS1X4gQapio5pa+3URE7ssAPXlf3R7ofQ99+cr+LE7P3TFAXyb2OjhRVZzp8ZQzqlI07JTui97cqif7a/7mPRWQlU/OqQrGZbhz4MS1lLyODBQFZkiNCkasH1Q9O6pQ102q1TSxJTOJC+EhmO0Ey3oj3j9DWT0n36NKJn1UsWV5vGATwpTt1+uHKrgjPHisikbSzJObKZBMZL96KlPo624+PmQgtPnit09hwdzbZW+kSt9ISQ+KBZWnuhbFbaqNbaInSzmBzLGpunFb7La3Ukbdt0U9aBDevrTVhigyfHc8YeVGqOfLaFMydKxhrrdEbay2V+qYxUKoW5mbzpQk0eRu+vGVsfFXKHRmNq6FRThUIK2ezBe3FoJaeO+0+nLBPoSnsupWSdz5GQvUHRS4YCNfaOBlryOmNMQ3X06ekPEsaUyCNJJ0Nk01oQ697ePSMVrAsrbeQyW1NAPB5NMht1B1/z9IRcYwJLay1xHtuRcDcxNh9/Ho0YrdN+XDpS0atj1kO0XY3JTQiJK5q/A8/DjfmaGXd7YjaPdDoptizEwnINE+NpFHNZrIro1amdVfS2paC8eaeC0yeKIrLSCHwPi8stVFsuzp0simhKGhFM2/EwWkasrddRbzhyP7Vs6Rw4DJaPZtNHKm0jJec8vNet8/TbcFwP505lMTGW7ewnhDwKil4yoOi4Ua3pFrErQtdxxLmXwqh3Eop0E3120dQLOh1Sb2qiVfS2Wx6OzeVNzfzj0LSjFSVX79RwXhw/beHVaY9sO8R4MSnn0Gt89Hm0br3p+Fhed/D0uWJnb//R8V31lt5n5ghCRgE1oQ0RrcsrDdMCPF7KmP13Fqt44vSEiDSxZQlLBHAGt2Xf+FgGuUzKRGgWzWxahEvFqEcLvb7dUdG7tFJHsZi6b77kAyP3WntCLS41UBxLmSmLuoE+wuWVGiZKScxMZkwliFbdEkJ2h6KXDCDafVnFrmW6MWsS1YIoki1kmIjEbzThvnZ97uZzVMHqSzo5dXx/3ZvfulnFOflMJp0U4dwy8xZPjKlzs7friubprYvoHevs6S/a66HetDpRyAkho4SKX08y/2bFga82wPJkW4f7BGITPKTTabG5Wj0XlZ06b6/2atGuuvT2Ho+WUcsievOFpIjeKOr1YVEpuqTz9JbSyHcpSJ2WA9plWqe5mp7IIJ3S+Ze1txIhZDdYLUQGBC0FAjNHrAZJ0mi0KniVqBtzd4QS6S/66DQKtAYb03mBG6Z1Up91d7wv0zi7TzQl3V5oytLAyrrTaSXeb/o6uvSo8ymbseyEkJFDY1nYdgLTkznMzeQwO1XE8bkCTuhybMx0f56dlv2yzM0UTGRwM5cvTUbs0FJI/SPXV58pCnQV6pxUhJAdoeglR44aaXXiyzWdJ1any9GxRkcnKkgviKZB0tb7cl3FbxR9u/+EOD2XFUcxi/FiCmePZzBe6EIXtj5h7qEGrmL+IGSkUfMZmdDIHqgQTieTsi1uXScCOIXuaKClgT5vjfFQET/KTCvYpYplQuIERS85MrTFT8cmVlsWag0LAR35kUGnlqrWgZar4lf39K+AzmUSGCslUZJlbCyNRFIdxMF3EHSqinoriJwZZhVCCCEPEFo2quJPaY+go6lYJmRwoeglR4LWRNZbOjZRDLNvwbLZejVK6LPW1vxmO+ry3Bbx2x/hK2lMnIJINW4t8jcabDzAaKRmFb56/YN+rYQQQo6SlgPUGlF8FEJIBEUv6Rth6IvrHqDRjsZ3er5Ot0IHfpTRp68BmZpt26SLqMWVY5IeRHtEtET0bol0QgghXUBNqixal7i1RDNFRNXw2/ebxXxod0JLA29GwTe3Fg0+pvtD+A+fU7fNJx9B503bP6cRoU3w/m377i36/RZ0RoJGWyuX+1WpTMhgw+jNpE+EJkiVihuVNGzVJQ+iLoGmi3w2mutXU8mj0OjNOmfu6bn9RW8+LFH05gaePlfq7Ok9Ok7LdANntiGEkC4RYm2zZeY13urto3+bLRfJpCWLjpHeIkQykcDkeEb27x4l2bZ83JxvIJG4Z6zNOZseUinbDKfZQt3vdDphppOKFOzOuJ6HlfWmnOf+9zRbnpkPX+dt3kLPWcinMF66N3evlq36vlzaMjMpEDKqsKWX9BxtpdJWvEYr0ZE1uxt3MrpspYt6MzRdszgeSdF70Rn3zGxDCCFdQyNhLy/XkRHhmc1GS0aWyckcisXs3X3RkoTjemi1XdOauitWApWag3wuefezes6JqSwKxdS288n+TALlqhR2jxC8+l3lsmNiOuS2nVMXFeBjpfR9+/Q6F1fq0SieDlq26tCYmpStbUcjPLNsJaMJW3pJz9DuzI5ndwQMpS7ZK2KS5L9OOVjIhrC1b9gOjEJLr+cFqLU05zD3EEJIN1Ehee1GGU+cHUcyJTb2Ud6wHFvfbCIl7yuJIN7Nc9bi6s2r63jm4pQR1Y9Cz3H1xiYuPDGx63er6F1dbSCRsjE1sfv3GuS9Gi/l7WubeOriJHacvUhOoHPn5zKWKWNZtpBRgi29pCfo2N1aPQpUpKH0aVbJ3pHUIiW978NMb7Sb46CF/1GkKzNe6pHeUZeQH6hTUBBCCOkNxpqLrVWBqGXKbosx+brskZ3OsePSef8j6RR0O35++9L5Dea90cvDSNnqBRYqTR1ytlWC7vpuQmIFW3pJ13G1O3NTzSilLukO2uKbSt6fnpbW2tistMycu/0yY1rr3m4HqNc9XDo/1tnbG9pugEbLku9kPiKEkG6jLb1Xb1TwxJkSktvG2u6EJUWMaelN762l9+kLe2zpvbmJi49r6V1rmLHAk+OPaekVfHnD1eubePLipPzAzs4d0cCRkHK10+qrkbEIiTlsRiBdRMfuqqNOwUu6i0agjKY1usdEKSlLCi0nMMf6sej4WjWbczO97VKtIl6nKKLeJYQQ0n2iClXXt1FvWXB8Ldseo9IJGXLY0ku6gCYhC9VGAD9gPQrpHdlMiGxKC+bdo2cOP1p5JCLfoeglhJBeMdotvQ8g35NKhChIGXtfFCxCYgRTNjk0nhjWSl2jNNNDJ72l2YKIwXibLfHD4LghBS8hhJD+YMod8eWalvhyqpYfo64JGUIoeskhCEzXUh2/q446xx6SXqMh0ZqOdnXu7IgdOrWXvjIvEUII6R/qw+nURtrdudXWPRS+JF5Q9JIDEo1vbIkA0emICOkLnaSmac+PYW20inn2mCCEEHJU6Iwb6ts1KXxJzKDoJQdCjWHLdDOlg076jxbK1aZONdHZEQOibs362zo7CCGE9BztpPa4xbg6uuyRnc6x07InpEzY6bO7LVqEyMvhkBO0tLtzA/BNkCtChh8GsiL7IpR/zbZGlrUpd8kREyJphyjkNAqlbg9vigzDAI5ndaYo6uwkhBDSM8IgwJtXN3B8roRkIhKLu2EhQLXhIp9PY7yQ6ex9mEQiwKtvrOLsqUkEj3GvwyDE6noNF5+YMhW5O6HlwepaU8oHB6Vi7rGVourSL63W8cyFKZjOUF1A/b58NkQ6Sb+PDDcUvWRfNIzg1QKApo8MBtl0KIuuDW+aVKeiXNM15itCCOkL4v5ultvwRPw+zhG25B22baNUSCOV2n32AMsOsbLafOz5tsikExgvpXcVvYrj+qjWnMeK6C2ycs6xUuaxAnnvaAkl503J9cpic05fMqRQ9JI9EqLpBGi1E2yJIgOFZQXIZyykksObMHV+67YTzZtICCGkP+zX5O7FYx6Wc+4XlQsJ0fulu72rCBkuKHrJnjAtvMYp7+wgZIBIJgIUssMoGkMEgXabS+y5ZYAQQgg5KlQ2lPJa7uoWnUIyPDCQFXksd7s007aRAcX1bDMmVkXksKHzDlPwEkIIGQbUFzTTGjmRAB7GcpeMJhS95BGE97pdsjaPDDBaCGuAtWHD8wFHFkIIIWQ4iGZOUNFbb1HwkuGBopfsQjQPr+PZsJlKyBAQSkHcGKICWCM265y8nOeaEELI8GFJGWajWg/Z4kuGAo7pJTsQdWdutNWk0SEnQ4Qk1/GcyN8hiC6pcx/qXMOHQj7+0BnEokexNqMjDxr4rffT8BNC9oqxG8ZoyB+z8ZDlISOMZYXIZzDUASVJ/KHoJQ/h+YEZr/GoEPqEDCJqznKZrSmMBruLgrZKR+OQ94Z24Tbvlj9qtXX6CteTxfHgy7rv63QSFhIJywQYSaeSxgExY/Hl/Wro9XO6GPb+1YSQEceYETEeugSB2B+xr9F2ZEgY84NoKZNJaRnM7oFkMKHoJdvQpGChUpdCjYKXDCOShBPJEIXM4M8luFENxVF89DXqYdtWJzNEveGjWg/Q0kHAsl+jPnuy3/PV8ZSfLusqeHU4QkJ+e1JWEokQehsSsj4xlsTUuAhheU/n7J1XQgh5PMZZVFuji6523Ed9abuWqXjTCrjI9NK+jCopLYOznQ2mAzJAUPSSbYSoNkL4QRRNlqaKDCNq0QrZAOnU4NY219shXHESd0KFruhX0/256Xi4s9SU9cAc03wZhra8J5B12TLr5tBd9D36xzJiWY7rO2VbJ0UKZZ9m7JmxPC6cTolzGrUKM7cTQvaH2KC79kfsk6yr7dFuro0W4GqAvtDSI7QuI4amAxW+uXRUAUvIoEDRSyIkGegY3rbHUbxk+Im6WA1mStbhA42WBrDSLb1G4yqa1hHH8yUf+qjVfaxstI1DmZQDkeTtHvrdgVxHMZ/EyZkUcikLkxOZztHoeggh5OAEcMWfcDxA6+wCFcEP1tCR2KKlSMKOhG8qqXv47MnRQ9FLDBzHS+KEGrXxfAB74EKPa+VSCMfduq6troAhltYcyYMOqo2obWTLP9SXXhlptf46Pi8rond2OoWZiSTGRAjTQSGEdAvPC+GJndHpD+lwjhb6xLPZAJmklnksV8jRQtE76sjTD60Q5Zpu0CCReKBWbbyg42E7OwYEPwhRa2p3Y+0WGJneSs3B4rqDVlvF7uPH+fYC/U7tTp1OQUSvjWcvFHWvXI1OBEW7QAg5DJGtU7us87pqAD8dWkFGAH3o8qhzGRG+KTOWhpAjg6J35AlQrYvDyxZeEjNsy8dYYbAK2bajU4EFSCRs1BsuVjcdrFc909o7CD6gKQy0H6Jl49LpHGYnk0gm9B7qEdoIQshh0ajzQKsNeOJ30KqMBlqCZFMhshk+c3J0UPSOODrlSb2lazRDJF6oaZss6dpgpG29nmpdq5lCVBoert9umPmEB7XBwxPte3zSwpnjWRRy2uV5cAODEUKGizAAmm4Ix5ENtvqOBFoGZtIifFM6ywCfOek/FL0jjE51olEWOT0RiSNq2iZE9A5KvbLr+yhXQyxtONisemaKoUGva9KpkgpZEb7HUpibynX20l4QQrpBiJYToKUxDuiHjAzJhAaaDJCw2d2Z9BeK3hGm2ZYCx2VXExJf8hkdpzoYKXx108eVW3W4IiSHKc9Z4owGoY9zJ7I4e1wnX6TFIIR0iyjIVb2pFZW0LaOCzj+vFaoJdiAifYTJbURxpZRpOnRfSbxxfU3hR12vp8Gr2njzes10GR62PKeB7izbxtX5Nm4s1GWPBtwihJBuYJlp2Uq5kAJohAgCC5V6CE8LRVNGs/2N9B6amJEkRLOt0WMpeUm8Ofp+LCJ4Gx5ee1sHzsvFdCI2DyPJhIVrCx6uz5sgAIQQ0jV0jGchGwlfyp9RwUKtZcH19YnzqZPeQ9E7grScaF5eSl4yGhxdSm85Pl690oDjSZEeg0omFb43l1zcWmx29hBCSDfQ4EZAPqtjPSmARoGoSLTQkOLE9ShHSO9hKhspQjMXZ9vVwoWPnsQfDVkQaJjQvhOI4HXxmZercOXr49SpQk3H23dauDFfl/vLrs6EkG6hYzy1xTeyM2QU0PngbTN/fdvVyg6WKaR30KyMGNripEFjCRkFNDDKUeiyeiPAq5ebSKV0GEFnZ4xIJi3cXHaxvNHu7CGEkG4QBTfKpoMBGJ5C+oUOt2u2LbQcKbNNoc2HT7oPRe8I4fuWiN7hihxLyGEI5V+/p+TyAl8EYQtNRwN0xBW5p/L/yp2WaU0nhJDuYSGdtJDNqAWnfRklVPQ2jfDt7CCki1D0jghac6ZdR4KAj5yMENrS2+fSc23Tw8qGbyIexxmd7Mz3bbx2tSpbrJknhHQTEb0pIJWgXRk1HBdotNVv1WfP50+6BxXQiKCtXW1P3FQ285IRwrQT9LHM1EjNr19rmkiko4D+zHLNxk0T2IrOCSGke2iX10xSXzs7yIhgwRV/td7ShprOLkK6AEXviNBqs+AgI4jp2twvMxfi7TsN2An9ztERgEHoY2UjQLNF74QQ0l00LkI6oWusVBs1PN9Co31UwShJHKHoHQG0i4grxoNlBhlNep3w9fwBltYcbNZ80/o5SmhlWq3l4c4yx/cSQrpPNiOip8+xGcggYBnhW2/qs6fwJYeHoncEaLToiBLSSzzPx8J6GwlrNE1q0rZxc8VHS8PDE0JIF7HEruZyARjUahTR2BEWKvWtqM6EHByK3pij0xP5LCcI6SEWFlY9lKtSII9oY4SamKSUJldvu9EOQgjpIumEbRxWdiYZQaRc1bg0taa8cpAvOQQUvbEmhOsFYiTYLYiMKJL0NRhK7wjRantYK7sjE7xqNyz5/Zv1tticOE/VRAg5CtSMZ9KieOnOjCy++LJRcCsKX3IwKHpjTBCo6NUSgqUEGU3UUeptADcfTSdAuR70+HsGHwvqjFi4Os9IzoSQ7pNMWLCtUGwt7ctoYonwtU2LbxiycpXsH4reGBPIP5dD7MgIo0JMnaReEYY2rs+3Rr6V9x4W2m1f7A6dUkJId0kmdN5etbu0t6OLZbo6Vxva5ZktvmR/UPTGEnU4QziOlA4sG8goI+m/l7GltMjdrPoj38q7hd6Hat0y94QQQrqLBZteK+kI30Yr6tFIyF6h+Ygl2r4Vou1askZvnIwuOp63l13h5pcaSGgEJ3IXPwjE9mh1AJ0RQkh3SaeiyjUy6tjRdEYt8XYf2+K7VR4dxaKwRXpQsEJOrBhDdCwvUGuqw9/ZRcgIkkyEKObUxHVbmEYF2hdeb6DdlszGjLYNG8U88MwTOWRTyc4+QgjpDuWaVuvT5hIlGsJUkjJHp7baCcf18fbNqolxk07pe6KGIf3fEyRpaoW774fy3QEunMljvJjqHCRHCUVvTKk1Q1MLRsgoo2PAirnORpdpex6+8mYDjkf360G00u3r31EQ8UvRSwjpJiEabRUT7GFDtgiRkLK+kBEBbOJr3F8it5wAl6+X5V0BcpkUpieyyGZE+Paka7Qq3hBrm23UGr6pFD81V8TcTLZznBwlFL2xJDQTeXOoAxl10qkQeSncuk+I20stXF90OttkO54f4oV35FHKpTt7CCGkO6jXulEDGD+QRKizayGdDEXUytoDPa+abR/rIkLnpjPy6mBprYVTx7JG/N5DP3NQp1k/q3EsbHiejxvzTTjynWdPFURwe/B923w3OXpYVRY7QrTFD6fgHUzUFh/Z0rmGUUF/s0b67A0WWl7IfLYLCbn3axsMHU8I6T5ReUbjS7aIvBtXdGejbVYfQlt1U0nLtLg+ebaIzYqLL71SkVS0Peiinucgi3reFhZWm3jx9TJmpzJ48vwYCnnt0iwyi1NsDQxs6Y0d2vUHnSBWZFDQQrrV8vD29TK8IBBjmDD7+pH7Wm4ohYGPp85NoJBL9+U7B4XxohZFvcgJId661cTimsvWhp2QNJZLJ/DCs8XODkII6R4bVZ2vl8aX3E8gDk4uHZruy1tlv7b0rq63cOaEjnXaausLTSvsq5drmBlP4fhsWj6z355JIpn9QM7v4vUrLo7NWjh7QluP7w3r0W7OvgjuuSl2bx4EKHpjhj5NjWbH8byDhZbNjaaHheUa0mnbtISNj2eQyyTNM+tmJtQnr9+nUXTX1sXgyhc0RXCPFzOYm86PVOvkhIje6I50Fy3o3rzRwFqF0xXthDobms7e/7VjnT1kO6bY3ZZwmITIflCrZizb/clopKjUtacNcw7ZmawIX9WwWhbtLHqjiMqahnQWhmY7QCFn4+RcwezfC9WadpVuI5SMeGYuj2x2q2vZvXRJ0TtYUPTGDNcLRfSyIBg01DGpN10xkjqupIBarYW1smOE6NRkZAy7kRP1e3Qew41yy4xhmRxPo1RIi8F3zLG5mdzotPTKD50o6Ur380Oj5eP16w15DUbW6Xwk4ki4gYcPvHuqs4NsR90td30d4c//OqyEzd5vZG+IrUmENgK1Oe9+HvYLz6JnIzgGHAbrJI9Cy+VcJkQ6uZvo3U6IVtvDRsXBypq872QBk2OPFqlvXKnAsgMcn81jrCg23No5aCNF72BB0RszHC8QcaUZfqeMTfbLboJmv7lGz6Oit1Jt4+Rc0dTS+4GPtQ0RpxsNXDg3iWQiYSIPHiRHmsuUP23HxfJaE74b4NSpAlKJKEz+wnIdCVHDoyJ69Tdq1OZUUn/sLg/xEKxtOvjq9Trz2W6o6PV9fOCFyc4OEkiuNy3gKxvwfvqXgI+9hHC1Lj5Y99MniTli1qyxDGx5DX/yLyP19CWxRaOVjrTC0fFof8nuqLzRKQu119vKWvsRojdC319vOrhyo4GJUgKnj+eR1CkgDJbx2dY3PdxcbOLsiQxmJrKPzXcUvYMFRW/MiEL56xodqUdx107J627zmhuh2nDEYEV3U42brYvYQBWnyaR2U47CaTwuF5lzbRO9vjot6gTLAe0qe+NOBdlMApPjWeSyqX0JUz234/ioNVyUqy1MjWfkPDljaPVb9Pgoit7xYiDPqxdOkRSgInrfuN4295bsjE5b9IEXxjtbxLTuvvQGgr/8k0ClBoylTSsvIQdC7Hsozjw+Po/0L//3SHzft0cR5EaElvg5zVZU/hGyM5Gzk7QDrFdEqIqIfZzotUy3Gwvzy1Vs1izMTiQxKbZaK1luLdSMf3bmeA6pzny/j4Oid7Cg6I0R+ijLDcmEfKI7ot1+1UTpdCrNtoeGiETP9zEzlTetrA+ihembb6+i0VRDGAndhIrdlEYFtpDJJM0+DQ41Vso8Ukzq57eLXqNHO6j41c1KrY1KpW3E9LHZkrneR56z82dtsy7i3BfRrGHxo8BB2z+n3z1qolczwVhe5+zrhagIsbLh4PXrLfOMyM5I1sK3vZuid4vQ9dF675+HVZIMmOb8xaQ7hFKeWeKAJ/7en0Py3c/twQ2PB203FCESVeoS8ii0B1y77eDsCRW9e00woZmD/85iHa7jIyE+4tSENiio7dZz7O08FL2DBV22GKFipjeTbQ8v2pCSMF1cfdyar+DytU1cub6OG7cruLNUN4vv7RyMSO/nE6cn8MyTE3j60iSevjgh2wUjWkulrBHNS6tNlGutQzka2ulRDei4nPPE8ZIJc3/57TVU5by2HQnu7ei2/i4/DPDWtTJaIspPzOZNkCqTBkY9CcjvV03Rm1bee0RVFWQ3NIomidBWXu9nPggrbFPwkq5iaetu04X3o/8W3u1Fk9YIIRGR+2SbHpDaq27v6Ly/Ns6fLuHsySLOnc6ZGCmRbHrAKSNDA0VvjAhFDTGY4T205fvWQgVffnkFr7y1jnrLQygiMplK4sypMbz7+Vl8w7uOIfOI7sTpdMJEWNYlI85qsZDFWCGNWRGYly5O493PzeHsiXETIfmw6CmSomZVUD95cRLlqisCfQNtR+eRi8SvLm3HE7FexVtXV3HpiXGcPlEUYW/L55mdFc0DSa3oYF4gA0JYriL4yptAcb9TYhCyBzIpJP7TLaBSptkjZBvqmWme8MUxqLftTmXs/vw1jcqcHKGhA3GGXnKMaLcCeaDMmFtolxLtYnlsNodTc0VcODOOS2cncFFeS/kUfA/wNAzmI2sKNLCULvI2WbQhPdB9WmEoi1Yc6j4NUNMNtuyxBkg6c6KEYzNFrKzXsbxaR6PpYG2zicXlGrIiwN9xcdbEwIm+n1l5i6gelvmADA7hW9cRXl0B0qMaa5f0lhDBUylYb92CpYVeZ1+0EELUI/B9y3SJN37WvtBP03bHAXrKsSGEaRAkd9FW09MiHE/MlTA9mTPjdlXAqkjcv9HrP3qdxULadKfW37IkwtcSlXvqWAmTEzl54gcx3vEnmdRn39noEYHpREhhTfbI+jowX5ESl2mG9Ih8Et6b8yg3fVRbAeriEISmdlYLCRYUhGiR7Yqf3HI622TkoOiNDVGL5IPjP+OJdvWNCnLP9+CaMbk7F+oaHVmF4bCKQ71ubfWdEtF+9uQ4psaySIiio9jdjVB0xcPjoLuO6UrOh0D2iNgo1kqSXqIhDNYaIV661caXbzr44nUHn3qrJesttFxPyowhLggJ6RLqGrRdC01nq0KIjBIUvTFBs+6WwIs1YrHUaDVbDq5eL+OVN1exvtkYgbLcMpGI6bM8Gs0D6R7NzbuFtsBroUnIvmCSIb1E0pdaPj/Q+UQD6GxGbmhjsx7gt9+S8nK5HfVyoqNPRp7QTHfVaqvwJaMERW9M8HXi15ijPqPv+yaI09WbNXhSqp8/PYHpif2EoSexxgqR6HXAiVDnVmaKI4QMHmqXtmyTJc69VgRmxCa+vRbi+pon+2i5yKijjQgWmq4Fz0R0ZkXQqEDRGxO8OFdYqZCRlFqutnDtZhkray1MT2Zx/uw4psazSPV6ACcZCrTYyvY0Keg3BHA8WaPlJIQMEUnRulfXfbgawZFOPhl5tPrHRqNtQduM2ANiNKDrFgtCeFqOxRQto28t1HD19qaIXwvPPTWNE3MFpEXsRt21CBEkIWQymhp61ZIRnbflaggxQggZItTbk8L09YUYOwuEPAKN9fHgorFwWiJ8e9UDQr+DDA4UvTEhtvlKftjCUhnlSgMzExlcfGICyZSI3YBil9xPOqndHXpr0lxfc5osLMgIIUOEFWpXZ52ntLODkFHBCkXYetgsN7FRbj20LK+3Mb/SwupGG6uy3q1lTc63WXbEX2WmGxQoemNCbNuexFZMTuTxxJlJnDk5KcZDfiftB3kADfCVSfU6D4Rou9S7hJDhRG2X44kAEDtGyKig01WOlzKmwicQZ+HBRaf2ajkhag1PtgMTCK4rix8gn7Plu5OdKyFHjRWaOPZkuNHMquN64+mOb3UPGeaUqr+h3nRRqbbNvLv9rPjT715YriNh25ibycUyArQO6y5k76WVXqDPrNrQm2dhvebg1nzDBMMgO+OKc/2BFyY6W6ON96u/Ce+v/hvgWKGzh5DuYrUcrHznt+DKH/oDCDUIxg6o7S9kLbzzVBaF9HDbrrYbotEalWkayWHZUzoRwav5Q+f67wqRu9BZYRvjIMCnEAPiXm2hvy8uv1EN71Et8SVASgqp3eZq7hauOFk6/ocQQoYZWjEyamz5kY9cJGfU21YnMKzmkkMuxvHShVJrUGBLbwzQiOuNVvQ6zFi2sTpifNRIxAu1fY2mi9uLFUyUcvIz+5ftNEBDudrGxFgWs9Pxa+m1Jd0Us/rau3Sjt0zzmOtFz5ItvY+HLb33YEsv6TX7ael9/lQWebb0EvIQWtYnE6HpOWYzccUOVj/EAK23GOa6C7UrOvbh5u0y6k1H9sRMlQn6eDLpBE6K05vPJVHIpfu26PedkO8dH0vJdQx5zcgO6LS8do8tmVYoeSMwFzYhhBAyqqjM9X0LjaZuxc9fGnUoemOACqphdcfVwKgQuzm/ic2qa1ol41q5ZosyK+azKBbSsqT6uMj35dNImYEq8cnyUToJkcvqSm8TTSCC1wRRI4QQQkis0Rg5LW2DofCNFRS9cUC7Aw+h6lUJoZHzbi/U0Gj6OH96DPlc2kxHFFdMBcURLXFD004qEcDu8Vhe7UXhaNRmal5CCCFkJGg5NlyfMilO8GnGAlU1ndUhY22jgY2Kg9Mnx1Aqpo04s6guyF6QtJLNaFrpdXoR0et3VgkhhBAyEjRbIXwObYoNFL0xIBCnf9iypAatqtSbWFhuYHYyg4lSRgQvxS7ZG5reM2mrD4EmwqiLEytiCCGEkJEiEL+06fQz9CjpJRS9McAEsuqsDzxyoTq1TK3q4Or1OibHszg2WzS/gRwCuadGl42INtMuzelk0IdeARbanojrzhYhhBBCRgfXs9Fsq49KP3XYoS9H+ouIlSAMcGuhhmLRFsGb60z7wpa0g6K6r1ZrYXGlNhJ3UYuddFKnFei9+XK1WxN7IBBCCCEjifpYjmPBcTXgDIXvMEPRS/qKRmd2/Wj6l1MnxpBOJc04XnI4tAvO6noLCys6d2xnZwzRXgJaRyLJpg9EAawIIYQQMsKI39ES4eub+B4M8jGsUPTGAK2FGpa2KK0nyyQSeO6pKeTSCQreLqD3UMdET5SSWF+vY6PcNGkijgRBiGQikKX3P1CjiMc5kjghhBBC9oYf6jRGFoKQ0mlY4ZOLAba2nw6JyNHLVJ1rWba8xlSZHQGiBXH21ARS6aSI3jY8L641kRYKZl7eXhNCb6FP0UsIIYSMPNpTse0BbTN/L1tshhGK3ljAzEe09hE4OZtDuexifbMpe+KVLjTYWd4I3t6LXv0u7YbPnEUIIYQQRYdXaWuv69E7GEYoemOAJU8xrt1Zyd7Rbs75QgZzs1ksrTYRxipRhEgkwj6N5e2IXi+q2SXk0DAZEUL2hYqqaFaG+5bOPnJ06P1vtbW3YvSMyPBA0RsDIkM4uGwZa9J7dN7aqfEsUikL129uxCiolYVcOqpl7Qeur+PNmWhJl6BfRAjZB1rhGgQB6o22LM7dxfECU8FNjhZPHkKjqQ+CfsIwQdEbA1ToDGy+0zl5xVBvxji40iChhWEul8LkWAb1lo960x16m6y1qalkIEv/zFWjpXMA07MgXUKTEseHkx5j6RgX1rDEAym3Kw0Pi8tNEbueWdbWW9jYaIlbxWd81EQzkVhom2mMyLBA0RsLBtgAyqWti6G+s1ij6O0TGnF4diqPUqHTF3iIy0ct2zXZZNL9Szy+Oo46ZmDYawvIwBBmM0AxPdR5kQw2lh/AnSzBj/OcdTFES5mdKlh1T8K2MF7K4ths3iyT4xnTe+ve0KV7nzNtHyyy+oxGc7YZ8HKIoHWMAcbYddYHCb2ucqWFcrWNc2fG2SWnj9h2AqePjyObVuE7zDc+lN8A9K+RN0SjPZj5iQwxl84D7ziOziSPhHQdq+6gcf4CwkSis4cMOipg600H69t6wm29BqKk2m1RU7KtvpPxn+Sg8alqTSmptJtzNHOHLtr1eaPcuPt50h/0udSaVL3DAkUv6Rm+GO1aw0M6k0Ahn6Lo7SN6q21bC0QtAYe3FFSnQEVvv36DzgNseggS0kWST5yEdXoKcOgckR4QBPCOTcAdGwdDEQwHGp+iVndx807ZzLiwtt6QfaGI1zYWV+q4cacG13UxPpY0Bbr6T6VSGmfPTqBeb+PazQrmV6qoNJqo1rQ3XRUbGyKgN/U8nS8hfSEIbLSNbafzMOhQ9MaFARt/qFrL90KsbjQxO5XVPdEBQvaIpqGCJp0+4nrypdQlpAck/9vvQ/iZxc4WId3BlqLfFtGz8YFvxtqxGSR0fAsZaLQyt1Jr485CFRdExJ45WUSj6YpwrZt59ov5lOwfw6ljJSSTibtSKpRHq7EtTp+YwMVz45goZVCrulhZa+Dc6RLOnh5DpepgTfyuqMGfIqwfqK/SdC0ztz8ZbCh6Y4EFa8Cq9tQIrG7Wkc3YyGXTlLxkX+iUQelkCCnvhf6kHg2YpTEp6CaQbqMpOHz6IqwP/08IP7YAeBQmpAuInbQ0ou8z5/Hm7/u9CNKZQav/Jg+gvpEK06WVOs6cKiCbThlhe+xYAeOlNE4cK6JUTJuW3Sgu2QPln2xrvYZ2bS4V0jg+W5Lz6FAmPY8twnccG5UGllfr8l30vPqGPCtHhG/IrmIDjSXOJZ/Q0BOi7QBNZ3AMnNYyfunlFTHgOZyYLYjxpvE9SrTsG6acrumnmBOHro/VJTrZfL0p3/eYr9R7uV5zcGu+YbqQk53R+/mBFyY6W0SzX+D5CD7xefj/6BdgvV1BWJL0k5bErolK/2tyYolMHoWmEY2c03LhT40hmCrhd/7m30AqDB4b1VcPF7IWnj+VRb6PwQF7QdsN0WhFY1qHDdf1cXuxguNzRRRyKSNilQfL6Uf9tt0etQ4ru367jFPHi8hlOaysr8jNzmVCZNJsTxxUKHpjQWiMZqUxGNZfDXVNx5zcquLsyTFMjKU5TvII0VTRaDtiiFPR9FYDjra4lnJAMqGJpn+FR7Ptix+ZeKzM1ltI0ft4KHrvR3u+2VrcSgLy37oBvPJVBFcXEb5xSwymYxp0zPQXTFJkVyzYfoj2qRk0n34C5eOnsfD880jYIayOcHoUmvzyGQvvOpWR1+F2zIdZ9Gq0Zsf1cHuhhmMzInx3iHmiXaAbDVd+o2eiOGurrb4lkOefzXbipMgz3/4x/cwbb68ZvyuXTco5aUz6jjzIUkEjb+sG7/+gQdEbIzar8mcA8pjO9nLlelmEeIAnn1Cnlxn/KLHFIXr75iYKuSSOSwE7yK3uao2ymRC5PgavUtQMlutqCh/vCFL07g2K3t3RlKYi2CrXgUrFTDfTEif+pZstJM10WYTsTEKUTiufR2N6ErakFSuQlLRHL07tazErovd0BtnUcKezYRa9igrU+aUqQnl8p06U7jYMqLTV1cWVKhwvQEnEbSKhlbGR6NXusxqp2RZVNTedl2O2ea6K3ouV9bpsB3KsdHc/6S9aYV/M6Rr9g0GDojdGqP80CE9TDe/iUhlWwhKRNcZW3iNGaxwvX98wheWTFyYRBINriJPJEPmMpiHt2tw/p8zpdG3eiwNF0bs3KHr3R8vz8flrPlztptrZR8iOSEH/uK7MO6Fl8UTOxrufyBgRNczEQfS+eW0dl86OyW/ozKkvv0XrMOZX6qaSeqyQkDKxc6yD/l7twlxttFGuBDh5LCdl/L2yUm/HW9fX8eT5SUkjWh8y3M95WMmkAuTEl9lLRTrpHxS9sSFEuaYzt9kDYeK2CiKmrqNHp0HQiJB3lmt44lQJBVGVg/hcVOgWsgGSpl9QP1NxgI2qfv/eCieK3r1B0bs/Qvi4sxHg9QW3j/NSk1FCRe/cmI3nT6k3Pty2a5hFrxYbS6tSfiRCzEwW7pXHsrK8VkMmk8LEWPaR5bSW6+Wqa6JAnzxe7DzN6H5slJtoNDzTgkwf7GhQE57PaTDO4c5ncYNFa2ywBmrwvBpaGtvBQLszT4yn4boeag13IH0dFbzapTlp5lno5wWGcDz5xm015YQcBdryVkiLHRcnibaTdBtt8dMu9eemteWQjnjfkVuuYleLGq1fbTkuJkq5u3ldxWrL8dFqhWYqosfZAC3Xx8d0HFDU3fku8rm8BsfSJy7n1Drk/VcMPPzl+z7FiKN5TStm2K44WNDTixHplPxhBiM7oGO/ENgItWuzRr8YIDTF6hgYk377jGYXnWZghzKekD5jY6KQwOyYiBNjx+lmku6hPS8uzdoYy97fXZb0HhWdjaaDG3c2ceXGJi5f20Bba1u3oe9ZWmni2Fx+zypVA5gem8ljZbVhxK2ilsMWZa1doC9fl++7vo5ypfXYU+phfY+Kcg2cZSdkXRY9ry7assyCcu/o/dR5/z0znGywfK5Rht2bY0QgYmazJsZqjwaTjA5aw7ywXENbCsJTx4pIDEqwHLkuDc8xZsr5/qdbxw3QaOv37v279TLZvfnxsHvzwXnxhoO1liMF9NbIdqYzsn/UuwtFrGgYpDPTSVyYjc+c+YPSvVlFoueHCKRs1aBSW+WYCTtlVqPtzUobnudjejJvnsuD160RuN94ewPPXJwyM1LtFf1+HRv89Pmpu1MfbcfzAtPdeW5mWzfqB9DAV57voyrlms7v68s1azRwE/3Z+ApRq/GTF6aQ1p4o0cfuw3O1F5lt/M9QPqLjjE20eikjTTrc5bvjjj7mUsGX26C92MhRQ9EbIzRacq2p4jdykwjZQgusWqONy1c3cfHcOMZKjx4v1B+igrSg0xMdgXhU09dsi/PkacfSvaPXTNH7eCh6D0OA+U0fK1UfG41QHFLTWbFzjJC9oeMJJ/MWjpVsnBhPRcYrJgyC6NXvrkshUq15aDZdEbRZjEvZqq2sm9WWiU9RKmbN+4zoFWE50xG9D6Li9a23V/H0xZl9i15t0dWZMnYSvX4QYn1DRe/O36vXpjE/5pdqSKcsZDJJs0/Fq95aY3fkg5aUdSeOFXXHjrzx1qoJxpewEyLykuJjpJFOJpBI2qa7tTmXfPbI3Y4jIJXUeCV6B8hRQ9EbM1ptceTd/Tnx3STqAqPGbefaQHI0aCHWajl4w4jeMSmUBkH0RtENtVtzPyM1R6iQAGrN/ecUvZcUvY+HovfwuH6IzboHT53ZjhOquYWQR6PT3oTQEAmTeRsp7acaMwZB9KrgvHpjA9NTeRG6oeltd0zWK3UXi8s1FEX86fCZsyeLWBdh6W+JXvnsg+WvTi345tvrePrCtJyns3MPRKJ3w0Rr1sjP29F7o6J3bX130av4opadtgjWpIVUKiGlcee+br+38tlHXVer1UbbEUMlF9RotEVot8Ru2UZIjxVTpgJgaiIr5x/N7vX5TCD3ot9+DnkQit6YsZ+pV3rBZq0Jp+VjdqpgagbJYKDpod328IYUqk+cGcf4HgJl9BL96lQiQDH3YMnaL0JU61LYa/etfaL3kqL38VD0EkJ6xVGJXvN9UoCFts6VYePOQhmFfNpEXL61UDUiM5VM4OzxovhiDmoNT0RvSUSvg2arhVJeJ3ANkcnaIgTvCUAVr2+8XcY7LpbkHHsTR+q+axn01jXtFj0porpzQM7vi/1tipDVHoA6fvhR3ZuVrft4UL9g+3MI5B5ol2+lWm9jcblu5hy+dHYCpWL6SH2Po0Jbe6PpGOkzHCWsdogZ6oPbYoyPAjXAGxtNY2B1jAgZHLSQSaVsPPf0NIqFxJEWOtoCkZQ0Wsyp+TmaAkALZB23RAghhOyHt65tYnW1gVbbRTabQbniIJdN4qnzk3jHpXFcODOGdDaBDdl/bDqjGtm0+oa+hdX1JlbWG7h+q2K6QW8vhfLpAJWa7Ntj0aQCqiXC9sFpcVTw3lraxMpaAxubdYyPidB+TJmvPsFh/IKtz+ui15VK2kjLMj2RxfNPz+CF52YxVpR7sMt3xF0LOm5UUSN3KNpBjgSK3phhIu0d0bxgasya7VCMf9qM4yCDhc5Dq+Nt7K2J8I8ITaMF08J7REhCbWrwKpY9hBBC9ogKs9WNJqYmotbKhaUGGg0XZ06NmfG0WtcfBtqV3JLXEBPjGSyutrC+2cCafG52No/z58Zw6YkJZDMqAOUDnaJQzzc7OyZCtW5aSveCXs/yag3H5/J3x/Pq6TT6u7YiX3xiXL5vCpmUfSTFnX6nDnXTMcp+YO0ab0a7fWuruE5dGFfxqxUBbcfe87MlvYHKJGaowTjKHpdac6kRDJmtyU7oSO9c+igjjIemtlULYEIIIWQ/1OsOanUXJ44XcepEASeOFSK/y9ayxUO52jBjqVXETo5lkc+nzLpGM14WQavrKgJz2ZQI6Ppdkaf7M2kbuZxtRPJWfJTd0O7Qm5UW0tkkcpnoOwxyvnq9bVpa1REzYrxzaBDR31+Te3rjThU3ZdEZFfS3HZmL0EO0XmL7lMqk/1D0xg7LGNyjQgMiaNaOo8Eihycjgvco41johP7OA8E+CCGEkMehQ7jOnCyiVErj9bfW0Gp5JkCTtmYuLNfN0mj4uHK9bFr09N/UeA7jJV2SZq7e6DzA7HROxF5gGgruYeHYTBFtJ8TCSkPeFx1Tf2r7EsgJltdqqDcCzE3lzefuIsdWN9qYnSnsKyDWUaH3Ylzu0cxEBjVRhG9dXcO83Eed3ilufqT+HM+zO+Odh+DhxBCK3hiSSWpwh/5nKP1GE4VXLJXFljSyHUkcmVSAbLqzfQSoA+G6oSl0CCGEkP0hHo6dwOxUDpMTIio7rag6pVir5ePC2XGcPlESIZrD4krN9GhSUXftVhm3FxuY1gnpO6iHlM8m5X3V+8SdeE84c6IgnlSAWwtlEbA106JbqbVRqWhU5AbmFytm3O6p43nz/i20l9/8chUzU1kM1QgzuUdzIvafuTSN8WIG65stfPXymmkBjmOX55YTmnRB+g+9v1gSmnGT/UbtkhpgY4RjZqTIwdHa8XQqRC5zxObGstHS6byYNgkhhOwTbbmtivi8vVBFTV51TtutI1s+j2oZKWruouVfMgE8cXoMU1PRtEEqTstVneLHw9TEPSGs6Od1+M3cbAknj5VghRY8L4DrBCYCsrbeHp8r4YQc03M/SCCfNdcwZE6Y/hadKknHRz9xqoSSiN+rt8pYWmnAdb1YuZSeb8mzpCNyFFD0xhILmXT/a5Ki74u64/T5q8keUcHXzwoRTRPanVnH8R4tIWpNnUeRKZMQQsj+0LKz0XSxUWlifCyN08cLyGaisWQ6XlfH0OqY1KWVJhaW6pidjgSuCmUdB9xuR911danUHKxuNHDqZOG+8bjbK2R1nwaj0vPMiliensyZFtwZWdcu1VHgqvvLVRXEJ4+XUBNBvbRau+98g08k1vV36xRQ506WcOpY0dzLKzc24QVx6u6sQa00tkjnwZO+QdEbU1JH0NSr2Zd5eHDRAkO7DX35lUUpMHVga28fln6fzk1XyMr6EVsaTxwE3+/0QiCEEEL2gYqxfC5lik0tPustDytrTVOWauCl08eLmBiT45aPSxcmkU5GrcA6ndDTl6Zx404FCys1s08Fss6pqy24OlW8lpXamlmutxCKmt0u7jQOhfpVWlrr2OEtgazo+3RMsOO6shFth3Jixw2RSR9hcJdDor/Rkps6O53Fk5cmjAg2v23bbx92tDVfHrlgnqyukD5A0RtbxOiJ/e0n2mVnbiZnQvGTAUWeEayEpI6wD/IvRDZ19ONxtNuUTqVFCCGEHBQdozs2ljEtta7rwxOBqQGnNGiVCtNiPovZqaKZukiFcLXuYGlZ5/P1UCqkUchGvpHO6Xv6hLZitjqtwJ4J3qQttPNLDVM5bcroHcezRvu0XNsst7CwXMPthQrqjRbajmu6BJ+Yy2F8LDv0IlErBgrZNM6dGjNjqeWnxwZ9hs02TNqJHDPSDyh6Y4t2cQ6MYewXtqjek8eKyIpBj1ONXJxQ0xqaIGe9M7LRow+RzwRIJvV7jtKghxB/wrTyEkIIIQdF/ZrxYhanjpdwbLqAQj4F39NeU5bpbmxKVilq1O9aWW+IOG4Zf2iz0oYf+iJ2o/l9VedkMykjfBdX6qYFeGZSzntiDNMTGXiOh1t3yrglYrbVdu8KXz2vjim+eaciSxnNlofJ8awJnrW20cKd+aqI7ixKco06tnf4iVq2TVduc3PNzhhhoeHoj9IfR/qBJZmIdzum+H6IRjvqRkGIFpwbZQfXpcB8/ukpJMyEzt1PG1L8i+ANkUodffcqzQO1phYp3fudeh/Xaw5uzTdMRQ/ZGdcL8YEXJjpbhBDSPXS+9UbrCAMTiuu8uFpFMZ9BPpfE5WubSCZtuG6Adz4zjYWlBjLpJCbG06YcUlfb1ubfbei1a4txIKouk07dJ5r9wBfR7JkozTq9kVKttrEpy8x0Bik7iUTChtUpg1wNciXnSR/lnIB9JrpXnY0hppgLzDht0nt4l2OMndCouaxDIvfQwtTqzP2n8rQX5LIQwaum5ehTXr2tv7k3v5MQQshoopGUHScQcQosrjRwfC6Hd1yaNGWfJ4IcoS9C1BUhKmJX1JkK3p0EejKZQLojeBUVcbqeEAFtRK18RnVtpG3Vp7ORk/cnNCS0HDTvl0XjuGQGoKK5X6gvo9M4aRfzne7r0CC/o2Wmb97yy0gvoeiNMRq0RyuP7COYs5cMIFIwhKEnBURvAjoFIqaL2QBpM0Ggnv9oS6JWO4y6NR/tZRBCCIkZGihKpw3SOXq1x8/keN4EJpqbzuHG7YpIGMu0/CpbHpiK0+08uL2FKaFD2wi79UoTd5ZrZlk1Y331fA8XarvtjysaQOzWQg235qumYkFK+86RIUP8MZ3CyOUURn2BojfWiNFNqPBlZiJSIOqYo9AyNcVdRwrnQvZeIX+0hPA834zlHeoaYEIIIQOJCtZUMoGZyRyOzRRFeEX7dH7ZY3M5M83QxJh2Sz5YIaSCt5hP45QI6zE5py5z8j06ddFBzxknEskkTs0VUGu4ePtW1LW836h/sX3R3usPLve9p/O5h4mmMIqCWpFewjG9sSc0Yz3qrf50e4kytY5f0Y3ds3h/kYuRCxr1MROB3If5pToc18f5U+PdezxynmxG7u++K1eidKItz91iy5zVWiJ8fZ3qvvvo5XJM7+PhmF5CSK848jG9u6LtrdGcs93gwd8XFXH6Z9TLHrnPCQubmw3cXqgjn03g/NlJ2d+7+2KehSzaedIPA7TaOh5bxK3s0HHbGzUfzba28Udk0xbG8sm7DQ1J2c6mkgjkIUbP8d616qb2lNPprEjvoOgdCUJUGp0IeD02lK7riqgKkM/pvGq9/a49I0lc58B7/as1JEZ4NqXAD7C00kYqrbXT6e4kBbEeOh1hNq1mZO8nVKtz6lQOs7PZzp4uIedtOOIQOVIg9ij96Wkpeh8PRS8hpFcMrugl/URbU1fXmri1VMXcZAbH58a6Xvbr6fR7VOSurDfFlxKfuungtbdrqDd98XzE8dD3yBu3f7c2NIg6lldbjgU4ezKL88dLyIpAn5vKmvHcOiZcHaKoqiTARJGit5dQ9I4IKkRrLc2UvctQmtc3yk0srzZw/tw4UgOiMPW6ms0AJ2ZfwjPvGJ1ADw+iRjubEfMcRIETupXztTLFM4Y72n4c+r3XboX4V/9sEn/i/3a2s7c7aDpvtHtbaGh6ouh9PBS9hJBeERfRq9dPL/xwqG+j8xWviPh94vQYSkWdGurwCUPPmxCXcWG5hVuLVdQbPm4tN+HqOG55cDp0cD/pT7sve7LkdLqq2QymxjN47tKY+GS2amNDNh3I0lsfZpSh6B0RwjBAta71SL0rITTzb4qyvnm7hqcvjEch+Acgdel1qTA7MfEVvP87R7ipd4DQ59FuAv/gx07jG75xTPYc3shrXWm51tnocTqn6H08FL2EkF4x7KJXr9v1fDTqLiZE/AScZeBQqJSZF+G7Xm7huacmxaM4mK+nz0V9CfVIbq/U8aXX1k1aaztRoKxuxMhRv1gFsE43NVlK4eufG8fcbEkDfsv3ByjltdWX6aEXsDphRNAuF9lslJl7SUIMt3ajHaQB+Wpg1JCdOCXJfXAua6TRGtRkKsDf+7EF3Lwl6veQaIFXbeiaFhQsLAghhAwm6o9obI3L18qmoYBF1uHRCujZySxyqQRuz9eNj7Ff9DONhofrd6r4+d+4iY98Zln8Cp16KjBit1tBYfX5JxIia+X7Nso+fuWTK/jiK2uoN11JCjZa7c4bSdc5QLIgw0kUyVmndusliaRlQvlrDeYgoUbm/R+IphQgg0EqbePWTQ8//3PLsnXwB6O9GJpSSERj1gkhhJDBxfcDLCxX4Xse5qbzUoZR9R4WbdzIZlM4MVcw00bp9l6xbHmzHeDKzQ184ovL+PiXVuC6AbIpkaDyaHr1dDQglp3Q7swWXn27It+9isXVhgl05dOh6QkUvSOERpjr5dzlW0ZHx1MsrrQgGnugeN/7Cmg192EJSc+ZnLTwd3+kjI9+rNzZs39cneNO5+NldTkhhJABRlsTtUVvs9LGmVNjJujnfgQa2R3VicViBtnM4++p8RisAOkUsL7Zwse/sIjPvrKB9VobmZRtGkr6STppma7Zn/zyOm7M1+X66M/0AorekcIyUXYTWqvVI7T7RzKRQL3hDpQhVwP2Te8vYW2Vpcug8fw7E/i3P7OOWn3/vQM08mG9tRX+nxBCCBlM1A9pOx6u397ARCmLibGslF0svLrJXm+ntu56vo9f++Q8fv1Ti7iz6JvgVP0Wu/cIYSc0ffj4zS+s4Y2rhx/2RR6GonfksI3w7ZWh1dNm0hZSInwbrjNQdVVp+d0mhDwZKFIpC6++1sRP/JPrqNXczt7Ho91/ag0N9E8zRgghZLDRVt7V9QZSyRTmZvJmH7s29xcVtUEYYH65jv/88UUsrrXMc7ETgzH2zbIDuZ4AH/7cPBZWKHy7Db3FESSVlCWx9xqx/aDnLJUySGWApaWWGag/MIixK+TtnvxucjgmJmz8+3/fxGtvaDQqHcvy6Iek3ZgaLXmWnW1CCCFkUFGxpfO8rq41UCokkcsOxuwWo4RpxZV7/tmXVvDJF9fQbHom1s2goS3O6ZSNT3xpDZ6394YA8ngoekcQrVnMiih9nLA4KKmkbSLTaXTCQUF/aUYKmfd9Y06MCEuaQUMLo8mpEH/7b99ErapG/tEFUcsJ4JsI4YNXYBFCC</t>
    <phoneticPr fontId="1" type="noConversion"/>
  </si>
  <si>
    <t>data:image/png;base64,iVBORw0KGgoAAAANSUhEUgAAAOEAAACrCAMAAACnrgtCAAADAFBMVEX////+/v7+/v39/P38+/v6+/r5+vkWFRMPDw/z8/MFb7jt7u6jo6NLS0v19fUbGxkRExU2Njbr6+sdHh7w8PD///46OjtpaWn4+Ph2dnZSUlLZ2y5gYGCLioosLCwfISEXGBhcXV0jIyLHx8dwcHDW1tYHBweFhIQMCwsCAgKOjo7m5eXFxcUyMzKHh4Y9PT1YWFi4uLhjY2MwLy6+vb1FRUVVVVVmZmYpKSi6urqUlJTX2StUwcUmJibAwMCsrKtzc3Pi4uK1tbVPvMGmpqZPT0/k5OR9fX2cnJzLy8rg4N+Xl5cNdLr8/PxISEjU1NSfoKDp6emRkZFAQEDe3t56enpubW2ysrJra2vNzc3S0tLc3NzZ2dnDw8OAf4D8/vxCQ0GCgoKpqamurq5aWlolQ0bW2Dj9///U1SyZmpkkPD4MLEEVJy0PbrDm5+ewsK/e4UYLHSkVaqTi5jsfNDjqTGguSUwggMIKIzVKGiHc3jQJM1AVer///f/Q0NAshsQfLDOzs7IpDxIGabFex80uf7Ti5F76/fvf4jEvVlkvGRosUFLOzs7b3D9OnMksKxbhVXBTsbYNPl8cc6yvRljs71D///xhz9M+j8PY21Ls7mQ5ORQ9FRpev8MdebS7vEM7KysSWIfn6UsQSHBlZSTpYntBfH7JS2EyMRbxWHNubiy3UmNXoqawskDO0WEtaZAkIg42IyVNi5E4XF14Mz4lVnaUlzXza4M+T1H2+GgLY5/Zan5ZKTC9eYU7ZHTu8IqNM0DFx0WEhjJJYWAnHhxcXCZ91dlFg6nnhJf3epHkd41bOD1xJDFKl5p3dyvh43bHXnKkpkRGVlh8RE1DMDOdXGftk6ZvyszQkZ/Nz0ibPU1QUSVZaGl9tc+Zm1vl5uJDRSBXdHWunp5Ab29np8eqrG9osLYwcp+gytjowcqU397496XB3eaYwNF2iop3pLKSa3JVRkd6UFez1eSDgU2Dvsb//9ttfH+U7e7ipbD/6fG96e9zck26u3zl47DA1NcvkClgAAAgAElEQVR42syZW0wa+R7Hf8MgruOF0ooWUVuqHndrpYpaL6TeolbtjOL9br10EYKz5WI6BFihIaAPFROJBDTBIM2JaVI1m2jO8cGmJk3f2vS8mcbd7Ek3bbLb3Yc95+m8nP/Qnu150QVqE/7hxdH5M5//93f5/kaAU19CCiC1eFSW2TPZAUBFsQNOYX/shUPMLYwLdT2FG68ePHi6WtKfBxRHGNn9LB5VkHNvsr6ljsfiTsUWIE5B87lXL5Xry8vrvrVX/PwIZcQR1BXRmM2oMRqNNsHoCAA3pnT0UFAb/9PKvNjg862btCuPtiUeIRb+/eg0ksqM5q03er+VpgNbZl1yA2KMIUIKRuM3V1Qq7cuNxQOTUrm+uZgOeAS3FzQK9vUWK0N7/QTBuPyupel/NEFcDAEWx68tq+Qm5XbGjfgnYpVyfpOvCFsDLrRcuPvOT5MI0EFbaJK2klaHebo6VlT0cIBb+HxZJVaanmzP/nBxbV4uV638dD3Rg4V5PvfPLR257SRDeB1BY5AmLCRpIaz7l3IgThgjEk5uH8qVYpXpcLF9ePuJSazy/fx4tQqocJ4Pw1IEZpffTlrsDLNn/HEmQBIESdi9U4rsRLgVI4SZDwzKBZXYtLBaOrioFMt9P79YPkgOj5ACqc7K2C00gYRzaCQzegIR2r0J8LuxNrwtPnsrxKBrd10sF5vk2tWJ6o0FufLxC6fhUUkihBGmGKQIggzN0BYE5ieDXy2xEtodifDOH7B9A5wYIOQAr+uRQS4XyxGhon5VywL6nJuLw+GUUxxydHrCSjMWAjHqNTINjVDd/4F3DqvbOBmVOzp1DYUpY2smMVpyw2pP86oWAS5oVw43BsMhpKDB6GYIhqGtBGHR2+7M7JGE/nd46/DaGU1WTJRTDDpWUf1kCed3+fxdBKj1ORc2F4fCI1QbGdphtXsJO0naNUmIUP8WfnF4aavFLI0JQhxKF31i8XvCS/zvH/sWFpzKlUclCeHkIashwXjtLrcdRSdt++cMvXcE3zistNVPa6piIUqxWzB2YFCFCLUbzaV8n0npVDrXnyeH9XQ4tBjdVj1qF8QHwsCRJ+GZhWb8tNtYGQuEKMxWF+TvNTQ8LBx7qlVplSgRN9RhuS4hzHUFkZch2VpK6G1Jtt+m5ryoO5I0EyhMjMTdfrYgFQoeLockRIi+7w+UcuRLleu7FSnhVXo0lRgdFmRo2OWemUhLhNd7JEkSVr9xPCasKQ5V2wdaJCL6KB+vGEyoaSgNT+InwgwwjPL8zfxeQaThdG92wtEegzqG1bIkSP3221iwNLdggv/EhNqhWPXCqdKixqhc2NwWhZ1BFLTazA7WyKBP8Ezn2z2rhaC9TPBcC8TGjHgLEkvW5pVyudKJKozYJJarlp8XejjhZtAUD9qzje6QiiT92y97jNVOuJ6ZL1WfZpnBPiGhOdC0sSZWycVa1COUWrbqGB5mRNLIKGhK07B21O71/tttsZKk96+6tjzgnR4fOis86oDAYGjxcF4+zwL6tFolGi0MBxkwF8EWPBi6gKzMnuvI4aAZR8BsE6ipU3TdnClISYWoY54zlVJycLjp05qQG3UqtWL5guHgWkSEHCruahDZ7V+nNRrjtC2tvCEFblEez2k1tLk5qUBwuzvqM6OgWrC9uLG6hswa6oWqhfXlp+kR5RBHmJIWIBz7/IaB4jvVwynoUtwpDhVz0Hvm1y2z4IeoE5uC84Olldm7TqfKaTKsPF57EJ8TUUhwIDUtwOxfaPnfhhQmPL3BEIdZ3RsX/Rq1V270e6BV9vLv88u+td1/vdpoLI0sIDBPqmBr/1wO8HAKLY4HTnNRUKNzk4R/6fYnFGeM4gqTnx7uPl28NCa6E/FLb3YMnsnO+VA8hcLTHeyR9T3zjGG8RhE6QbZphF6pYziXYs8z7FjDPfcqBG29DcOhH/CIH2K8cehzTUoIqnxm6/Xdmdb3kuJsWnyUAP8T34ThGM62U5wHCWdDOcXD0SX2bD7+I+I4LPZODJ0j+84c4HxoIzbkKWCvshuz22CfZG3QF9xsLPuCf+GLirKx5Izkq1e7yq+wfrelM70oUzTRBMDFTj6fUEhi7JTA3of/0XZw+PMOhP9/tnyAg49jJRV6mwqfNF/EQfNXP+58bTOad7aCW8GdraXvzALkNMt0GvP+jllzobwd5jgnzfcDTQMw281Nulkw2IrVNPAKWiCvfVKhqOHVVA2f9HDnc86OQN1sh0KtSBhRF1B96j4YHIKEKzivL+H+zQl1ew4M3WyBnA4YSYhewilu2o7L79Lr3S6L1eVyuLze7wrrigQ7eodr65nD+mZJ13lC3UDzfXolH3qapaKsEVGNWtJfXp8J+fmlZcmV47mdE8eLiMHZxjx+e33vnTFFQ1LjeFFBWlWGYlwAVRXQ/eXkcE/J5eJrTW1ZZUOScmiri1pHDuTZ3DSDXD1jCWimZ3S26elsWdfXR1vm6ZLswnOagHVLlw5T2LGE1bk5f0nqVJRnAdT2pc9CZV85jF6GrGaQ3IATnCUGqUVD19OLe2rGAXoUkFF9G+r7m/lJbV3QnFELKUXQlFmcCTcUoxeHJa1RE3JhQkNbSDv7Il3TO1B6pXqkurJr6SiokxW3JiS2dwo0b/y6fuBOHU9YnNkrS0rNEDTdqBHVjydVCvKv3oTRTqiTCEZO0jC16L4svVx6rzAfRtVQdCVZ0jYkzaoYlfFk7bKOjkaqO7OUJZSm50q6P4Gw12xh5zLSTmpy3l8TaVx3dcUf/iAlV6fX6xqOK+SIUNSX3/flBEBzrrSmdzYvebIXsi7DeBX6XU3GiYSSAdlsvLRGFNLwWnVmaRv0TNwflLQKpILShEasVVaZCaOKnlJJxdloCdHXFAb0S3Ro+DRXQxyq+SNG686ZK8DjcjAsDpmLfJ07UHHc62uUh/13+uG6elTd39lTk5WelYvy8IYURFlQ29mTexJhYmNLMhT1T9QCNFxrbhtOhtzOcTXU3a7KrJP2ppbBUEb3WEPXgGyk5WLUhMgz6+iA0R0aPjX1gAt5IAm6dTXAY1scBu3tHrhmdhg7jyk2/+XU2kLa2tLwv7u3MZuYe5rEEJOYqEljosZbNGA04qVqtrd4bdRWWwg9sRXlhGPIobUZpIyIiErpQxFFgogPRVA8VB36UNC281CwLdKXwuFAZ2DgnGGe5mlmrZ1otWMunf0QTdbea/3/Wv/6/u//1iYgf7B5ECy5uUOdVJOXchRIXE7on4WmB9A2bJYlxNLSDht0GboM6KaRoTZOLdkwOJsL9KBhAGSVAhtB28DQWAvOBrBdiqUERaWRhC+Jh0Ohn9bGX7BCnt8C5M0nzT/eW8hGSQSlbQqGpNp2mB2fWOODL0E+pC6J/uiUEMkzKQ4EIpb/zzokgDjNrFS8rErE6oYkCVe189A/zpbXD3+oRpwe2kOLk2PsIToDfZ7f/XwA/trEVEc8Y1lOQ2KSh9ccUT1wDVMkgX+kknEaVHmzj6Ox0IAMhb9hyodcZvkO2wfLaYhLC5p2hVmShOoxUCzyp49iD5d/G83AHg4vTIw2owaLE/rK/vVF5ABoDC2O96fKnCiwXev+f1QR1H9uiokdJy8CaP6M+lnJANYs43N1Alw1OQ7s4fLc4mQL9rBm4cWPPIB2k1Z86x9fRDUoYB3+5dGUVSEGFFxT4/eXKWjJjPpUTjp8PoZJS2OUUBA+er23z8I1E5/q4wYDQpqJp8vu0BD2sAeFZD5A+fiXhf8cinp8aRww+xcnDamqn2hqdSW9BPndqO7ycLVtKXhInhqi2t4IRD6U0NFiKD5oc8A2ec+9tuB2h3LwVjCGsDtQJ3o+d2jqw/MFdjZwU7VZSeRUfD9ZRsmjSJSXQqSgG27UOQqGh+t+2X4dOPrVij1uV9XGtw8VwMjDBcRsUAmM7r49uew3ghLMo35RDlwhyCe8qdVVOZWyzahD043vr3c4UGQ1P0jynA9tc9qufxZ8G1zZ4lZ8eFdqRaxZpnq1/wo96ot7bOB3u9f8i+6FVrzW+VUvVjUS5KKzZwRHLQrSyelQIgUbF4MUulBJGEX9AW7G6e2oDbekMi+D1zKSVs4+DvDk70/evD6aP4p8CJu2uH0c2qlpPfmoy4rLLBnoRB4uTN1z74g5WDm1h37yq+GmEnd4lVRC0/jz5+MDcU9ZGObiJsEpQxNV2sizF7eIFICmSCNIeh8FhpXtjwcHLzcjgY3Iu+OgdUVsDf/x96X32feBiOvhcOjne6HxCfeqhsYpaEC6ujxpR6lIqeSgitai3Xk62R13CZFNSq8zo9NoNGc4vXhaEPFTizHhwObKZquzMovvnppOxMuQDMzmJT8NJcEW/vT604zVU/JyIxDYnf/476WDd3snwYrbkGgfZoYQymjvuVer8pEladAimlj0y8ewaAkD3aKduVCZ8sqVeGPWqjQ6XZVVLrZWCXVVKgfWaVpEXbixLatVq9NayzzGmIcExFMMSFDrZcmWkABB1Yc3wRWbgPwn8nAjsHdy8Gb95Djcx4PHZIINYF/4+U9+4Qv3xGgXGgm/hDc+Mb0zLi7uzuRrfvjymz+BkspAQVmn00VjKkI3OM1F+vTWERgw1YJy5Jaoqrh9lkecJ7HXz8lwBIO2LoHYD8lwINeUlXQJkYfW9zPlElTHPJsPoGu7wvP2LR/haNw9GH2Mv+Oe9kun3RNTbMK9woBRtDb98PnCn0M7f5v7fVIlgTRfMqHl1A/als0tua5vtGm42ZV0DG3OhJtcqdAoYPPXt/Hao8tPvltJsBRVI3j4vLWEgjSwHi5TZdvN3lN9MK6HraG5Q5Fu5+nh+GcWT5BBtsLRheeH03OHf/EXmhOLnwgtEZHEOi7+gwfyKkTpOpGCHZiJNkVRFhdrZmFVL5py3GN+qdnOLxSLC+sVjjGEhURy6fJKNIPXBLGDgfXt7eO/Hu+/4neisR77IC7SOLhTop4C7pSu53S7MPD4UXHh1KjceqdOBpeA/bkVIJivr7oSrEOIX9bfmmWl+fNAi77i/iU9eQoOgMtcJtRp+IqhgoIhRWuFyOS5np/CW7MYqwmQH0ewhxsbu693jyJ72zM6tSvBkTpx9Ua1xQf9I5avyiiDbld+9jbT+J1r4n8An/z6nXVBlmuptA3m8qI/INqA5pnClQO6Ggy9GXXVgyzMol2HnLMJC21qkbZ4xHtWFnByR9RCneIGpPZ+StH+LgaawPrmwdK7vcju3tL++0Q1Mm55zMSCOXabj6IwW/cxUegjLwQQA/Sd0mjthj76hz16HXtpC4ea2De+8XEkW+MN5liFOqlWKxUKNeoxmvWRgg5PnqeOjvbLUgW2c1m7lWtvTil19oePI7vzgfVn6fKVlZm3n/Z2N9O7IEEtjOy/+uQqFeOvBLu5LlSwLMpzvo5Ae6T4nTW0WILrcm5JT7tlwOUasNT1WLniu0o8UwRaQOVdsUje+KjtPk8m8VZm8YXazPu4WwpkFtwh3p+xj2hww1hVVioEn4Qm69a7SCSwOaOgm53Dt1b2w91oRpNU+zKC5DXLgEaW0Qj8G5Qgc3V1xHRxh11VLoilMrQ09VpcQaJZ6C1JtxvOz3qTIr2kN3pu0atJV8yeH6I5q0pnxg5SLB8gL/jCsEHNEaTEftOAzgkfzwd2D4QPgO5qGxsyNg2kkVcTkwWrgFOvrm+qMYDZkSlrLFcN9KjUjpg033KNK33ERKOSghxRLvrkgECdZ8+PrgaJLzak8/vy1IgsKBVsGz6/IHDOQ+GIfjRz5V70IMEW9Ah1b2f1FBfnZPV2RX1kxYtUKmDUWaVpKfCxRc/rqhDOvPes6HXGhMvPQGNFKacV6jLNWVBeqza0Qud1uxfSyFhzDldsErdIWE42kleLrKSguURf+m0mIpHhTm2Jq0MurP22De1A8HrSS9GjeP1mu606qbW1vr7VKtWJh3OTHJBctNcnyA6uH93W9ULvzMnmwebS0XFZIg9RcdZX3U3yKWffjeKGIl72YDb6tajPEkvoJEiMslq+SViD0K5DmMlGWpuwUHIJvCPjJR59hbXhkjbsoyLPhgoXGORzSxqdHdG4z6/M1IjKHyRMvAR5nhwJ+OH1N78K6wBKg/O7b+bnIy/LE1VeJDj5Y3yJCixqsGcVMHcG1SBQZneeIRvBKl8PaoR59aXqCiUOM5eUz1wu2nNQiN6RXd6GXOhGdW6+2sQvJWKEJ6qu1d7i5tBnD32j8xDEhYR18+ad8PrukPQRmqvSZ/OfgsGt4FbCA17EvssdnrH6BrMdjLpZZf1sGZ3ZUmzgnAnBeOfgdN0iTjc9wv9ScjknXpckxFcVEAYV60f0VbbozovZz6LObWlFf1Q5I77VzyiG4nl5X3PwSHh+9w+dEzgMVAY3w5m13uFr6sRROuyF6v/Sci07qXRZeFWKrirCXaqhMNxFpERugoAmhUBQEYKCeFeM4Ek6TjzjnpDQk046DvsB/nmP+gH+Wb9Cv0+vtQsQEf+OnEg8wqldVexvr9u31l5l7SJUWIe1tGA8Upp598tGOtR8N1HmHR5PKNaBR6x8XsfjWjz3ub4YuqpbmcsrERQGoXRsXy+Put9n3AaoObKBaQGgBdW//eu/4j7QGu/+9Z+/odbX1e3/E2iIbNDdqZTLMQzEx2Ztn6NEAO7tI6Jxx9EaWdNyWyXr7YUWh195pA7YtM3RrZn1Q/fVjkrpt9X+O2zYbHXaj2Uy/E0W0Nt7/xghzp3T6/j0xgE/bwk6OZU7hSyr1J5Ylm9r4HVGsahCDBvRXean8443kopQ9+wJsfr2jX/mYP2eLYEuQxkYwl/ZC6d7vzxFumGbdEb61Ytt/ULjBv9pwQD101ah8Ttpc5ITIQXyqm45M5sgEztgfHmMkCL2NvBL74bTF1XzzmCqbO6dWknAoS58S+8ufpHLgrduQT9WLJ+SHA1w45fMizwWTBFinH5WL9HvLDcpdGx8O2E/MFemCi0769/Uf92CYYw2K3m4TSak9JBKIjHHLQjcQgFxf4Lev3//TckV/FJY8y637Iik5JDcp6zGxHJZA1TFxnf1tgpwWRSAsTdu5Ih5KttqQfnMa3PcX16Sqd//sx3Muron172lJoX8sxzN30/S9fEusQO+68VDQzSTvrFS5ECTgrXPqQ4PkVhU+ocYaOqRjFtKghVXcF+nxWyBFNOKCfLbrKdnbPP85APofT7vXQl+nuTQLT1Voi2zSbMVrxc49CG2gC0ycr0kgNfJ2/Y2vDMv1klEdQXk6ZwhV7sa7G+ZKJUzkIZ92RJ56AVTFXI19OXreyFH2GlzZqM+eMv8pz8THsNzM6v5lmByCxJv/mO9uAWZaPd60GGelQKFerRwr477pLeM+6oIfT+IfeLqWtspUVv11J+qT80LohfxEdlHPAfDEoFqVAUkxCXzCOd22puyPTgtQfWcGdbKwEyvfcNWu2Ye3LMs+fypRh2X+lD7idFSxXy9Ywt6j8koUfn21YeZip6xH9lQapflV4hfyHBfPqr4Lq/3MlutfmS9cenxfLnxhkgNJa3Q1sTtknG2lm+ONnAKFg2u1Vfa3Yi9wHkqFhZtA/AEJw8EtTB2K/YkviPVUsNaWHM65J2YptmkB7xtUwqGY5Y4POlDrmnM65i7sdU7WjkFRtGziavhoJK6ud4s1Ec7mMSV4KCdDL0Utk0X7bPIz9Va/q4nfz1W8BSd7k6kckWvq5ApGehYDZkp9KM5KKshRLgXjEPatmWNrwaNx7HSuCIFcqDP2zZ1hNIrZ7QaBUh5QZaTahVeY9cr1ozkhSf7bYsN6eGJmcBuyt4klUdGFp08HIQI82AulzONE/CU+2Cxwg3sbcJG7SIHd4OCvJy3MUBGdGC0EGZDEspQvEOx7AGUJbGE9iKuyKKPetJjAwgcMZqAki7FtoQpwnX92hSjkP5tSAZl6hYQYSTdzwdhPMMXdaMDQYgFm2nSxhB3Xa/eXx8kjk3pu7wpT/2Uvg3omx9+AmQc/c4yCEkfL1sw56XwqNSpSG7UousE8hBEaOqIbUQYF58h5KLCSJMX4CisyM4xwtiQVokDV4iwP+bhAkOfwA/bcIXg2dB7JlWy51vkZqxaelIYqxycGyE0jGR6iYdELm88TIIviQjLVThrHy0VMdDUoxsfG0pIho2dR5whFHauUFfPRPlFqjOETajZ7wBOpEMARwhWJgil8zExC9F6dVfhQhtnvFd06ny8RuENpQLLczIpeeyPK2l8874OQ546+Hxn3vwGIdxoZyyFSM7x8HVPgxO7iT4sqKAgQltaLVMO6k5At4sylONSe4zwMNiGQ780QgZdm0F48GOVejqmCD1aSxm021dwFcOhjxvHAvSiZ6yqN7UQoYGfKkaoNKxgfIEeetxOh35ec2BdK5W+7GnQVRTTi+IReppowEt7TISwqh63RdOLNNFS2MnDT81fhroYB9MUobdceH2PEExdhy2AQ9sR94I2BQX2ULVbH+XCTWu7nB59+SXjIVXZAvIiuocI1Sa4ijIHbgeP062Lpvgbwk0neCy+BKR3YAZhZVZL0Q49GqW7yTAOxRcXPlpw8gj87LzH5IHT/1HQZ7kt+8R//cGfFjr0wULeS3Z4iIlABBBhC3JBS3hF9zSHQUQ4lLZ2Hobiut+nIxSIr6M4lLGnQVf5mAYPeRpIBtCXnn7wNNNc4+d3PkeKAbu7mNgzT4OeWt2FgoPOixU7RtskWgi8w1vMCMWC85gQnrFLqpOQ4PLSb80NPhYt3EX0NHefqFgL0o/wfc+R8rAuXn2OEAmroatxlwmkX2ui1oBV5421k8bjGCUkfwV+SI8Khwj71sNOHAXVk+OdlxVwpY2HcU80gwoSkZUM6sFP+xoNmRYhzEmn3/cYogE2NGXxClI8JCRDtX6UpcTCK3bgziEVbUHWpFJSV3XWLMCKZnc6A7GHkuoMOAO2rGyJBZyiuIm3P7M7izHLC1xFnXiK6DAu4OeG4jc+lI8mE/nk7hx0Sgr7iwiV82Oy9JUtDCnKbv2nHpGEp1vUT/MhntHaquLr6VbO0Ht1V7gdZaoZVABMHhqDdg+tzITHR6NRSVi0lNsn3yZDDDzBq4Vm/pYfcbP/5d/tn3LcHzpvalJozVsf7eLMI2xq1u+yREzVgp9sWXKMk7O647gyqONpGcbbrGxPlUcrpH00A6d7d2LtPGXAhunWOI7RbTARnrKKeXqYC1Zmmms/lkF/ob7WgufiYjNUxoJiVIPvtPRjlAUKeorXmcjVyOKW1UgvK0LTgxuPF7JDRgUUVpQRFB5PktmROW93G3xl7bQLgh3Vd1vLKijjgw+OBQB5GPqrLIYf7ViB6lLPFMFX3eRhIl76zqRtjeV2vqyW6BtBPilq+AreDLINPM4JBxEYJuhY2L8SWaUKgu8gnnCGs/6w02Wa6xm4D67R/dPmDwaDF8YNy2kwB/19yu/K3QVGjnqjuqzEWCWtQ8xbpRKn4MKMVIADF35WUuhEUQ/Latl8EcvDis371MYc3upT2TLU1QNMq/r7mNfXDHl1gPKPaMZas511mJs1ZQ7hqXhMWbi2Oe/0OGg8Fh1rS/khDhKXVEH4DKEYe0Y0oWiig8TXfxK+R73bidLz2/lHHF8LP7oEzOXEPtU71RvF1tQvTUqocSAnomkoSbf6sXTUpfDgydL0LfkFGrMmnuI9rcXneRnykFaLakJYRoo8WNyEsJ9Y6IBytpOsjB5gx48Iq8FeuAkGIeUXM0AcSIC+I2e/AQzou2D9Hy/XGtJWmobfNOlJguZuc8MkJzHGJJqLifESjFWj1gtJoxmtt6RaDUNDsSy4AX+0OBJYbPyhUNg/Cv3jyGD/OAoV2g6FSmmrC8XttkMpLHSgMLAMu4Vh2P2173dONDHGgRnoRLHHU7/ke877fu/3Xp73g97oqJjWgZgKqXF7dSAGp0Emgpi1BdRocUAb4HdjGO2lMJr0aUmwUvBpU4p+/NkvyTuNh8Mk4jggs+kt6NKiUeb+xixbCKbdzDl6piInsOB2Lq016MCl9SvkHDA7QNSJf+xt7YwyCDF4UIECHdIRQR07uoSRIb5f3DFl7aFop9GHCG+zpjA83dAoRITECPlON9ngancw/il/KZeQukr4TxRGHrb3gt3Q+fPZosdvQqiJEosRo4twy0lqYszZWGpZ6pbIgevVgJ+WA08/2GNrB4KyUjAF0/jvCIqJUqvFUGIwjzSRFtFJU8hXX8UX1/tQS69XNPXju4fdY9Y+MJ+FEG82kLXboTi2QLd44FQa5YTU/v675L/IlOLR1jOpjaFzRfoZUHoBISnfK4qc30EQ3hbqBW6MkfqhBwV1WXARKO8w+FxEhgi4DUoxyu+x1sGQwusdEQYUjTRx4CYN0EIL7CAKQwsfjSuJW0Qi8BhAoy+OkOTAbzIM+1wxiAf2ZIaO6uxjcD3xHko62rU2m818RgjyZbaozC3k5PBHScjlKz/ttRGEPRhVVDAI43q8FfUwCOtsdeUuQL1Da4KKSRCO1PotdRSt48rFqBOTJjFoTWXQiQitTVSJGrUUEVZaOpyNxRHiPsKuFMdgtsj/JecvEJ4PxH/KLM7/sz3xXu1KbG9LLTa6WG/WhRCX6hapQtDTdfKdMbQn1iMEfsXpcSxCeTs6zgo5RGWRvsiEXgjeIbSFPpRhtcJd2tcd0DIIAcYFLRQ9wOb9CcLxGmARVrDrEBcxDDuG0CQWQcgFsWmSuB89gtixjNDNTx5GXcbdlHMqqelLHpbvogxlodPcvQtXAWb2dhacTlrflP/WRKhaLZFhGz9SJAlFEJIsyoBCOC5RupQul7QF9IiwhpaIoEMwoVS6HKaSUbSlQsQZQxkSu6lGhGpGyxiEMVCHQhSD8AuDxKUuhpACHQba+Gw0+lwugwszw4faNvDM/tKX1EwmDmFGJHGNFTmt5xbEamu2ljdX92r3RXnsEITUpRIY2ikbJPEAABXbSURBVAjSIS/3tC8cE4zg0uChhEMRKUlNCBWXwGvGjbscg6ZypjK1ZG1X81vxIi6oFkuus0MnMRgj3pcWd4uj/RARUjBomSAIwwWkmBBqgJ3kwcoUzmMRcqEkMmCs8lf+NDs4kNQ4Z/29Oo3beX2piJWKLWzdebK+vvzyxVz8KDwgPFahnU9XmezELemV+guZMcSnqWCcOp1APOFiroyBUADXIixZwmLpIEN2CLjBaXPrpm2D0E+7zCrVsKd6ki9mSAJoklosbrNqWNVKTRAfoVqiJ1qqPBkooVcmizJEM7ukPxfNqMOp7cx2yiByayZ3f7Ef6gI3tjOJ1PypRlMeNKy+3FjeWV3defhkL9p33Gg+pbeoelEv1CS8cQp6C/QUPcXyNmaitSreYAfjodYOUYMRotY6ndDTwwQcfh2ESsOycIQHQnOnCF8To03DPGag3QnjRnIrrC2z68i4Ug1pd9PZC/rXp0lZH2NRSVXeKmyafaqM7qZUnuR7Tbm5aviSJnz4NLWY8p92emL33n3zaPVDnfLR89K4oZd80pWx2yKbiCyzNnQ1cD6cqDJUMJJzol6WS+xxjzN87PSyNcITW/FRHBnKK91zOXCcEgyd4L94pBUMR7DBkNvtQnAlk5zYTSWfJr9OJf2JxLeJw9TTp8kbi32FCC/cAuPBxsL3aO74MQwFL5NimUFGB0hFlCxuRRlD76KNhVXYozkznYcnr0ghh3PMJQhloxsu+zoemE39sfc4OeYBN49QjY6aj1/DcE/a0ZCqc2Sam6nU7LO1t29X0ivp9MrbYHol+HYt07jdd0oSYuPC5t3X59Vqrj52he4mZ0V4rISFzZw5BGUGM0PfGRF40Kj9IeemsSQ3DssPL6Ud5CAlCtoUkjwSJJoBRLiy9izYHGxmvtN4lf7BtW0/tZxi1s0Xmwu4PcVMP+6Xo28MlbKofiD7uCiYstQyn1AhDcuB9wccfpf3FKmvXNZWNUOCFDqUIltnD4ORS2RYm0CE6SC+CMIgQRpszqQWCxFyYGZrbmf573vxSVPVm809sjurhZSwjJvLd9NtzDIYd0hu5rcxfaa0CRe62pgTQNqumNEpHCV3KAw2A3Juqd4yPUqMI+dCCNoTu8mVIIOQlSJBuXiYORVAor9+PXqw/o9Hcx/evHv8urN1uP9cfl8xB3hRr5h9jGaLqIKt/fIYsgGH8zkAyr1SvUMpC0gkyvh4ltpfLQu0kfDQH7CqxqCGkKWbiAyz+NhXMJhOJRYHijgnoDtYf/XwxfM5x2uFxOMdhHFvZy7/imu90cVqClT4BEr/eOh4o/kM+T0emE3tfVWTzkhLF1tIx60+ppB1sTMo09H8ckkMpXoxyciQBciIsDm4hgj9hVrK4wpHHPuf7uzdfRwog3gYPvBVjuF908yxEuIiD8j6SW8+Do01mGhvfWuVzmnuDOh+xfT8TvFSUGu5mJcJ41Coo5cs5WrG4yAzkGsE0qj4HFxEGR5paJARIP6WSRbaUjIPjYBW8u0dC/UKXYmx/seNuwf//u/G1uXco+BBv0xRQaRJtgBhTDcddTgcE6ph69SZh3pwf68Ex/nD6L2yrZosOWlKT0eOdyrU2CVJgNzoSCSTa0cWhgG41tycuvHdyVQVB+TOUu/OI/3WnrPPtfD6zv73y39+8OLl8pN7+bPkgdpISsCc0MnugUHCkiyav0Sv8VdrXJziSxjVxRTmMU0c2W2hv1tmVVWfCF3llb1dJVy4lphPpJub0+lm/EoH/5pOPws+y/zpB5ThiZYL952tg/WH7x4/EoFo58XG8/W7B/s7rx5szMVLK/IhQrfU0USumHOjOFkawZDlWrFNEv/8IlNjOxMfFBuGEqs0uIRsEwexppWRaQXdUHmyun5EYLmSmp/9uHb/4/37H//G/Pj5/sef529s+/MRoq+h/PTy7hy6pHP1Ys/cxoOHO1uDfvedu99s/se115VbTPgMvzBafV8dkbpC2aT9pEVDFfTYkd8ojcAnbTkLIo4dcpdBAe2ByLxUoBUyxd7u8oZ6V4Av6YzMnGq6I7R3tKVTmZRLmfTqDXrDfOONeYXeEJDpRa7MQH4bIufqrU9zrxY0LeGDzXuNsfDOg3dbhAviXN1487/nq5F8jcbHWFPP11+qEOa5pVy4KfG2k//lMS0jhGtGSDBe+hp4BD1AcYuuNdBIGxUdRBK8o1YTgmJca40D2y5lj3YaNX0M86d4tx4XLs9+nUkkUpn/M3etMW1lR3huLrGNsDEYY2zWBtuYQEyuMeAXEIztQPxAN9gmxhjbyBgIEEUQKSESSEG7q6gJjxVZiRJ1A6KKlE3ShmizVNus8lgSUtTdTaqN2mzaKkoVRZW6kao+VKlq+6f33GsTk8di00Zwf/CyDz5z5pyZOTPzzVAqcHFxcWxscWxxcfnaY2JNKBUHy/sPl/ZRW/vuv77jyLRLl+7ZQczCWFf/+u/rS6VrvTPImgx1EOy6fZaawWonKy6EpKXl0cQ6D5ld+tJuFGNA8f1XvR8oUbVyh02s4hDuNQkFYQVHVEQnz+EJCXFvdA+S0NGzvLg8ce1Yz7Gej4/1HDxKPQd7iNY13qZcsuBvXyEKJwt0N66Oz05fGlYDq3c7RGTf3jM5xORrohiTNZXlpkJ51cBqWRKnQl7Y3WQOCgQe164mhZKtjXXekOzwpQGWCCnBEJqmWSRHllOzUZ6jbQoHBULh3tGoishqiSJhjdElw2h4Efm9Cc3Hez3Fof37B4SeXPvBykxryGk2F7WXvcxq2d3hn84qmkx/fzj79Y3zQ5fuNcJxMaQXULRGgfWKyyMWGkoTlnniCYVozmX9PKWcz1cW8tlKntfF0EdNLyovsNGjSKZ4G2JIhq9Ub6Uj+pScbKxjy3PqlHx2TrlvklHvALbJ5JQps/6CLn9YMZFvczcw2csnsZeEehkxff3ecMnNm78p/fqb6+cvvK+h5mccHhoa1rJyXwfIxMk1wBxk2KCdmB4yD0a7zHRdEhztNIQ3gb2VnHJHwrJiAR+/0EFblozeSQ/pGrgNtoCHmTKOUnV3cpNMSuil+D1g6lmcGLu/eGxsIiuAAJ2vnFeXvOPXS7+8OT4+rskeH58+/3C83JA9fGFo6HrBm2Fg2Gq+tYe1CopdZTMe863TDJmU8vm8Tn+gONQcdrcSWVUy+rpJ0glyCTcV6mdUhQbMBNuffNYFBhmK5adPl68tP/7nIm/gdbw/LpbkGE0/m7XbKkDgsg+fvvTV0sObpy9NT39HrF9kGoduhPKnQ5sMlhlpS/QxfpGd5hQLZY1WZvPZbLmcrdT7wjRchWKyIB0SINBkDB4d0JZqy9arpsOMwmlsC9rrAx5BBiUCgicZAAz1+WQaXeQwHlANQn1OeZDWUrtmKQq//PbnQ0vjVYXl62L/qdeLpRyixhVnbIyz1qbsrHw5r4yWmzQ/PO1F4UAoPRbWpsgezDHJgjE1GA96CgcbOeUV6xTMfHlKCUzYFnc74HGlFMcqpPV6hLD9JKWf23785fSNG78/fWHcb61Ppi8F9Y6QKocd6ay2MhdmsVWn0cv5eaNQTLBr0OckbmEcAZ+p36zdOyQlheyWzuq9zDAyI1CTX8hu1K1XMBODoMWusjVYWqPCTruwyAz1oWiIdLOcKgdUBCh+SdRC4LZOOs1QFo0P6iXj9Rt3XZ0d9/nGv/mtaW+StwMkZYSDRkLON2VH9I36OjmfqKQWBzlWSrKIelY82o+eWOKZ1c4mKFLS/XlomEjP4+UTOajURBDWjVZj4LGJ1Pt5Dl2w1V6Spy4BRbVBAfqQvj7fb28CLL9GJQvz/C0NPND4ErzeM7FjFTT2AxjGqxozsWQjcbQkxa26/hKVpa7OoXPF8ODUt/2VnIKSUOI9AwOxTiFX1qQxuAGw6po621S8HRZ/ezp8D1Boza6RBsGwi5qmC9q9FoHWbFEW5Zm14FDLHCDkQUDlUEMRq8OuyGBkP9KxJFMilLYjxWlWGVeI4RiZrER78c4WBSMKsHhQIGg3sasSCv+QqkJ5hJvOVAJdHZaZ00FbcEmtKSXdApCf74duJ0CTvkYU9vm6jWEteL0aB2TkZ5olbnWDtiy9jrumJOhqHsfGPE10+R0Q5tjXJEkjEkhza8ULCvFOWSjhWkEPI8UgYZclfaHEoHsStJT+zN/P4sq8kKdrG+0mJvOhRqahjBQ97FI5NLDPDN3tdAm4Zm6DUBh1N0NmPXU0Rt0e3M91BAX9flLo7kotRQdVFWp4aYVwcu1tmPYbv7z/qYGl6qRTunAwTALPKLHJtIoObydIq42jgQJBt0Tv1PDsFaq8RndxxMfLAIOTjjSouiWV1NGNtFvyDO5mfcc+s0hWEpZqfMVSjaQ9JQpJqC59NSMCW0sQ/rqbAjXpgsxkvVoY1i6EyfqoE7P5weqCkCCUAaNkRkMRuAajAVZXBQsmuVZIaxYynsIwGLwd0KrW4oFWRwlEbVJKe2WHQJgdSHHLktDPtm7Ie0GCeUdX0kzEXkCMsdXjlXjAYv51+mUSLMbO1oqWSqnLkBG2cCmbtIxoG4X6bCNWkS1NT4mHaWB5Uwrj+o8ohbw8puQgRiM5GLQrMJKS3i90nhmJrdZylPjMYJN4JaCHUZVDBs6wgl5LAxdAkVoDGwwaIxt0QCGEr/P/2AMh8T9XDgJEW6ElIFW3asL6wXJbpL6ros2mdaveM0RTmjArs0C1wVliIKwijG+DQhx0zZTdpQNzscBOWTtRi1Ps7bQ7B1uj0KXippIRjkNzNj+yMXQjNaiEzeG9lfxRJsc9fsjx/8GhS90Gy9lZ/o1SGDLsbHs7OcA0ShBF/eK3jhh2ESGyyBQFonenA9IwnEylSv2LlbaoV52+2NZod/gqE0MlLwznVE0jEmLRPMYeZm3biiTStWcho7pfYswLp0wiutnlzuQi5nsGtsOWaJb3GgschwERUX5toidbCBvYaTMzZK7YK6pTEnYB4FtujzJfXYXvwfMzcwc3VD19BpsRRM4+ebBw56LJubVIxOKYJDGoc/40t/v+u2Wpd52kbsmUfj77xUdHzh356BctM5TdskVOY+4MdYF2sRBJLAhW3ZrbfeayKSNlCul61Z6p+XN9H/T1nZonmLJvW0KsombjErkhHRWPCtXdOnPi/vNPCXHutlR3gbh4FKwXb4+8U/tO7chClRhCox7Ug3fzn5OQZjh6eQJVMy8zPX00N/YuwZECmVobnOPQT5jYopKp26gNZu2phWx3eR1fLhFvPg97SWDxju45sTKhgAHi8cqenvyZcFsx4ClNjQQH/49X5v/B/mQ+RiH/kydX5p+w1ZuuNigCT/IOfXjiP4/mekR3l1fmeiK6+pSNPoRG/NXnB374oyk+Q+HIbf7ZHxw5/Pkd0aazkOztNVAE/vnpp4/mbrlX5o4RXmVWNNWOjBikmz47deDUPHvqd6hFZN/IlYucB9QfFggxbG77ShzvlR768MxlZUT+7MTz53vGTA2HLj/rSHVroWTkz470jczzLx4eQTw8fGWKvXCq9shClXBzKaQMtTyKg5c5Gijif7yye8z0B8XiypgmdR4KTQ9O1fZ9EeH85EAt6lh+h3P2ADqOyiBsZv9KilNGisC/FHpBEK3JeTZGNG8X3T/TI9sAhVML5/r+W9z1xKSRhfFvhEUm44B/UGA6FsdFcbFaGASMLhYU/NegBf9hRSoVWCTG2mj20IPpJk3NRonxYBsxpgkxxBDXGA9mOTVm1960sZdmY9LYmF62h71smh7azb5Bt7vbZLNgdjsP5uVxmMf8+L3vD2+++b6nb35VWRB14dijraq9eBghzPXy6dtgoDBxS/SulbW6v6jxlTjGCsgChDBrDpHVMx2Fnr55fMxyJXcn4wc1fQu7d8JTyYt8ymExBrrbCOC4dSQyrUokLBM3xxOWsvNwiBygzoXNN48P83s9K5OT0ckVORh24uHlrat8WgsnjKoQwHy3ee7JM/HJk2/pyPbzu7nb5+AQE+YU14+9frxGPShITkZDkwe5TW1HS6mdH7mMGcX8IWyWbmzcblDcXVwNSk8eJqSR1Y3xsuwRpm/6aetfHb4rryk5jjc23mlcOsivke4dHq6oiQwSJ/9/mhTa8lX9t4YLNlaDRWmELYvTRWmEwqymAdc1Unz5WFyZX7+3y7mljaHlg/XcyqqVPanBVwHwGU80Yjdg+Aop7okgDosSCGEQIVRlixArlqlVx8mF/ErL3ovfYghgCBnEUOynV8n1qqqFtb0FxzxvwjjrlBjnfrFML65GEMKT8khLSyRrDgUQkL5/eiSuL92Nvr4fvhBKQ4wihRpf3jkWr29urlkmIIcvSdSOP99XRRZb0hyWRb48RZiNLsWAKP8utVu29T4V4mpBX2iMoneIO6IXljZXqnZSsfVLfBlFIfjmHm6rgostX5dt30uIEYfT0v17QU0WNXIxmFjY2XwhPr4fXr4fjobCIUQf10W5D1PJyoNHr7Z4QyiCvrm3+6rp1Z+DlYm325WRJ6vjRftvnymzkBvkdHfVGwyWo1QsNhVfmorHplJLS6mzLnVQVGAwGLr54/Ba0ctIieH7H1Qj4y9VI6qT4GXH9MvcsWw0A5YjIYjZgbJ3a6gl0SvdJU9HyS3fA0KGO/nya5DbpqXlM8Nm2l7dxvpcV7po75CadUu+wrKaBbVWpdnjkcvNcq55PnRyeQcvwNLFxrh75H/a4r/FHTuxnNM/HoLM5/vnhYJhn5rBdPSn6CyENueD1hQJQXBjdpbLIZHOzis8qxKX2fUJTsueO0Wn8dHC9JirG+H89BIoAG13bROMuq87AhqCZehel5xq+uYKXHePUTq3vQGGrNUsrdO3dbZq7ZQuUPHvVGIgkTOMrZ1iNDYzpceZgNlV6gWcDZhufXol4wSmieqBevMA7dSNmWRapcY/SN1kQOtX5+GS2iqFurybJFqJcmVvl2jAaJNkZBRHWhusVrtEovQPkjMk3qahL4HLaHMRfHij5jqlQ2f03eoHtl1XodH26YHqpXB2UFlrA7dRR5lmHHW4iOwZZaBCBxmFxxEOPM/aVtsKnjrQDQegVtPfAa4uPR+bGBxC9ShlV+pL1KXVXUwPeJrBIVHmsVg/owd/O5Nnnh/RDOH0VSMN86ZMLhEZxR6P2aZkmsGjB11Hj7rfRQ9CodHfzQtCuo4dBL16VA1QbVKQnWo7jIj0Bj/QwwC+BnBRg9yj+KTMeBnmHZkhJEi0HM3ofLndSX5uQufoZmCCPEdt7/8CofWSch6afHofYBMMXNPMk5QfiIt6sBqZBnc7FJq9RibQLFfoTdBtzgyhjJY5oc/IlDY5qFIby8VQONgBRyAwwIM7g8kUuAJEqOdC2gVOGbi86KcuVIBsqKIVx0EgE00MeQncKcAxEZ6htZAJMadsyNvJTSZCaAWFXi9R6K1w8bVP89cMwZwlwz7KinU2wrLZ/f7j6QbBx19w/vY7Ip+ArhOD6dkAAAAASUVORK5CYII=</t>
    <phoneticPr fontId="1" type="noConversion"/>
  </si>
  <si>
    <t>data:image/png;base64,iVBORw0KGgoAAAANSUhEUgAAAOEAAACrCAMAAACnrgtCAAABEVBMVEVHcEzl8eFan+/53xIedM/64A/////xwx5Ynu9dofFboPAcc89OlukZcs88id4tftZVnfDlnDD54hJQmu4leNIRctAZcc3/WzMgdtEJbs/k8uZJkub32hZUnO4ue9H5+/6rx9ouhNHz+eMxgdjp9OJAjOHu9f14sfLy0xyQt9jnoy9uqvHi7fy41PhlpvD54Sb63gzT5fuGuPPvvSLysyVGj+PD2/mpzPb+4gbz6Hjd7eH2519Lj9Pw76+UwPXwxjDs1nxzpdSfxvX440E0hNz67pb0zBvT5d/TzEn998z1Zj3+djDwgzq6vmfr78misHXot4AiecOJra5LiLBsl5qLpISVc5eNkLrVn0jo2sjryG/27ja/AAAAAXRSTlMAQObYZgAAFzRJREFUeNrsW21v2zgSbhUnICnLJpZuoazDqL3EUhZ6uUqApaDXE1DBh82XbLBN8v//ynFISpZkKXELlFosdlLIJsdU9WiGw3kh37z9m9ObN0O919f/moqur00gvH6bf/htIvrw+/XPR3j9+QPfXU5EX77G1z9fhh8W585UdP6O//7TEf7+5dyeTUbny99+OsIPH8+nAzhz3K+fr//WCO3ZF6MIbXPU/I/mENq2uzJIru3YhhGulruFQdotV4YRrjYWMUp0CxANItxa2GoIWT9C3zeKWGvXJMIrhscfEr3cjYb5TS8a7sZ86RpDaM8WHA9Io8HwMmL0skxH2AQtXNscwg3CQ28fDT/ywTMjzhjjuhu+Nw2LyhaFn/CakEK4MY8QvSSxcV1FCCdhkiQYfoIQScJQN8S9BEs0MSHJnjCMmQThgEqN4Wp9Qygp8yhK4xJDt2ik0Egk3rBIRSuvwjBuqMisCRFa6Ki51QbIy9T3vDPP8/OQkgwagvw0E7pZpp6ivPS9mqIKwBNuHCH6sbWCldGZJq/AWeTVjTRjYc3y4uysIb+gaKJ5+COLIE1yeOi8iKOzPAti1ch98ZmHpYAbVWWV5yVoKeCN8jjO0AQIORlevXqTjvS7EQURenFIwyoPWOWDJEMSxhJbIa5pliRBkBBhfcS78PIgCfEUtrRBOK6qSHoivQ6KYgEqwhRxlLA5iDAKmcUT0evHJYjSF4YmEKYV8RjeRcLA/E6gpeQAG7LIsLEhLfiU5sLIpJRKuzsHKaUJsxhORXeMczkrhd0pSI1Q4NcmyjRCQoYNJ+quDS0jKhEiAJFS8YYoQyxuEErdZUmR+tK6RBVtEOqVcuL18FiDilAB+pjxOQuKhNUNCvrpV1x4AkEGnQJtS4bImsyWfndUgVAA0kqLskr9OAxSIS/RKFKQbEjiuMyyKuojtKy/xGqB0NAC338NiBe+mmviUiXStng+NPyKBv6ZF6UR2KKSNpZGjzS/4rdsDNI4UPN1XLgsiX21ygtnBeOqbvhFgiu/XuTjxOpZmilkiI7yRVuiVZ8cS7dNOG2BMK04040McxLEka/8tISLn8eeHxUhRVPNQ3RU3D4QOonQQqzpQZgQHWeIhgouiGqEOuyQcQVRdzAvQzIKELUWRzIsXRH7Ua5jwqaBVNzIqQgRKaojxyZwnG7FH0+syMtY0IFGRT8a40+GEB2Tb+o7rMdnq2orZhjhgistJeSFKBG9gujldE4vgYCM5mlms6s5Pl4UaFyCInQn6DjfiLCl0XzpgmMiZpmQIVaCVBf4IHoaCs8Vi/cgLljzCYYLeLQYRhMkOgjW3RoHBmbrllaTTNwYzXnbq91cPh+IYJ+YVghkj+QJDNCD9nzNwHjfASDlvSykempmm9B8sTKb1Xfc5cIoXa0c07Un571RcoxX1yaqkP6D8B+E34dwYDtIs03D/mHmi/c1itCeLQ/p0nVeYM7Ug9ruAHNV1+pfHmoS4Wq3nh/QdieL0SPMKxeY7uUQc6OYr9zXIEJ7tcBDRLaurIHDun1AdAGPuVwPDqQ7BXBDBm+8cQ0jfL8YzutjJlA4G2swfMTzK2dmb4f9TrxeCg13FtbIfXeGV3x3g0di3/VsdrnGI2nwjTNbzvFAngryxgsB393ilrveClnI1vBeDAVCVeVr0nKa2S0QImznqCUnuw5LZA1DRfZ18LB5P7Pr+0I3VINbQ12zezGW+knak6ZG6DQgEIMCb0hqkAKhXTMFPCj+Wgy1EDYSFp00KMuANtz1ahKENCyr+i/gtQxrEIiEZRHHRRkSeoAQJVkF9d2wjjRxGyHUu2PPi3GzFWNtOLbQCFmrkFnMUQeh0NsgVZWWNDhASEOdGU4zrCv4HYQWgeR4FFp/HYReMZeS2MuQBVCFAYxeHrAeQl7VvKiG30II0zNMBcLEmlhLJcI0h2KtX7KelrIsgm5ZdClZ19LwAAprRSavCe8gRMp80SyOMy4tGJIIJ5AhUgjLDOoruZiHHRkilklsmSxD9BAyGOMFrII3pAWsEQp9VT6ALAXXRgxPhJAHcRwnIKuzSi1hLRnyEEr2KczFOORdLVUyjEtZ1M86CElYFX1K0FTzEPSJ4nj/mKiFkCZVvdGiwrSLEOGi5p1FHYQEl95Zj7yATzIPlUuClMIVCbN6tlTOQ8/35faDvqURZkgWYQYQZpHfoyikZCoZwrPCPgovo5bVtTSIqEkmq6AFPVgPcRbnRX44D63GhRDqgaedh2ojJVh1L5UTDSGC17O9IoIBwhhQqKW7hRBZQZVlcstMldCuLZV7+RgLiipU34RPhCdaLcDvrOSagA9kKJY8ueMHdgN5FYWX0dHSWLBgR1SkXbPeim8lue/HuEkVT4cQgxJGSeNdtVf8VNsMueL3EGor5KX1y+l5bcqnSZDOfE9mS4VzlUZRFFN6iFAoYi6NRpQfeG2IVpqVsVr6XRniMPW8dGq/FMq2YZBlQdgEcg1C6Wwi4XoXZWDRg9hCeuVFFRDeeJ49LeVZnme8jiGnmodyS11n81A7tpCBLXD3gmhkCK42cFBTRevHFuDb7MPHCVeLffDbBLntCJhy3sR4Ft46sxqhGEgpbY+ECHi1v68c2o6ADZ+32OKRWvTWnu0fs5vDIJDFWDVSQr364M4RCMbui01nMewdw7V2ElkrVEU2PL+yZzZUF1UtUdUBddkQr5c1Uw9o6v2CKY+MOLs51sNUyVGpubiv6UzUbLVgsPcaSM4motSVyYThasFloV9pMJFM8VuVL7vccLmTA+q/Os0jfoIgDwcprh1TG9zlLTVCGOqaPvckZtt2O1/r7K34Ol9vt9vNsmE2/eI6hx9uN5cyr227V3LgWv9EXRcrnbp3l4vtYb740nbgCJtjNKtvuwPUnBMc52nmapgp7juTTPXPfafoXJPRyoxtH9Yx98WX72M6tuPsuar4CoDeXT4+PT0/P0h6fnp6nO0MytB5P3CK1T6KOXCS+E/3vEurx8en54f7+7u7m4uLi5OTi4ubu7v7h4f/vjU1D92hA4i7S2UQRpiygmQPHV3cfRECevz4J9DHx0eQ3L2Adqvp9OTkVH07+c8fvxqSoVi5B+ora2VqdoPMrWS6C3bIQ1/vPt0ICT0/S7ndfKpxnYpLQ6J1awqhczUf3NkmIYpFbZwpVtIBJmX3F7enn4BOfzm9/XQyRv/+31sjCG13M7J1T/g0jrsle6eltb8UfBrhl5GBU4iUfbu5PW3oZBzhH2bmoaygDO5LE553xy/tVKf6Tuueg/jXu9uT1+ni7q0hS9PK0yDO5jLVcBhbcKZYDOkwBPKlbI+Qa57MW92fnL4K8Jeb+8+/mkZIsQgQBYVJr7qGEIYNv5IwsjoxvlJxmgRBFugbsW9HCPH27ttnozKEOYYzeSzLF9FqV0sRSlQcLwJ5vR1dI9QbiBEpIsFL9IGor/dHILz/YhihkGCh99fXKdFWRjgsvDP5FwXsoLoG7wYyMVVdBaYPryK8vXj4aDirL55SHpiIorNC1gjbOW8WxvJgheenQwh5Amed8rqeTY5Q09u7p4XhGF+VJvJMzCeV9CQdhIIZFUEQBjqh1EbIEnkWL5zXmSj2upre3n80X12D8lJeFVWmSmSkm02UzCojh1VuSuXQAsxQvZI+iYXw9AW6PX1+N0n90PflYbOEH1RIU116+X9z18KVNraFV3mUwzsSnBFN5F4UyQIhgSDIcKGjMRQ6ba3ajp3+/x9yzyOPk9fJiTzW7GqrHu3ic+/z2t/+dqaDAAcsEvLpfjKZ9GQiMKy8KPB8HW2K9OF749AI5dF7W7cUYEgByggT7qU58kcpSflf3yPhz3JAjgMPT4+rVY4yXdfRu2uPL41Dc0/Yh83JFNEP/YE/592bTiZ9LCjs9wRqP0Q/iLgAW9LV74jYh8cv3e7RUZf647Fu9/tJ+fBR2sQ6M5SinwwCu8VoNBAHfYxQxCuv40NxSpGEQ5zzz1caTz+9oLo+uC+Ng/OHeKo1J/eY5wUBHn84nPQnNL1kIQQp0arEwAgnHbHw+jeyz2xD3/Lt2w7PbRz1NHlUh9DES83SV08DBlOX5fWvNEIHUdn3mF3rw3X49ROv/fX52z+Xh0OYkvPTa3xog2upz4egN8X8L9zwlwPZX/WFztylUq/fvLrqiMLrp98T2LfDstzyqI/6WnRSwbtF776Pel5MO0S67UFIpJi9Zb/f74HCaxKAv3/+57C8BVwlLW4NeE9tCIUgCIKH1KDOpZQg8V+K0K6NFASZUCyAvlvY3ItLzADbh8Btc4LZGRvhJ/wWbfb4IRAWo5gZfMmtY/jB+tJC4aacOXcQUgMJ5+EfB0BYrHg0lm43J0xctDGjEVboW8yc3KRCehW8/v3pL0470Fpart6AsKZjoF1Hg2ehgzIaLF6cBRuhAfD6c8xpv74eZD/MlM9v3EZOjontc0yCVc/kkMEKVmeVg4MivDlJtVv8h/GG/8qqs68HQYg4tPOALsJlWOpV/sH6+fc1RxrKsdmhmJkw0U4m+WCxkfmx1hIATKuzwyAsl70CvTLmkFzdj3cgMOh8tfHyuL5NAhBB3NFcjOl9Wa1eXFw8PMB3/E8V/ls9ISSoZ7BK3qvVjNW/Egap89WL6ssX6Tad1CDE030jrFdKJVksCUJJFOSSLJTgp6Uzsphkzq1BGQ6KaAAPPhBVVLVifwWN3q215AARxH1XKtQrqHyXSJSdepoCUQUVifDHqWPAGyD6QuXEVgVZPwOEu2RT0KWhdsJBsfbDSrjEvmCpglKR0p4ipm0IfCA+r7X0G20XEFmamahTm60KCm8E4VMFIYCRHsRUG2u52QFEnruFAGch3LIFkaq+rLpHT8LLUFVfJxdi3uZiWADVuYnMiPHi6b4RgnyPWKc3ALQqyLo7gl5n1OnlKVVQxqFWC4O7dfQqqpoow9GaqWyIW9KlHJmo3tRq3zjBoiDgrb4ckNsx7vro1gjbxNN/1unb9FYIt56LbIToRYsdpwniUkwFcm0Tq0oWa0Zodg2gbOqfWcY0sxDO2QizW279HD7sOJ0dAwjBwMkYNgOZqJQsPjNfPB/Cbc+oPMzMvZUwm1h91egsRmfSvJ5OhzibiK78BTcjHEeIasYC/2o25mxupDXG95mn+0OI0zKDQad/hQq5QWClEVK95SiP+In3UysR52YT775E1yNoxsxctIj7W63NxjQZrjS2iVOePI1AdCOoVVdgt0A9gWXc63IJvAiB+KhEL6NzG55jG4N10Tjd634IBJK9Rklf4GW5cRYNC2p8LDdyYXSMGjM/Pmjz/dSfxPkQnS0F4X6I6TWrHr9wRtViCHnswWHPxx+CVPR9wjCD+OCKEzkVtW2uUnzVJnAqLkN5/JScwgAnA5H410YogOfoGJ2FAIRRytpYFvtcSwf3cEPHGjs/QgAHMet2Nez3lz1a2SWkIpMW2fnGdVzrsmUFrKnGXBb3uR++v7rGzEV/IIdpSLF67YpWycKPnqXobdDBZ86RzWbmhjkNUWAv9ocQjJpOJ+cAbyEuXYaQUueJcKeIzDsZtgtbM3K50NLG3FyozDuWNttblKJyISQKuh5OOingP9Mg/vAavSHihopSIdqF6ZmNcOPxbMzB5s1O5NGQkutDXhRc3sJZaQoFREu45AzhgM8YVSWaae8Ui2Q5jT0iFFDHSrs/JYUQeFtKULvFGeu85iDcqAnv+zz2xt0Cl4oCSvdkS86DwhikCjoXvzAyM+5uv5ir/AkO6dc3aL/mbDO+JkDock/ArwrKeFRBwNP2ul3OHDMLSanNYmNyY8wqOipsGEsx37dIkmuDF1nLXElQylIFlYlkyNICuR9gVVCDeakgVwprfYYYWfcKCqGUw6Ubqx0izJxclEDQ5NIDbpT0IJNPfYNIE9V4ZNzs4cLvOZS2FnND5UGoo2KUrl7bIUIkbroJWKXuSntCB4vlc3Z9Hu1Ea+fnwKhghEfjGDIgIcIMQ/lTjJIFlRsvMTWWAYhwQnIgHOMwlXbqw5C2axS99Bv6LNhzrXz8Q4lJ4gcvF61FnBeVHAlTRdshwmL5pO57AKP97DBrsF4PDpaPH6W4LL4x2/gxLgzmS5dWFsKctLsoLcKp1r5pe63yULVVQXCwUqHGb9pYFVTOrOMXDm1ubny3YPblQslZCHXfry9bq6HCVPQX/KiWdC0Na6x2dkFkkhGSoWLxv1yyCk01Nx6QrZnGhTDtWU39FapJEEaqgkoXbFXQi8LHpWmqYdLBylptsiuIcEz2fBqhttK9lgChowoCuO6HlqvfoIKSQsrfdh8f2oSH374r3GyhqlInnAWDwdBQ3W2XLKYsH2pJEJ575doFyk/efm0eAirfzvxIQPhq6tzZOjYzRpAihONuEKG3alxLNA/drhFAFFG5CAjtOODXPbWfHpNR2vOWeyNmTUN7IrIX6qQIrStvZ7RcjjrAKt6jbsDeNt1vQqipGw4frlyESnZXu4VzP8yPUH3w1XBEms6BgA8B9bQLiDCuLEFVPfuCuon3oUQjTO/Yh5ZmBqWb/MwM8D/ew0LIpu3hVugh1Jwo3czZLtwLQswfDt9bVdATXHAfmIfephnxCM1Wa7OYGXbGvhW/W0g5XoRviVIBP0eMNJ279yEERPvT6chucwuEkB2l6FDahCAXiON2N/3oHT/Lj/ANPpRxsXo/P8C1+mE+HEyHkxGg56GW7PJku9CIBLiiEUq13SIk6rRpCpO9fSGAEBRQUnjotGJFayn7+D/fvE+W1bddGL4fbh2lAiEHU4N+iN4CVzgj4mKYt3KKAkKoMwPJbIUCjF5mJMVCGHam2dKHqIkq9iGMUuxD2ddFCZWhpCZIQymjSnBZLMmVpx96biUlQ9hksIdpG2DYuXQXa2lqSZrO4YZlPmZGeP6yVtaGYSjKGn6wXv9E1tVzuRWrDCjAji5Y9RiKIwULvT1tv5YS/eFwGOSecL3TLW4ikL4lHR/QTOkihCwvqsZ8bi42LauKA9H4rJyiq3XjQPgWH8pOvcWV3fzRQeg7vWTT1hUux4YIfyUGQtmy2G0t5mKYo5fS3M4RooduonqT5rX99DAX4dofXDkXYU6JyRlphITaxKVnfAjZC/WbzqVwQ1hOhmjPk328RQTCI916Scr2CCVKjTnmSXq/DSHSzMB1097ybB4/iFBaeRCulC0RaopHbsqRL30TQnT6tkVB9g2YMDNBHxKEY+dVsXYNDoSKR1BrpWl2lhEmqqCQJ4oXCmdF3FYuiFCTSCTpLkQlemFQZ+YCHk4jUzNegBbCHfIWRBUEQlIx4kOxmEFPDhCDN0GSl9apFwbdGMl3Y4vCJ3kB8k3DRFFart7IqTDhDyrlRpKhlPy8Ttc8lV01/DKoMCVujIrT6NQaxLfyAiQnGkLMROv5k+VLy/V2KUT4QxrHlc/boizCMw0yJ1hrejeAEBruc5XEAvisIB2vaiE50jfm2iJVQS5rc149OX56KmZ+OGtm1jod+yHGLKuBY0wAnxWkOsmd6tGWEGExaBmqJVuxWEad5L5TxfhKSJi6wcohSoDxGYaPdiH0cLTxILyk2bUgQo/MqYj5UGq9kfSjwFrjYMQzMqJJlPVVZRWKj8xCeGJj86Pw+Mflw4//S/S8Jw/CGgnTMCcSRyKzZqWnJ5ZEHLMK/zly+dWl+CDgQnh5V28c81uDJtNqVph2x3ou0lY2UKvdB4a2yjGMxCjHcsW3419+vDtJgPDYmwHOHcVDTGrcADl9+O7dH/07fkt9oYOnpnR3DVHHt06db8PhRHj57mMC+1MNVoUc2TfhXTiwi1ZRPoAqJ0KIkd9OTU+WLEvOpsSN463xjaED4faqaDUuEiTLjTCBnX6dGSpl6Q9daEe4Dw3EqH/YxmCEwv9BqdVUTtsHQgjRnHkMV6DZ9uvPbQz+9CyRfd0HQrgynf5LLKz68v8sMQ6n7vvFEAAAAABJRU5ErkJggg==</t>
    <phoneticPr fontId="1" type="noConversion"/>
  </si>
  <si>
    <t>data:image/webp;base64,UklGRuYsAABXRUJQVlA4INosAABQeQGdASqsArgBPpFGnkqlpDOppfOZ+nASCWdDA926BpU8vW/JrCwVjzHp+Pjo/QyTP9NSfFtzehT5F/hdUhQArpv97VE9F8rfG/bM87ad0q96QdMr8baazxf/yOkApowDbi8t2aE4V2NZazUb7CA8sGmJhnYVMt7Cfzgg3qgwOeoZExpYZZDYuvP3XfWYHQ8v/xl7SSweqG09SAU7RhgbcZFo+mLnMZXO/vne092vw10CCf+g/c1HpvL18/S0uh5C3YVNxyFJsrWlMBtZ0bfRdxMhFeDWfWHijs+80Kf7isvzTKUrE+vuVXrfwc03UpqeJeHsBmceIDpRp6Y1iLZnT2zjq2lYERxPZR2YsYVoK3pPI7xTMbjfHNV2VepW7S5BaO9sFHSAPdDApazO4K1Waq6HNd1A6NW/v1hkUTCozEcLdlAsPnkOPk+2sWMtHz4diUtYjEy9bPa/6fgB+mEy+QCmwn0yOIq5ex7wTasuU32tWqCJDHNdhXM3GVwI0Rs+DpjRZOX6o1mqDLAFgfU2vpo9PQgnJvEVM8IuraWQHcC9NDy13g04evWhEVKSvWBE4Bi1Rwbfkx3/q7iN8hHBE65f7xJjxl431FhZR2AXNmXrZwdAlQ2/cxX0D9ToYLqvrtxuL9BiiimRXzcQ9bCAKT2F5R2wANFNiJH/cDs1lHXdJgpLy6gUVlR5IyLq7u5DeaheVwddAgnVqtNd/BrF5tImfEVsBALgZ/Zgz3ho/0/4ROOkNMtpgrut/2Pr55P6yUvSzZXD0GRF5I/kLUf0B+BsJV2BXvYew384aphf3gYMPvpzWZAtJSwtHMQjCdKnMWPVRJHS0A8sksf/ibN+T+96Ew7FA0ve4LzgqE+U/Fvrb2ndUJp3yITWmlD4iYNOqAvyx4lRFGYsTT+xyjfVE25rKcLNRS5/BNzJFZXKyPgLCGv3s6/VrARc3xXoVUuUkCm/MH66dBIl1ck6v3+wVFeiCKD+wKrilRwOpnLxzagS0liu+enWfsTAs7GY5ed1ilTbylVjAmoT1rCkEupBzjfF8qMwVsSBTPNhJAjAbJMsf4VAFrEYHKA213GUHiOXysjnEmJ2LR4qZ7ziMQtl6Gwqv8CXDfwF/CVZsz9mayYJgk6q4Wgsxz3dFhtfThcc8uv0+kXGkz97v29vV8OvNmoZxf2gAnBdV4YYyh82D7t832+vu2z/zbYF9xfvneNK3gFezTmzh4HJRlxgvwpRc0Lq6UbwDZEyFJ1qwZ7XURy/qTB9col2SzyznI2tyJlVc/m0k+uc2hup7MTv/0cUu9DdTmq0KfuAjeEcVODQYdg14ZLLLrThPFhQUJCD9sSusaTqqt5vjGJLLiJzhSyySM9q5ixTDrI2vI9+5R0FzyQbNGXy5tH9Lt7C9ACF15/aWQWm9KOd8sD4Ndfbs4XCW7V3emJaEhjXyUc/lpzFe8+kUw08wsuqbX8kkFZam3rsgWnvZcjpYWgQw18r1Eo9lRz40KMCF04mFLm4anBL8DIo1FbrnKhbvUBHhHcpDpA+472+STINGj56g2afptPSI6sLMb81vGENZeYZQM7xX3SZZrT4PB8xjXUuXVeC5lIvYpktwmrJPanOcTE7zOHrQ3MsvK9gEYuAqX9NhsUSYvhtiqIKfLQYY+Te+CWJD20lP2jwOSGBxnB+c/5ZyNgkU4GbW4Svgp3zwXOG2R9DE/sfosff08tUaQ/3hUWObGSjEqL1Y5iimFpmMbr1e40VbpxuHdrmbSxD47lYkY80MBLMm/rAQvieOd3Qz+fcwXscqeLgI7GtBtUdxn+phgQ2Xm4AcNN87K5cca6l5MAYo0ISDlONCZIv1mMuBlPpWpP1JmVX8GjFPJ1FP1NnTznM5K/RBbzFmKT+d2wLA7IV45CCVgcArOsDRe2jv7Ou7p63cGAtuwuATnhI6aItVS9LMnBuDE2tk8SFN0vRw0cyauEqaIKIhFsB+fhOZDpkKr+VLdxGlz1WB//tx+3F70OOueTGivlGAsII9NqtppKo6cTk1MnNgappB4QAltceIoti2iSav7M9mDVUjYm8Xj4Ee+jk0sdksAA41dUbYhM75ywcGOrvvXmZZ6oKUrW8Ifub93xFl1MbeDlvlNR/Y4m/NQIUppidRjO1PcdKgMfs+RqUWU7R6yTg3JzMcISW5mcdvStYUHGp6bH0F1WOO+eYsXnOZtdRx+lFI+sxmjHZ/X/CCIWnopyLx08tmmMoljHIMa5ZHzaZwrMn4/LL2Br3kdzGoosPYfskyVmNFUn/sZNbzPICMnOPe/nUrZsE18lzS+XLpVACz8ZP6NO1+vc7yb+cWpVg5rP7xE0WUKP6fXTsV5UgA1s3ti/3yZ/9eeUDnn2JbGM43AZIWPgxRYOqeGTDTucZfcefo5tn3osojnL9m0XgRelknGox/oO78+h1zKyScdUDwT11NqvETzdIPfBnv5Sv1vVDDGRFg955NaIIawS4pDL21st4UChgPck68sQgHx5vg4AbHt3qribcdn3n/UKU8bZuDei9ZcKgU2WjHMLIj4XCfVEWDZ1nAWIamSrCsSKnAesU5lJ6HrAat1QRpE6KXkGcO2Jn5sBdPp+aJI0h/dz8Hfu5dI6O3SRAmANYeh+t3ocms49Zp7X4oVI/OvwHR25ihbpfTxHebBeXhistznF4cikhLaUcwMPIelpZ57qWvAC0GFAgfVYxkht/JK6VgOvZxLFzSaAyMat/4yOcinTONE12EEYhwDT3Ni3lU/JJI4QQMtBkmDzlIzKyZ+/sYVvHFQ/vtkLJ+n3h8/banjAUZA5iJo+LcZJyRwO/Heof4wxR5CdQQhzT+g1f45swWpPI2buAlEoVX89PZVBd/96x3bS5mQ+dqg5kUmhJKh83jguIj2xviLuXytjrE6fLsEznvIZyknjmEWnMpJVT0QS9EEfmN1EQL76Wv5pvQxVOdfOuWwlhAbl09zmNc1wf4xBLhQg4xQqg7KbWQmkN0RPQqDqbrxffUvPxb12ydD9ZHj8BWjD63Qx6slKfZAlQN1/rIaS2nh8iqPoqfjylSFQ/A9KotA7SUzTBwhyytjFvcI4iImfPxlLXM0SdkR2DpyG0/X05KRhYQT2xnZtJxkmJFWSkgWlONoueSgj74BUt+XhtPppDbRxKgRP2G6CL8z5SA/X85CfYprFEFD1k621cSaN9JM4dob1x2s2a29B/b6G3wJEzJLRVmTLzcFkxOh9qukznstnJz3jTFpiFjCe+4jxziryW8GDvCooaQ7W9lGsZBDTqx8G3jNCddJORN2VoYTD8hbzMpbvYiNX42Dpf0E9JrA6JQFX8k8FFMDShcIHM/VS4Wqv7MFDK/7zcJFfteC2CXTtcesFefF4+MwTSkNqZ//ypwDfkXHn0lO9ca1SPd7Y/mc9pRAj3lEU/hpQrjfNid4LTxIqyZbkkHM3hBQWa7v6CxFRcSn2u+BpdE+2CTlHnkYxTmPGmgD3wkJ9e+Z8IdQK4ilrywxBNhK616kPUQB+toMg9qLC/TP0daX1TW4PKGZOz/KZLIoiRja+wIk5biVW8KVLdXzZNX8+LAtwN/V53xaOJLe3i9tVf8Kf/8X5/y2Q7XFMTSSCjS1DQnwg26U8B6+HZe1EfVAaRR9MwNNAWM5ig2pr6yo1VDJtrEHoyu/t3QRhxbGasIjX6EyikmjSiUEoVZ5inGU+Cjoawq+rFM7I/Ik3ruwIZ8HVNqCHvQym+Xgjf8gP2dEw4n+7Hv0wd///j6sEPfHTUKJ33//iltvQA1A9phAYzcNOPVJsKeM1uNC09Ry7oFA4Yx94R6lGZu3wly7c76T1B8HLjxgIMRg8774v8Zp/KfBuZkpTUoBgr6yT+hJawTjcf+Wfe1vV/UhO8MUH3F///RwP97cK72zilcpOC3TUnHtjOphJ71BkwHvDiRZztvKujyLTc9KBZmtmeWWbXgYUYvLP0Cge61hJE6dVD/7Ci5HPipbfDQZ0ik/Eoio//6WM5x73EXzQtOAS0iiOqv2dDtzZe4npLjlrXOeAA/vjj0HFt8xzIxnX/CxXRb1wgeDSTOyJwCWz/i7aC57y/cnXZomVDACwh48F2kQlERGI4PtVyhYvpuGOyjOvLpig91HQSahSybrww9oyPlYluHhoInNCAyw5Zu6yK068YuRhwmf3i2x7f3bcsqXJhizoDyLoyHxtJDnh/Trz8i40u7hrOyny+fc41E+qHd4WvbbxvEnXfXjawLqfir6U/agTp6PRfK6fl0gdEdzx6rGWtXK49bNDqZ03nsectjAdxFPdRNFoNRA+HkiCY5t/XCup3YPb6OIQp9W7wYQnUfJh88EYMxocwQ+5I/+seZhqeYJxqX4NfdkC3l6vSfCv2rYkNbJdGUy91jDf/Ph9l+i/INc3sjpJ29N5RqiODqok8n6ddTNBq/F2eY2JpONbwjL5oRh1dPmyYvzp4xBTED8wbLD+M9/m7o8YqvmgkaIn04dMdZWaF5caS06kSgCUP66W3Uc0zaqy5WaVvqI0dMVl5TlAAb7ngp9VwAOGiI1tUSBv9cglsPQ7cD5R9CLymgW1U8oFId1e6XwM88S6hlrsflYS6aIFaQxLf06PACzAKiHrnmEya9vaH38jI59tQoggkx2FcUZNRvsqjveiXpUTwgL0KJ3rL0u0Bo3+6YSdp/ADoVWAK2JWbekrLKbClSpXpF9DNOQihdw6Klbply+MsKWQwllPyirYr0zfdkFITp9K29lRKWVd8yUIUpiI9kqqYBCxzELz+eGzlYoluTiETiXVec5kBEpa7X2Kk4ngXvJV5ToZkuiqJ/6A4Xs+8WZ1yeCY5Ek03PSEdNq/61dJoo/QZNPNUCszSqO+PqPm1dyx1HHhMEXdImOYz+6DAIX7rF8zHm3kG9QAC9PTBCznZq/e7Zy+nVeBB+sWzOYNuYkb70RSYATiAuKfF01vcJIYAU4lEHe7Q23QvNbg6HX2r91zRq4Oyr9oSnaIfwbxHiVuCgkSOdJzS82ONvCOUg0L1zntPIhl2zQCBBAxJpc1SqZBwXfgOI0OKrMmvFgaILMp/etLPmmPb7VOLCt+myh4OLBJc3IifaDKIn0ACdRCjtWgetyZ/bTCSmFrEo22XEJnJp25VFPDGgZI+4Ztt2QYpSoxytmtDn5MWSwRA98xZevKthmwCeNk8XhmSuAld5YkZjI8n2l5AG0xV9L9aPihp9e4QUp9NAPEAjKjdBMXfhR8svBQrz7ABFKNog9n8Vccx3wP7KVx9jy4Zh4Ci+1MIN9GfRZ+kAoYPkJ6T3NkjzYzZO7nihWPgsAQ4CTcdlciwVwjgsYO/zuvKVupG/5ZiRaQNv//7MTqFdUcw6ZdBFvFUedB0bIbQXW+NfLjNKHPUUX15jBjyEdDY/tonfogCw86cwE5OXq8biWBUSGkuZZbodWqROWTOSERr4FUWbrUnRmcWsS/zyfrzKMRiXCRAHDaN+OB0Cz/xopq/hsq5OmVMcRa8cQu50plLg3pv4W/5sO2dfAcVbSHrZVYPx9Zu7S5MOOyVsF9eEKDYx4P+Kqg70xkePnSEXrwZh1y/yPU5dJLvOBdhXLgx21FZoNlDPi2YHaBPXkQ+Y0YOQNudC8drk4BHtwPKfDl/ZJumYSyNg3+lGnC5YdRI/1ovjIy81yeyDgi/bQMAJRZ2BzHJem9V+ZX5FSkvY9OASW2YPQHBUraEUgv2QGfKaxLiAMlABOhn5rFMrNBDv487VX2SavlhiypYC26kSylxPIwP+yniz5KcEUP6lr7K2BHaDQGA/gJvnNAjX7k3KACQuKhjesW5pSHBGPOtAx2Z1jIfA8M7agLwV67pLjxaki1AKQQ4zJQCoYgMujuNdt37PkOQskU64evIixX/yp66M5SQ9OY2s/sGCQUbe6k9/XgPqeloK6fAAEcZv/5lodsAI+SURWdgXhwBPLVc6u0OLR0fsK8R1iHFW04IT+ZqQzxQwlpBP1CRl4eopy/O8z09efRWRFLuPebTUUmHgAABQ0E5v21c1PKrJdKYZJi8UhdcbvzXhF4DrN1ItEoSbXY+s+NfTidCZWJESw8rOvy8QHUX43yn7xfsCZb0nXLjtUV2TxXtAHb78aCLujSlcOhrsH7+Wo03KiDImbZvwovh7tQmpfPQSuS8qBqhOZ8e+o7wh3CzTH6F05S39oDGalBlUKAquiitWKl3R/POVdbnHVo01LjS67skC1fRsueNlS9E2gmq4SPEtaHBeQkTVquEEW1BAZtWhAhJG5I4QlYFhUGsq5qSdI1bV8eGXppbOrM1/GzPlSLdotuTvnsXGFl05oSFQAAAIHEAukguW37b19QnC/4YdIjPqmANaN6bgwxb9s7pjXf6cCOLTfh4Q17wSoiZg2RARvcoQ3fS9h4GoI70NzK/TnOhB9CX2yB81SG6VFmq74y5/m9hL3YdLzFeLLh9cc8wxPAHcT9vkqsdIv1ZMH4tDsfSXalombbF/TDJhZ0k6MXNDa0ePp/XciRKfmqbt/lNr+m8Jgc/thgrkx0BpdHnc85RJ/A+x8iYOWEu6KcdqiufsVsxCwU6HO7GadMy79ZXSwYUrgeQn86uNht9uuDAmtJ5BsXDbrPGeDxRrdx1ZXCNZhW+jMDnFKJU/uklNB7VaHprNbf60jzdhlA7Bbj8LTwKhUwZkzkeV8Ls54R8ZMvKFoKbEC5JcIlwXXvhj5IofUoZrzLFIMTKwVfN/1rwbkDFrEVx+ZxFc36BDwRmMdFt/AYKX/i+AAzmJJ1/SN+KqVax0oErHMaoYhz4aAPUTYstCQjT0x1WAcWjjQ8+p4ZGRn2NcW95AAJRxEcCo2iSLl75WyD8uVZ0acHo+mWAFS0wPH1VbNxrU8oOumiELH+52TRHRcaxniizClv70POIQUjZX7qf0XsUvy1Fz1XN+X/Dct6j49vL6iC/ZO3+J/rDNmt1PoGA9Wy48zYsKwEfw75j3jffAYqYdUQl1VXfjs/VqubE+1tf3kdpFEDie5uy3TfUTIaFFOtmargcVXAFrZEcrfJDfzIYyOoEyUS+l53uQaFlzqVO9z5BY1OuuTTa+UxZ4xb53j2Jqkm50DkVUS8XYoZ89jXjBk+V6ToWmM/1DOz3VkshazMJYx/xk7/q4AqADAY+QRnYt+xN+HlUtvo7NSuZoWIUCrRnePZZkb7BQEoSPF58QTMFl4lt/ehBf7W4gFLW1NaofBweY+ZOyYwBW8N+Tr4FJ0kv8lAZ96QIMcADef9dP/+01I35SxCi9y2SfOF3itqtUORyAFrznCOwUlvtoqsXStZhKHzhPJujcdZfq2JeFoseT0ka0OSMiStOjOsJEE/n6w3kKt7w7syWNAWTl8fnzzesH6XjrYnr32JbmVTO9GcCRC4TocQyjlEg0/9YISM48ecuF2REzRzay5qjplc9Zg/qxVzrkt1rN/oGE5/be+VXZQUvwK1WrtmR36xb/5bkB3EprcxyMHPDFD2cUFNcEJ0P9NZ39gt89Mxecs9lCf4otoiNZCRNe9or47rpj4KVqb5lc2VAxI+U7VvLQ34J0HxXgDVN01yxYYG0kX84mwXzzLJsu9aJaL+fDFeV0mOY/hbwZm4xbyUzzj04LURPDWK09OlOsxPxzxAxNt7vHcakntPyAAAACTgn615tTIIWqZjr/zYYKTTp0ey5CMqt2mt2AqPBiqyG6jfq6a8zYGj0CXpHfOXc/UsuDd4JRbPX6MEU+tDNiULtbXioO2k4ws8A74vN7Z8KZ+LHskdZjbKnabByAvZg47pZJMMKk+W/TWmuc2bJaEqm1vvXLIewoVwrucOKnUjHPVFDTFZwDIv6ZwqtZrBu1cf8ypYgdVQwFWM40ebL66260zneyB30xZjkYIw2lPW3xNptJl9p02QKengTZwUGvJBNihtswCStORttnTDRNuVrSjP/VvcZOIcoTIc45YdKM1FlOhP7eOjCWDuKiLzjdeu2Kc3q8PAC3bSrB+IW/qWgybNAcEySKp7tUk7XiepmAr9kl9kEkNSo1Xryw+uawrBinr1gvaHjYLtRg68a8/7JhzIGP6pnDJ6xkHK38M3VZj7NNMxjg9xP6rOe9K9Mh63lhmBeYHa4c173tXk1TfERrYiosYt9P9n1uhuq58EpVvVl6g/H3VhvLBURl60OnAFgBtyo8wC7Yts2GPTvvB3xGKo2z+ollUWbOd5VN4tFe0yCgsDrILitK/XYDSqN1OuBjQIWfN4D2H2KytKVpx2FgwXmBqofEezZKQ3pac+K/ANR4gVFQFfZuoAbr2gnmzoGYuDwg4OJuvyRL32ojcTgA9Izeu76of7PeNyrx9puBDz1dWSAVkAQPGTdmtnrzo+yxfLki8xasdfiAWg8Q57DcFeTIiqgfAFIGG4/wfAHp2q/zYcrZf2BM1oquxCxG5tULw90uHfpMvXdPgjGU+O9SsVUQiS1fhwquYFxQve3t2bg3joyFMzrs3R6/fGD9uy8lAAvYF+RQdfwroF8QNN0Fou6EG8oc7fcyL2ggUOYzTcfVDRHRh+MKT/ouGRd+8SoJJLEjNf5VZ9qQYwZQCo3hzqwd3tQ0RJNzLm1lF0QPM4IYRBtINYTma2ZEbR1DOWNuHK2EyDIV0v0x0hfCuElmHo/dQt7jQ870nSPMugmwetDCS+0BrEIjSh0gDOM3pfp97OKIhb1ibETdvKriChG3vzo3drLdR/78c0wbhD5s0655y6mKVITrvSkxhuY8UNVbJgGXDNuXqNEez/pLIw1FaV+DqhI8shzPVB4cjsDsi4Sl8nOcJXtC+StuOrJvpN5o3TfDYwCoa/zldVMHfPP6J92y8mVvIVDXEj9uHICagwYxKVKQ9oRQS/ITYpUsQCXfWlTfDV/OzmvBmmvFrk0Pwgq00ZHXwXrWCvGRXInLIAbElTj1CFcqwRHbmSRZ7DsjT3+9ks8y3D7IwvmIHIzjVBCpuN32pjpBPL/gla3mwtTfn7nzZbfwRCS5qb59pIQBOgVitg9T+ForKomclTAIyE0uS8+8vmcAhgrBqhfNpojXnrcByYBtSmjA6mUkE+CmOxyOHHQLlKXrPfqjLxvJLkvXlcObPgiZmDZXSMoC3MXvNiUqOKPm7K465SKcDcA0AMKTD0WC9DEvSASAZRqIVVL5nBGQk7e2T8vsqFs7VAYEvletYjPqd25uL/WkayNOw0yjCbMacd6ln3guyLbvc8jWj5CaDY4vHESyy9CpF+zFJtwngkWzwimpSm+1OOU2ju/x7yjEb7cA8n25Uvi4BN92ApwTEY6TnlzMENKB3tFumno5iHpCJsY1oup3D24raUlduZ0OXyhyQGLrpzBuXA2tVLfBx0tnC9MQO7iukvXvjfMwILYOWqjoKT7w5UVdO/MWEWQN+H7nwp5Saffpnkr6MNLN8GeVuQGZEHvDb7Xdtt18Kiu0CMhjgAox5BddyhrpC4S4G7KQ2AFuVpSFJ3beM1+/YFGI7oW9RL5+sQ8QFvHFSU7WmQCz8TmWg0f/DGTAWXVEbwefD9XUP8AbNU/Eia1kICqpHdOs5RQrmzA9F7cNjubOfpVno5hNwfwmvTUZy6MEndKHADwMHDpTN22V0VcQLTaOFASA48B4Y8FdLbIdwbx9pWzOK4RlvMG5WqNkD95mTCycGUHs9utUJlO9tr8ZLblmaPK1uriPo9To9V6omy1dUj5WcAQ60AdOvHvVDRutIITcQN3007j1WstVPDkAce+csvjq1TsRx1YgJTImTLTmtlZh4Ekaw9M9/fZyLEPlIve5S4pQrWmEzZdgfio9SshOsc53tG5GRCfjobxoyZeFce9C6TT6jH3MsQgRUjOtRGkooBgxloov5JiQGltswbCb1Wz7Ct2nFJ+FgTAxgSafteOsrzNooEvYleRhOy72lqNTUbJE0T0qcyEbFfG030r3bj2qRRhEDFkiGhI4p6W1tHPQDdDEkcXl1OhwwuJw79FHPAM+6PMoNXpL1M22C3j0MWEg7FDENj8PHdrAkHSxUUkDYYdrm0RSqZ/d9VziJCd12iqOT5PYX/qz4Gcs4GdcQDn21EK2CPZxe47F1tW/8i0emmjeP8agKfuX0c6JUav7321QdZkmYo/BcThmIDHtVzg4sGQ7p+5SWdssWbGdi3GCjOtXnnad2apiqkeqVKpgzu6c6Z1mZKe/BapJZ6b56H/bw8jpeBL3wA/ovtKmUtbv3f0w7pYr0nqJk1G1TZ9TlH3B9RCLv3M+XNfmozrXP5bexfZGiBv9j6iXlFZDlCS746tLCMJ47d3xfOgOL1D26iYoPxkJBRC4ZTpYyiPRfZ0fbq1g6ycp4LVRwjhWa6AXI914+/Xa8j5ye+PVnt4V0q+DjvGDPxQZWvam1lFX7qECa9vLuKRw6DHsPN1s7wjqX+SaTiR5UE/VeiErY4zWjF6+XQFoauJ0pUi2uCVciGkxThc6GzX3aHVfCuKczK7tNrPP9VOJUsFKDQtgqhjXHT121ak8N1ohaochYoluesjzjRZE04+h02KSkcotLD/Ta2jmGfpMcXglxrdIUzBHyf9SNN5GuSJU9tOmznJyXuudzWisI673PT8Q55z/39PPeU4UqkuhQO+gFHBiUNJRHPAesVonlzAwEzfAzSG0uZrDO6s2CKU0r7EbzQsA+s82VlwFLPR0PL0eAddU9YR6yJsldI8H5ZmLv4JBxwQdoHXOfSdWJb5t/FQTmXfMsSP+DV8hzGhyDDhhgZM30ODzY8KRlz3TCi0uIKN7oKeqkEk8d37i9JD3idJDTPYHNgaefLavTNBba7HhlJsILdzW9t5PAmjUhKtPrniW10u0Osj+CXp09m526Y7Y2PeZRhuupKtLXa2pOvCITBD9ggNVsePA2hGY1Yz7L04TJqBah957WiBkjbotpFVxQ07MRp3yhqLSHYkyQQfcjfbCZU/jAgCHYjiInMkcnjySuPhhCIBQgtog/pJt6bYrqJPsCXPKjiD2ZYi58QXsY7qDbtde4CFtjEQzil/dyX9qDpFXzDnXc4CbzzcHTG2RyAso8RTSRAd9oThlr9u+5NqZtJg75z1EiI+CF8Xz5yrccUHqEbo5vJtOEpeNw6IJm9oP+iFmUpd28576vAjSvWoqb+fYum37JxxiVp5+5tXXrWNLsMkYyJqrn5oUvwAQsM5RWnPuv9LyaTO0fKzLX73/paSuP7NtlVz2aL3S17Lb89MyBJiY6yofQJBetFoJ65X1oaOdyn4b2TOFq/tGLed7hLCqoMCbKiEZz8T6jG3MhgzRwyDrKDXFk0a0ridNtXNPbYNXXNiGg1kKM3rploZACA1w9BY5baAPLQWqzynrV8kw3shVQ4KVKqJQrifKNrJSL+2A2j7K4Fn/14qghTQVQmlClHrk1MwRsFcm4pYBNoFtGcyWw+Gk2fgspFNCwHphgr3UlWi9gO5ZqbBSamjKTxCEi7ANmSz4Ar53XCYFF5hes9gVVmMM6eXe+rqatHytLVm8VsVtbaImU5A7lkvrrfQumV2Ol0dll6sR+ylFZAPgPV2fj27bxAhAxTa4pB7bvEenJrj7zPCmeMmQas4tYMOvN5I1nYho7ceU1X26zMEYoyqkym2K9VJICmJHQf5XREsnFMoZGEHWttjz5m2R2Dtta2LnzJjn7XVT3KBKw5a6tWxN4lwK+I9oOqw9ZyygOHj0LsWdib56UXK9ZbBd2MoL/HgAmxJefOephTOYdYUQdPZRfpF/waoCt08lSfGtKrW8P09I+yWok2Lm37PQYH/y1LU/C81L7APGoEC1hOOtpaqFgcHOYQgg/4AYvbEtmZDSF6wcozMjjZveDY8Ua+aoOrKc/eWLJRQIyLOop8Kjf/cgrJJrhOsMVAICs2KkADmFeAVcjs+NNEo7FwrDRByyDq3Xacekmb05iN9yoTX/tN90QZ0gErvt3McfxOxRrJkGdfF+LwTeKSP0iymckbMwjy8Hts99CE5Gu0ZL048uPizETwdgFlSSiXfhxQB4WPtqCoCE5vRbnvQ4t9KagnfD4Mpo+gjvPmuAstbXakwc7cYHqusKK+z/GYT102MrKiZLbiA5jAG+rPw9XO56iB+w8my2635AX/lIoWDQNZVRshRyuoEBUNssaReLzJiQMPnMrdUY/YCfbgHEHu2ebSZB1Z7EU1gfaMqGJpzuIeEzCrJpnl0PXP0MzjKYkzlRYzQTljF4g8IBA6oF0g137Zt//1yvkePYoR4IF6Bp4QMTs2Cv6zDB83Ed5BkUV/7V4W8nC8maELpUL0NTgPEfyJ9lysgbhxMNIX8UefCPOXqTKBj+4Td/palfRYiZ/Gbe7qDghE2FKnpYvQZnjJ8xiAQzsCRFnhh9CbbtyrbLVXy/Auqe7i8+x5fr/vALMLTB/yanST9BO/40ChyWjNLyRJVlEov60GdEOlELFby7wCnsjVy90RZlWEVYkKlOuCgrDCnWOHTF4Ty2HeZghdfX5jq0w8DWIoYBmC04HRh4hA2vCE94031HHGvUuRdcDetXsslUaXvYav8FjyXjE+s5En3zz8KtY8QqMR1ZNgxrQroDchqsq8CGEv+h0G241fe+pclr3R/TFTcf8tkdpATt93zpF4cfGgMtwUoazX4Y7uva3BR0E00qoMfUlqmpj/Iuho6pJPcAoB24Gf1eMFvu3TQVw1snSE5luuqH5EY9KmbHKQHw0hbhwsFsxr5Wv1cewj9DdtkC0ha51m9fK6z2H477LnFPaDzmaRS6kxa8orYk1OfWN4hWgGlsdlQC0uRqAGL4bYTDgaGExDnAMUmenYkeVpcTVpA2xWm9CUded1Vfu8DKwX9IiG59GexQqYRQhKQRDE/REAxSfzCMSL5oV1tMTgGTWVYBtQjwOMMURfZQ82gxWgGWl9nWLbrfe75SLis1ocY8l7L8478xsXG58Hsg+caD9wBmvCFq9p3H09yTahj5CppMg9eVMc3MYkygP7jBKC5034/woM7s7e/02cKkDOjsqRYd038EBsu5iQk3jO+syA4KvqhUdDLsYhKw1XQwXHfd6KbxX+EPvwfl1To3nZpQyYZhEWt8HqoWkXBph7S+NUEmnIRW0DndWa0lS4tU8Hf/ErQqGb5ahdqlgTKtqh3K0J8yvGSvW5AlSxzAXQesmKmygo5TAFUf8dEzuryYVTgW50S7+36nroAP4GgMi+uXKhx7knEB1bYadBBsfd2MZapDfSKTTteDIEFf5eR228LoCeOs/tC9RzAvlwWkyc6RSuxRO5sWHyljnV6Z5Vs4HAxbAkUQkz+L2b0TkRG01NcFN6MqK/kfejyvnhZ4TlR+CF9zyp9NkkxMXFeYLVmPtbFpzn9BS6Rw5InHGOYaP9lyamtU7HfYCCNT1Ve+Ygr/YRaN6XLonaYqSBU50LTezWN4Tw3ltAg3S1oK5OvhLicsnVJGV17ptroyWvxsw3ZtO1NALTLAjjamiikfzJ34OQLFhsTgVVx/E3s+lTVYlrEeg14vIufDQutq5Jb4HYblNjNP6wk8SkhN8076979EzD/hGpBNH6H8DWD2GzNUBsSc+8fCsTxVK9TREInTsgbCmGF6ak8EzgpIRWAxBX0SZZ6idFQMVi+/SnwwAClqHhlqUrbHxT2Nwg3lcTGSuebKdWrzK9nL+d8Sgd1GX7AS2kZuBOOAB6mVhmzTN/FBZPRtVe+D14O6vmG0RP2xyRH9QNc2rhZWrKbZFMH/isCLRK3+H0XFxhcdS1xi9CeRl8PtLVG4ix5JGp7ZNvKP94AxzNFN6ZlfK4zNlAlwbo5L33qJo1O5nGeFEefXi+Qb6lYxSzZXjW2bZ6vitK+nPoZQjH0/lkPXYem0wKND1vPCDSg7YOaWVWkjks0vTdE5dqjNMyus44+M28vVqLR1BNZCpo2SenoyuiG3p0wJmI141P1E7WKSkhVVqQUoMSy7fp3npBXVsHbB/9IkPmS8vOSH7CFPgzHJR/8fcDeGA+NsMuGX5jKv11oclv16rxzvGZNNuGKpKgxz1JfDgoSYEc8R1WlpwfKTkklc6V9sCP0nSU8pUpaszsrDhs1KI/+96ThWgfBznI6vMvnABFNKg5yp8tpCduPpvYfD1o+BbduR10h1/bXfFS1HxYmzttACTkraXfmqKL+mlXFPSiIcokINN1ZY+/8NK7tXD5if9bu3t56LyR32w69ohdvwlIhPuX6Mi5t3JDRS1nfnBYlERw+/E/qrWAqoTd6+Y2PERFzZ331NSWkq9tJiGAo0DOoM/cuzyUUrPhz9w86oGIQVJKyP5sA8J30H8DZvHHCFYLZ4yS8g4uOilvvWMFpqVHRDYz2XV5ibF+ZygsRLikV3fYMXX9q5hx0v9W1bFMWz5ZCpNe2Mpnz+kPtcLDATJY3uO4FKnCW+wDtYAuz5dvo1tFUqtRiG0t7Ee9PT85osmS+qCEaNpKzFot9ZOj65cqtZEziCpfF0HPsyRioA2jvQBN3HjyP459k/hxp5p0bqr+zshWJ8thwFfXF/Uudhkv1PrkWuWTrUwVWTGR1/zT+cJBzeVQ/8XtusSAMkiusTKrY4XaE+RBxzXz0WkVFAASGYLcj51nKLw1eRfkDrxCrNR0NemDH6N+b0uKkmDN8kHgYpzEArZ5/emK5ZWFTZ6fgSGH024pcjTZMHK26hucUZ7FBn6QHAAMtu+RvbCOnqG9iCUpT70+FBPmeq24hAPkR/bUdvs9el0XCt+Dycsm2xDCwol2Cpt4p7l/OrLaeiKSsNGqkGLYEsjWJ+/5N53LKa/BOgi5o1X2oH5GWvzr3Rxiblm9rChjGLcqNtJQgBfdG8cuG+wiRHnf/UBRE2xt4fNVAgxj2yF06Lc3m9KZ9kYYCtJ7eL7HG/0Lkoz/LZtNwOpCbDfMrqQxjJUmSoQR4D2zD32ODfraa0E6Zmu7R15hi+is5qOv/KvRnMHPvuQ5mszRF+5MGHzOP2z9xZwV4UnATRbAduuwvFInIzz/Na87y3pcsbBqVWei6svEhXO+2oLe998VVR0owX6xOacb/vpd4sDLG218Y/KKa00I29eZqcmz4HSX2MuslmWf+O8Qff45wnmZZ0kQqXOVB/d/gGTUimTG/2xE4d2mDJayuD/1/8hgk/YPod57bgJae8Ympa7ZyzQeMjC5Yv+SyF18siFcV3lLRyTYAx9hQdY6Gno1pdOyS2iE8fAbA6pPOYZ6RVpS7IuX80JmsfLBI29joTlB7p0w85q4t655rO4qg1r4lvC/tdmp9LXmSZgrhaRu0g18+I/PduoupySiVpCpEUZEk+ZD1dIoaLuVnMriGgNniG/li9fl7h9VaHPraAf8AAAAA</t>
    <phoneticPr fontId="1" type="noConversion"/>
  </si>
  <si>
    <t>https://los.lenovo.com/</t>
    <phoneticPr fontId="1" type="noConversion"/>
  </si>
  <si>
    <t>data:image/jpeg;base64,/9j/4AAQSkZJRgABAQACWAJYAAD/2wBDAAMCAgICAgMCAgIDAwMDBAYEBAQEBAgGBgUGCQgKCgkICQkKDA8MCgsOCwkJDRENDg8QEBEQCgwSExIQEw8QEBD/2wBDAQMDAwQDBAgEBAgQCwkLEBAQEBAQEBAQEBAQEBAQEBAQEBAQEBAQEBAQEBAQEBAQEBAQEBAQEBAQEBAQEBAQEBD/wAARCADZAOEDASIAAhEBAxEB/8QAHQAAAgICAwEAAAAAAAAAAAAAAAYFBwQIAQIDCf/EAFYQAAECBAIDBwsRBQYGAwAAAAECAwAEBREGBxIhMQgTQVFhcZEVFiI0UlRygZKxwRQXGDIzNTdVVnOTlKHR0tPhI0JigrIkQ0R0g7QlU4SiwvAJY/H/xAAcAQEAAgMBAQEAAAAAAAAAAAAABQYCAwQBBwj/xABBEQABAgQDAgkKAwcFAAAAAAABAAIDBAUREiExBmEHFSJBUXGRodETFBYyU1RygbHwIyThMzQ1QnOywUNSYoKS/9oADAMBAAIRAxEAPwD6VwQQQREEERyPVM8kvJWtLemtKUpNtSVFPTqMeEgaopHZBGAmTm0qGi86DfUbk/ZHpS59upyLc42QdIqQq3AtKilQ6QYBwdol7rLgjHnXnGktIaNlvOpaBtsuCSegGMf1FNHWXXST/EY8Lg3IpopCCI1U0umvyrM06S3OPep0aZ2OFKlJ18uiR4xElHoIOYREEEEeoiCCCCIggggiILGMKYceemjJsqKdBoOKI2nSUQB/2mMWZAkmlvzM4Wm2xpLWt3RSkcZJNgIxxi+HnXhNlLwRUVf3QFDo5dk6PLrrLyDZDwVvbPLdRF1WPENfHFe1fPjMKpKUJWelqa2diZVgaQHhL0j5omJaizcyA7DhG/wUVMVqUgHCDiO7x0Wz417IDq26o07mcwMdTaiuYxfV1E8U2tP2JIEcy+YOOpRWlL4wrCSOObWodCiY7vRqNb1x3rh9JIV/2Z7luHBGsFIz5zDpik+q56WqbY2pmpcXI8NGifPFl4W3QeF6upEriGVcoz6tW+lW+y5PhAaSfGLcscMxRJyXGLDiG7Pu1XdArcnHOHFhO/xVqQR5sTDE0yiZlX23mXU6TbjagpKxxgjUY9IiSLZFSwN8wiCCCCIggggixapU5Ci02aq9UmUS8nJMrmH3VnsUNpF1E+IRqjijdoYlcqbicG4ZprFOQohpdRC3X3U8ClJSpKUX7nXbji690o641kligtrKdJlhCrcKS+2CPHGgh2xTNp6tMycVkCXdhyuTz84/wvsPBrspTqxLRZ6fZjIdhAN7CwBJyOd7/KyvgbsrNO4IpOG9vejv5kbXZRYkcxJlph7EFTbZE3UpQzTwbBCAtbiyQkEkgXPHHzZSCVAAXJI1RvDktX0s5UYWaS8khNOQAUqBB7JXDHJQahNzr3iO8uAA1W7hK2fplIlIESRghhc4gkc4sr1RNSumnsU+2HDyxpLP7p3MHBNfruHaRJUV6UlqtOBszMu4pdt+UNoWOLijZpGI+zT2Y9sOHljQLGrqX8ZV55CkqC6pN60m4vvyrjnHFHTXZyZkoLXwHFpJzt1KI4NaPI1adjQ56EHgMBF+Y3WyWTe6PxvmNmZQsLYhkaMzJOuPPqVKsLQ5pNsOFIupZFr7dUbVeqpXuE9MfPHc8TSZPN2hvlYSQJkC5sSd4Xs443O65P4x0xtoszHm5bysZxcbnPsXFwhUqTpdWECShhjcANhpe5zUFunMYzuDsv5LENDQwZuVrUqUB0FSdaXNoBB4I1/O7KzTJv1Jw2P+kd/Mh93U1ZTO5ZNMKcSNKrytrkC50XLDnjUqIut1Gck5gMgPLRa/eVcuDvZulVWkujTsBr3h5FzfSzcu9Xv7MnNP4qw39Ud/Mg9mTmn8VYb+qO/mRREEQ3HtS9s5Xz0I2f8AdW9/ir39mTmn8VYb+qO/mQezJzT+KsN/VHfzIoiCHHtS9s5PQjZ/3Vvf4q9/Zk5p/FWG/qjv5kB3ZWaQ1mlYb+qO/mRQ5NheOktLzdWn2qbIo0nXjYX2JHCTyAazG6BV6rMRBChxXFxNgBqSVzzWyWzMnBdHmJdjWtFyTewA1JzW4mT+6TmcQ0nEmI8dMyLT0mqVlJRiQbUhT1w6qwClG5uduoAbYTscZjYix3NlVQe3iRSq7Mk0o72jiKuFauU+ICEaiUWUoUgiRlBcjW44R2Ti+FR+7gEXjk5kW7jBLWJcVIcYoxOkxLglLk5y32pb5RrVwWGuPvlGpkOhSbZionFGtmdc+gb96/HG0lTZX6rFh0dmCXJ5I0yGVzuOtt6r3CWAsWY4mSxhykOzKUGzj6uwZb8JZ1X5Bc8kXNhzcqtaCHcV4mcUo+2Yp7YAHJviwSfEkRfVNpVPpEk1TqZJsysswkJbZaQEoQOQCMqOaar81GJELkjv7fBeytBl4IvF5R7vvrWuGdmHtz5ub8rKxmvmDSKzO0mjJaC22Jhx2YfddcS222hIUlN1LUBckAayTHTI6h7nndKZW0rNTL6j1qSplV31sNTEw41MS7zSyhxtadJabhSTrSSCLEGL7xbhHDGPMOz2EcZUGRrVFqbW8zkhOsJdYfRcGykq1GxAIO0EAjWI4wfg3CuX+HJHCGCsPyFEotNb3qUkJFhLLLKbkkJSNWskknaSSTrMR3n81e/lHdpUjxfKgW8mOxUpiLcqMlKncK4ncSsa0sz7YUk8mmixHjSYpnF2AMW4GmAziOkOS6Fq0W5hJ02HD/Csar8hseSN6YxqjTZCqybshUpNmZln06LjTqApCxxEGJGVr8zBNovLb39qj5qgy0YXhck9y0nwPmPiLAk0FU2YL0itV3pF1RLS+MjuFfxDxgxs5g3GlExxSRVKO8bpIS/LuW31hfcqHmI1GKeziyLXhNp3FGEUuP0Ydk/L301yg7oHapv7U8NxrFbYQxbVsF1tmtUlzsk9g8yT2D7V9aFcnEeA2MS8zJy1Yg+cS2T/ALyKiZWcmKPG83mM2/eY8FuRBEZhvENNxVRZWvUp3Tl5pGkAfbIUNSkKHAoHUf1iTinOaWEtdqFcGuD2hzdCiCCCMVkqv3THwI4m+bl/9w3Gg52xvxumPgRxN83L/wC4bjQc7Y+cbYfvrPhH1K/Q3BJ/B4v9Q/2tURiyoKptCdeSopLyt6KhtCAkqXblIFvGY3l3MMmjEe53y6r5YS31Rw/LTITxBVyB0RpDX6Wqs0l2TaRpvIUHW0f8wgEKRzlJNuUAcMbY7lbNPAsjkjhXBSMSSMnOYVpyKXMSs5NIZcSGyQlQCyNJJFtY4bg2Iju2XiQGQXB3rff6Lm4WJedjSsCJAaTDa52Kw0JAwk7rX+avxOGUaabJT7YcPLHzDaxG5Us1Mf0tSAlMriasSakjZvjEwrRUOdGo/pH0SqWcmAaJIuVapY2ojctLjTWpFQacVYa7JShRKlcQAuY+dVBprE1ijFON2GVtMV+s1GpMhftlLmXlLPiSghN+M24DEhX40u6TLTqoDgplp5s/FmQ38HAQSdC64LQOk85tzJ5yArXqrdW4TwwU6SZhqqtNgnUlLEopSiOVSiI+gvWy33KemPnTltUKLl/ugMK5nYgcUxTpd2cbXMpBKWFTMuWnNK3AFaKvBueAxvq1mlg15pt9rGVCU26kKQrqoxZQOwjs43UeNLiUa1q4eE6WnRWPOHtPk3NaGm2WQzF+nFfLeFSW72IwnkZK1LekqQ9iilSbmvWEuqcSVDlBsfFGs1Im3J+lSs48q7q0lDh41pUUk+OwPji9N27j7CGPMCUjLWk1iWq1Ser8lVFMyLyXt7TL6akhZSSAVKUkAXvYKOwRR8hJdTafL04rStTCLLUk3BcJKlW4xc28UQW1MSDEDMGqvvBbLTstS3+dNIa592XyJFrE9RNrdRXvBBBFMX05EEEdVmyCYLy9ljzT4SLAw+5b0QStPVW5hP7edFm7/usg/wDkdfMBFcoYcqVQl5Bo2XNOpZTyXNr+mL1ZZalWG5dlNm2UBCAOBIFh5o+rcGVGZMTT6hEFxDyHxHn+Q+q/PnDrtK+UkYVGgGxjEl3wN5v+x+isrJHLUZgYkL9TaJo9MKXJq+x5Z9oz47XVyDljcFllthpDLSEoQhISlKRYADYAOAQm5QYPRgzAtOpq2gmafbE3OHhLzgBI8Qsn+WHWLfVJ107ME/yjIfe9fFaTJCTlwD6xzKIIIIjVJoggjq44lpBWtQAAuSTbVBFySALkxUdPzFdzmxhUML5fTKjhDDsyqUr+IGVEInZxB7Omyax7bR/v30myPckHTKlN0Tj/ADyxXutsypzc37m+uTEhhCm6seY9kj7SWuUqk6esfvuWUjfRt7Ip7BKlK22wNgnDGXGEaVgbBlIYpdEossiUkpRkWS02kdJJNypR1qUSTrJgimBLMJl/UwaRvQToaGiNHRta1uK2q0ah545aJwFiMTdLZKaNVCpcuBsYcGtbXNrunk1cEbgwm5s4RTjTA9SpKWgqZbbMzKG2sPoF0259aeZUSNLnTJTAcTyTker9FGVWSE7LkAcoZj73rXrIPGi6NiI4XnHv7FVz+yBOpuZA7EjwgNE8oTGx8aQS8w/KTDU3LLLbzK0utq4UqSbj7RG5uHKw1iChSFaZtozku29YcBULkeI3HiiS2ilRCitjt0dr1qP2emjEhOgO/l06ipKCCCK4rGqv3THwI4m+bl/9w3Gg52xvxumPgRxN83L/AO4bjQc7Y+cbYfvrPhH1K/Q3BJ/B4v8AUP8Aa1GyMKpUSi1kldTprbrp9s6g6C1eFqIVzkX5YzYIq8KK+CcTDZfUy0O1UPJ4OwrILDkvSAo7bOLGj40oSm/jiZUoqsNQCQEpAAASBsAA1AcgjiCM4sxFj/tHXQMA0C4UELQpp1tDjbgsttxOklQ5Qf8A0RDTGCcJTTm/OUlSVXvZLiSPFppUR0xNQQhTMaALQ3WC8MNrtQsan0ymUlJTS5FDBIKS5cqcIO0aR2DkAEZMEEYRIr4zsTzcr0NDdEQQQRrWSIx5tWijVtjIjCn1WSbRk0XK1xCQ26zsAspm8ZydxqYS69biISQPtIi/8EUpNcxjQ6Q4LtzdQYbWP4NMFX2AxQuV6wcYFJ2mUe/8Y2QyeKE5oYaK9nq4Dx6CrfbH37YBog7PxIjdS5x7ALL8d8MkR0fauFCfoGMHa511uwmwFr8wjtGp2Psu92nP7tPC2NcG5gsSuTEs1LCo00zqUtBpKCJlpyWIu684q5Q6L6AKdY0bHbBNwkA7bRxKMXMEEEEUbP4lw9S5oyNRrlPlZlMuuaLL0022sMpvpOaKiDoCxurYLG5j5vbo/dXY93W+YTO5Z3Kzzpo1VdXK1WutqUgT7KfdlBY1tyKBrWv2zupI7FQC7M/+R7clY3z0qmC8YZR4JRVMSsqepFVm+qDUsG6eQVtb4HFAKSlxTl1JuQFEWUCLVNuM8Y0XcQ49q2VW6Wy1dwXWsUzCEyWNHyXpOYZRqRL78LoSxpXWHEG2kr9qE2BBerfPc9ZB4L3OeWtPy8wcxphkb/Pz7iAl6oTakgOPuW2XtZKdiEBKRsizY8paZl5xhualXkOsuoS424hQUlaSLggjUQRrBGqPWC8RHVZFiLx2jUzP/LvdqYg3UeXuKcncwmaXlhT/AFL1ckTOpabGi+pU1v8ALkEzO+M6KEWvokfue2JEi49pSKJjeu0ppNm5aoPpQOJJUVJ+wiL+yHqCpzAMmypVzLPPS/MAu4+xUUvnOUKzSxIUd+AHn3tF4tTc8qKcJO32Gfet5KIuFWPlKZDc7Xk/RU6kfh1J7G6cr6q24IIIp6uF1DYvwTSsxsOzeDK0/MsydSCEurllBLg0FBYsVAjakcEVn7B3Kv49xN9aZ/Ki7ad28zznzGPbEE9NSbjIlnigKCr2A17I4pinSs27HHYHHTNTFPr9TpUMwpKO5jSbkA8/SqM9g5lX8e4m+tM/lQewcyr+PcTfWmfyot3q1VO+1dA+6Dq1VD/i1dA+6NHElP8AYtXf6Z7Qe9v7VUXsHMq/j3E31pn8qD2DmVfx7ib60z+VF+1SYel6Up9lwpcARZXORC/1aqnfaugfdDiSn+xanpntB72/tVRewcyr+PcTfWmfyoPYOZV/HuJvrTP5UW71aqnfaugfdE/Rpl+Zp4efcK16StZ5DDiSn+xanpntB72/tVB+wcyr+PcTfWmfyoPYOZV/HuJvrTP5UW71aqnfaugfdB1aqnfaugfdDiSn+xanpntB72/tVRewcyr+PcTfWmfyoPYOZV/HuJvrTP5UXjh+fm5t95My+VhKQQCBq1xj1epz8vUHWWZhSUJtYWHEIcSU/wBi1PTPaD3t/aqWG4cyr4a9if60z+VETWNxNlUwk2reJz/1TP5UXn1aqnfaugfdEdOVGoTE4y07MqUharEWGsQ4kp4/0Qh2yr51m39q1hrW5uwVl+zMYloFRrTs3KNKsiZfbU2UKsFXAQDs1jXwREYUq3UHE9JrV7CRnWX1eClY0vsvF75hoc9TGWCyG5hK0LFhrSRb0xrs+wuXeclnR2TaihXLaL5stCgQpWJJw22F72G8WK+cbXTk3PTcOemXl7rWudcjcfVfQVtxK0hSCClQukjhHBHeK6yMxmjF2A5MPOhU9SwJGaBOslI7Bf8AMix5wYsWK5GhOgRHQn6g2U5AjNjw2xG6EIgggjUtq4IB2iF7HeXmCMzcOzGE8f4Yp9dpE0LOyk6yHEE8Ck8KFC+pSSFDgMMUEEWtWFMos1Ny4/vOUdRnseZYhZUrBtTmgarRUE3Jpc04Ql5sXJ9SvFN/3HNLUb+wtiik4worNdozjymHiUqQ+wth5lxJstt1pwBba0m4KVAEGJeOAANnDBFzHVxQSgqUbAC5PEI7RX2d+M0YPwHOrZeCZ6opMjKi+vTWOyV/KnSPPbjjZBhOjxGwm6k2WqPFbAhuiP0AWpuMasK9iys1pJ7Gdn3nkH+ErOj/ANoEX7kfJKk8GSBIsqZW7MeJSzb7AI1wkZJ6oTbFPlUkuzDiWWxyqNhG3GEqe1TpGVkGNTcs0hpHMkW9EWnaJ7YUCHLt+wBZVfZ+G6LHfMO+yTdMsEEEVJW1ZFO7daPKfMY64p91l/BV6I7U/t1rn9EemIpSamXGDLsLcCQq+iNmyCJdjkRk9S6l3i70RyKXUu8neiCKfrXvKvwUecQrGG2qsvPUlTLTalLIR2I26iIXDS6l3i70QRYkNOH/AHrHhL88QHUupd4u9EMVEYel6cGnm1IWFK1HbtgiU4IyupVS7xd6IOpdS7xd6IIpDC3bL/gDzxi1330e/l/pESGHZOaln3lTEutsKQACobdcY1Yp86/UXXWZVxaDaxA1bBBFER1S0HJyXPE4IzOpdS7xd6I95GlzonGVPSjiUJWCSRsgir/MOU1M6u78wihsZUsszQn20nRX2Lg4jwHx7I2cx5RpmZS1vDC3NEqvojZsio6/hedeQ407IOFKgQQUx2SE46RjiKNOfqXHPyjZ2CYR15txSdlRmHMZdYnbqKtNynTQDE+ynapu+pYHdJOscYuOGNzaZUpGryLFRps03MS0w2HGnW1XStJ2EGND61RJ2izG9zDDiW1k72tQ1Hk54dMqM46tl1MiRmkOT1EdXpOSul2bJO1bROocqTqPIdcWWp09tShiblczbt/UKtUyoOpsQysyLC/Z+i3GgiEwtjLDmMqcmp4eqbU20QNJKTZbZ7laTrSeeJuKe5pYcLhYq3se14xNNwiCEHPTOvBm57yyq+a+PlzfUejhoONybO+vvOOOJbbbbSSAVKWoC5IA1kkAR55D54YK3ROWdLzVwAZ0UiqF1CWp1nephh1pwocbcSCQFJUk6wSCCCDHiyVhQQRDYoxdh7B9OXU8Q1RmTZA7HTPZuHuUJGtR5BGTWl5wtFysXOawYnGwUhUKhJ0uSfqFQmW5eWlmy4664qyUJAuSTGmebWYr+YuJlzzem3TZMFmQaVtCL61qHdKNjyAAcESWbGc1VzEeNNkkOSFDaWFIlyrs3yNi3SNXKEjUOU64UcK4YnMT1AS7IUiXbIL71tSE8Q41HgHji30unNprDNzeRHcPFVGpVB1RiCVlcxft/RN+TuF1zdROI5ls70xdqWuPbOHUpXiGrnPJGxNIYLTQNtghUwxRmJCWYk5VoNMsJCUJHAIeGW96bCYrU/NunY5inTm6lZJCUbJQBCGvP1r0gggjjXYsin9utc/ojOq1WVTVtpSwlzfATrVa1rffGDT+3Wuf0R1xT7rL+Cr0QRHXQ53kjy/0g66HeCSR5f6RBxyIInKenVSkiZsNhRASdEnjIiI66HOGSR5f6RnVr3lX4KPOIVjBFN9dDneSPL/SJamzyp6U9UqbCCSoWBvshNhpw/71jwl+eCLC66HO8keX+kHXQ53kjy/0iDggiaqTV11J1xtTCW9BINwq948qhXlyU2uWEqlYRbWVW4L8UYmFu2X/AAB54xa776Pfy/0iCLM66HO8keX+ke0niFyammpcyiUhxVr6d7fZC7GZSPfOX8P0QRSOKXzKNtrRLpc3y97m1rf/ALFbVqfWoq/sSfLP3RZmKQC3LgjVdXohKqVNS6CpKdUEVVYiSzPS7kvN05DjatqdM9I1ajyxXVdwjP0geqWkqelSArSA7JF+BQ9MXXVKPcKsjgjwxDQ/+DqJR/do9ESEjUo0g7kZtOoKj56mwZ8cvJ3MVRNJrNWoM6mo0WpTMjMo2OsOFCrcRttHIdUWvh3dO4zpiEs16nSVXQn+81sOnnKbpPkiFOo4UYdUVb2UK7pGqIN/Cs4gneXErA7oWMWHjGmVAfmG2O/xCr3F9Sp5vLm43eBVx4mz5yvzFwxPYPzEy3mKrRqo1vM5ITCWZhh5NwQCFEbCAQdRBAIsRHXCmeuVeWuF5LBuXGWsxSaNTWy3J0+XSzLsNAkqNgCTcqJJJuSSSSTFONYQxA+jfWJILTci4cT6THgjDlYWbepQODWsRj5hR/Wxj/0svPqv6uA3+FWniPdPYyqaFs0GmSVIQrUHDeYdHMVAJHkmKnrFcrFfnVVKuVOZnplW119wqNuIX1AcgsIl5PBE++QZh9DaeEJBUfQIfcD4EpjM6XHJUTDiEBSVvAK0TfaBsEZcYUunD8uLnd4lY8X1KoH8wbDf4BVnRqC/U6i3JPpcYSoJWoqTZRQdhAPHxxfWGMNytMlUScmwG2kbANpPGTwnlhdnqRo5jup0P8PL/wBMW3SqWEJBUmwivz9SjT55eTeYBWGRpsGRbyM3c551kUqRDKAsjUIk44SkJASkWAjmI5SCIIIIIsin9utc/ojrin3WX8FXojtT+3Wuf0RJz07ISpQJ1Iuq5TdGlBEnXHHBcDhEM/Vih9yn6H9IDV6Gf3E/Q/pBF3rXvKvmR5xCqSOOHaZfl2ZYvTCRvIte6b7dmqMDqxQ+5T9D+kESxcccNFAUlNLFyPbL88YFcxjhHDtHna9WptiTkKewuYmH3W7JbbSLknV9nCbAbY1Yk8QZvbsmrzslhefnMC5VSbypd+ZZGjN1Ejai4tdRGspB0EXAVpq1RzR5lsEhgF3HQD7yG9TtIoUWqMfMxHiFAh2xxHXsL6NAGbnHmaM+mwzViY63RmTuXry5KuYxl5ifbOiqSpyTNPBXEQjsUnkKhCKrdi0iZJcomT+PqjLcD6ZJKEkcerS88XHltkpkdlbLNt4awnKKm0ABVQnGPVE2s8ZcWOx5khI5IsgVijJFgsgcA3s6o1+Tm4mZeG7gL95P+F3+e7NyfIhSsSP/AMnxMF+prAbfN5WuWCt2xlGiqGQxdI4hwo++AgGpyBLaTyqbJIHKUxcwr9FxQhNdw9VZSpU+bSlbMzKvJdbcFhsUnV4uCELdD5p4EwfJ0+SxplJUMY0CppdE7NMyDbzUiE2A09MalG5I1p1A2N467m3FG5uaw/N0bJepJQzMTLlRmadNKcM004sAE6DhKtABIA0bpFtsYwYr2xfJRHg9x7NCttTpkpMUwVWRlYsIX6REh20N3ABzCDoHA36U/wBxxxl0gjqnL6/3/RE51Yofcp+h/SPSXqlIeeQ0wkb4o2T+ytr57R3qnLExSQESwJ4VeiF82Oo2MOU9OSUqEGdSLKvo3RpRidWKH3Kfof0giSpynNvpJTa9oyMQ0EGirIR/dI9ENprFCtrQn6H9Izpl2VTKF6YQCzog+1vqOzVBFr/N0IG/YiI52gjXZIi93XcOuA2SgH5j9IxVs0BWzQ+g/SCKr6Dh3SkLhF/2ivREGiggLPYi9z54vWTo8pMt77JoTvekRqTo6+aMZDNBQbKSi4Ov9h+kEVRytCHciHPBlCvOOAIvZseeHNp3Dje1CT/ofpEnT5ulvuKbkG0hSU3Nm9HVeCKp6tTW2czngoDVLy2r+Uw/gACyRYQnYh+FCY/y8t/SYcoIiCCCCIggggiyKd28zznzGOuKfdZfwVeiO1O7eZ5z5jHXFPusv4KvRBFBxyI4jkQRNNa95V+CjziFYw01r3lXzI84hWMEWu+64mqviV3A+S9EmCy5jOrXmljgZaKQL8YCllf+mI2cy5w1RsIYOkMM4flEy1OprXqeXbA/dT+8eNRN1E8JJMa2boR9nCebuUOZNTIRSZGpzFLnHiOxZ34DRWriGtRv/CY2mw8f+FgXGpS9nPHDLtBmYrna5D5Wv9bq4VqM5lCp0tCyhkRHnoMTGWm+8NDQOgHeleCCCO5U9TOGkJcemELAKS2AQdhF4oPPzc10KuTkzjTLBgYXxtTP7XJzNN/s6JpxKb6C0p1BatgWANZsrSBMX7hbtl/wB54ica1in4eFSr9VmEMSdNYVNzDijYJbbRpE/Z9ojRMQYcZhbFGX037lK0aqTtJm2xpFxDiQLahw/wBrho4HSxVYbnvNV3NvLuXrlSbQzWZB5VPqrSU6IEwgA6YT+6FpIVbgOkOCLXpHvnL+H6I1s3FdHnkYHxHjKbYUwziiuuzcq2Rb9ki6Srm0lKH8kbJ0j3zl/D9Ea5GI+LLse/Uhd+18nLU+uTMtJizGuNh0aEtG5puBuClMUe0ludXohfhgxR7SW51eiF+OtVtB2HmhqqnvEr5tHnEKp2HmhqqnvEr5tHnEESrBBBBE0Yb97v8AUV6IWXPdFeEfPDNhv3u/1FeiFlz3RXhHzwRdYmcL9uPfNemIaJnC/bj3zXpgiSsQ/Ce//l5f+kw5Qm4h+E9//Ly/9JhygiIIIIIiCCCCLIp3bzPOfMYk5+nSc8pCppRBQCE2Vo7YjKf261z+iOuKfdJccivRBFl9QKT3avpYOoFJ7tX0sLFhxQWHFBE7TMsxMyplnlENmwuFW2bNcYHUCk92r6WO9Z95V8yPOIVSBxQRdczMosI5m4LqODK4XBLzyAW3UrBXLvJ1tupvquk8Gwi4O2NfcH5z5ibmB1jLndAUSdqWGWV7xScWSDZeQWhqShzurC2okOJGqywAY2EsIYJCmU+r4fcp9TkWJuVf00usvtJcbcF9ikqBB8YjljS5e4RYbsLh2EdBCsFLrbJWXdT56F5WXccWG+FzXaYmOzwm2twQbC4S5g7GeVGP5VM5hDGNNqiVi+izOp3xPIps2Wk84ENPUGl2uQ7bj3zVGuuJ9yPkdiSZVPMYafoc0ok77SJtUuL8iDpIHiAhcXuK8HqO9nMvHO8f8kzrZFuK+j6Iw8pNtyMMHeHW+oXaKfs1HOJk7EhjofCxEfNj7HsHUr+xfm1lHlOw9OYmxrTpJzQ7W9UB6ZXbXZLKLrJ8Vo13nqvjrdqV4UfDtNnsLZVy8wlVSqUxZMzVdAghtA9rwDsUkpSeyUSQEw/Zb7jrIqhT6p2aw0/XZloJWF1eZL6Cq+0tgJQf5gYt2pSktIzZk5OXaYYYQhtpppAQhtISLJSkagOQRiYMeZyj2a3oGd+s5ZdS2sqdHoP4lIa6LMc0SIA1rN7IYLuV0Oc7I5ht1IUXBOGMP0iTodIlkyklIMIl5dhpyyW20iwA/wDdZuYkZejU2XfQ80tWmg3Tdy+uFSw4oy6QB1Tl9X7/AKI7gABYKnve6I4vebk5kpnn5CUnggTSiAi+jZVoxOoFJ7tX0seGKPaS3Or0Qv2HFHqxTP1ApPdq+ljPflmH5QyrhIaKQL6VtQ2a4SDsMNdT1UJXzaPOIIunUCk92r6WDqBSe7V9LCxYcUFhxQRO0lKsSbO8yxJTcnWq+sxgGg0okkrVc/8A2xzhv3u/1FeiFlYGmrV+8fPBEy9QKT3avpYyZCmyUk6pyWUSpSdE3XfVeE+w4omcL9uPfNemCJKxD8J7/wDl5f8ApMOUJuIvhQf/AMvL/wBJhygiIIIIIiCCCCLIp/brXP6I64p91l/BV6I7U/t1rn9EZlYpLtSW0pt5CN7BB0gTe9vugiVY5ETPWvNd9teSYOtebH+KZ8kwRSFa95V+CjziFYw4z8mubkDKJWlKiEi52aiIh+teaP8Ai2vJMEULDTh/3rHhL88YHWvNd9teSYmKZJLkZMSy3EqN1G4GrXBEmwRNda813215Jg615rvtryTBEYW7Zf8AAHnjFrvvo9/L/SImaPSHaa64tx5C9NIHYgjhjxqNBfnZxcy3MNpC7aiCTstBEuRmUj3zl/D9EZ3WvNd9teSY9pLD0xKzbUwuZbUG1XIANzBEYo9pLc6vRC/DZWKW7Ug0GnUI3u99IE3vEb1rzXfbXkmCKFOw80NVU94lfNo84iOOFpojttryTEzOSTkzTjJJWkKKEp0iNVxb7oIk2CJrrXmu+2vJMHWvNd9teSYIs7Dfvd/qK9ELLnuivCPnhvpUiunyu8OLSs6RVcDVriJVhiaUoqE01rJPtTBFCRM4X7ce+a9Mc9a813215JjOpFHepz63XHkLC0aNkgjhgirvEPwoP/MS/wDSYcoTcQ/ChMfMS39JhygiIIIIIiCCCCLIp/brXP6I9cQTs1KOMiWeLYUFXsBr2R5U/t1rn9EdcU+6y/gq9EEWB1Yqffi+gfdB1Yqffi+gfdGFHIgibarMPMUpT7LhS4AmyhykQvdWKmP8YvoH3RO1r3lX4KPOIVjBFmdWKn34voH3QwUaYemaeHX3CtekoXPIYUoacP8AvWPCX54IoPqxU+/F9A+6DqxU+/F9A+6MKCCJhw/PTc2+8mZfU4EpBANtWuJ2FvC3bL/gDzwyQREEEEERBBBBEQQQQREEEEERBBBBEQQQQRVLiH4UJj5iW/pMOUJuIfhQmPmJb+kw5QREEEEERBBBBFkU/t1rn9EemIpOamnGTLsKcCQq+jwbIw9J1HZsKCXBrQTsB4L8kYUjmzhNaFM1qbNLnWVFt5h9tR0Vg2OioAhQvw/ZBF26k1PvJ3oEApNS7yd6BHv66mX/AMppbyF/hg9dTL/5TS3kL/DBFOVVh56kqZabKlkI7EbdohcNJqXeTnQI9/XUy/8AlNLeQv8ADB66mX/ymlvIX+GCLw6k1PvJ3oEMNFYel6cGn21IWFK1HbtiF9dTL/5TS3kL/DB66mX/AMppbyF/hgi8OpNT7yd6BB1JqfeTvQI9/XUy/wDlNLeQv8MHrqZf/KaW8hf4YIs/D0lNSr7yphhbYUgAFXDridhT9dTL/wCU0t5C/wAMHrqZf/KaW8hf4YImyCFP11Mv/lNLeQv8MHrqZf8AymlvIX+GCJsghT9dTL/5TS3kL/DB66mX/wAppbyF/hgibIIU/XUy/wDlNLeQv8MHrqZf/KaW8hf4YImyCFP11Mv/AJTS3kL/AAweupl/8ppbyF/hgibIIU/XUy/+U0t5C/wweupl/wDKaW8hf4YImyCFP11Mv/lNLeQv8MYtSzgwNJSqnpWqGedA7BmXaWVKPOQAOcmCJbxD8KEx8xLf0mHKKpw/VZ2v4rfrs8Al2ccCtAHsUJGpKRyAACLWgiIIIIIiCCCCIivscYWQ9UjUWW9UwNJVh++NR6dRiwYjK92qjwj5oIqq621dwemDrbV3B6YcDtggiT+ttXcHpg621dwemHCCCJP621dwemDrbV3B6YcIIIk/rbV3B6YOttXcHphwggiT+ttXcHpg621dwemHCCCJP621dwemDrbV3B6YcIIIk/rbV3B6YOttXcHphwggiT+ttXcHpg621dwemHCCCJP621dwemDrbV3B6YcIIIk/rbV3B6YOttXcHphwggiT+ttXcHpjlOHCDcohvgG2CLGw3STLPoWE+1I4IsE7YX6T7onnhgO2CIggggiIIIIIv//Z</t>
    <phoneticPr fontId="1" type="noConversion"/>
  </si>
  <si>
    <t>data:image/jpeg;base64,/9j/4AAQSkZJRgABAQAAAQABAAD/2wBDAAMCAgICAgMCAgIDAwMDBAYEBAQEBAgGBgUGCQgKCgkICQkKDA8MCgsOCwkJDRENDg8QEBEQCgwSExIQEw8QEBD/2wBDAQMDAwQDBAgEBAgQCwkLEBAQEBAQEBAQEBAQEBAQEBAQEBAQEBAQEBAQEBAQEBAQEBAQEBAQEBAQEBAQEBAQEBD/wAARCADVAOEDASIAAhEBAxEB/8QAHgAAAAcBAQEBAAAAAAAAAAAAAAMEBQYHCAIKCQH/xABJEAABAwIEBAMFBwEFBAgHAAABAgMEBREABhIhBxMxQSJRYRQyQnGBCBUjM1JicpFDU4KSoXOiscEWJCU0k7Lh8BdERVRjg9H/xAAaAQACAwEBAAAAAAAAAAAAAAADBAACBQYB/8QAKBEAAgICAQQCAgMAAwAAAAAAAAIBAwQSERMhIjIFMSMzFEFCUlNy/9oADAMBAAIRAxEAPwDYDOHBCMJGcLmUYYMIGj1x0hGO0IwayjwYhc5QjVhQhGj9yfg0/EPPBKOY4VtR2Q643+Yors2j+bnuI+mO0ctDyUFwy3P7MkaGdfmE/wBt83Lp8kDFd0GEp3OytsNCQpaW4/Z9Y0Jc/wBmOq/8Gv54QTZ7UdZVTfC6ocxMiQfxUj9iR+V/Ialnu4cKWo82e8445qeU5u4S5/xPwYCxSoajzGvbXvgQr8gfJffCzuGSkrXNrNZmUiU7TiptLt9c178NDe3QKHv/AEC1+ZxhzNPDjM9Kr8ioIZW+gOlYfKOWXPUgeMI8l98fQuthdYUlc9wq0CyAPAhGInPytBlIW08ygFe+vR7p8sOU3aAbk3MIw6nNhNgTkLQv/wAP/e7/ACxIsu5xqdFlmdl6tyoUq9yqM9ylfUf8saTzDwUoVUPMdgoDx6rRips0fZ8qkKWp+jFBFvcw4lyCfR4JXk/7WWdqU2ImZ40ausAjxE8h8f407f12xd2T/tH8MM2thqVV/uSdcAx6l4Eq/wD3J/DP0xiCsZWzTl02l05Yt+n4vXDQaotPiUhPNG5Ro971xOilhTdz6jsPMSoyJkVxtxhwXQ42dYWP2D4h645OydZ909MfNbK/FLO2TFuS8pZql05IKVuNod1MquRutDnhv8t/LGhuC/2pOJGfcws5Pl8MnszS9V3ZdNbDHJbv+c+g/hISBvqUUk26dsAtx+mERzUiBqx1otvgzkcorSv30KSV2UV6SR5p8H9MfvLwEKFHpjjCgo2644KMQgUemOcGnYXwQ6uwJ9MVIdbdzYdz5YIU62ElxzZCDa3n644ffabautd9QtbCzK86nP1CU3LdQS2yS2FdQoDbz727HHkkjuFGM86zzkRlltQ8Kkp2OELqVNEJWhSSe3nhizrmIvyVxmpMd5TYJKUIVIX9Qbgf5RivINcqgqhTEkJjqKgElCXGiDfYkJQB/XbA0cLNJb34fwnSruMFu9/lhJlyTIqGXWqjP0Ba5C47av16EoUT/v4Vu9/lgsC/p2PO9gYGBgJtnoaZwuZXowkZRhWjDLmCgirWa8u5VZiycw1aLAbqEpEOIqQ9p5z6wsoR/PwLw7h6OpCDIe9qbc3DcT8lf7Fv+4pH7EWH7ziH8TOHlP4kZKqeVJLDKnpTOuAt5gL5Er4F7/8AvRrxlaHU+N3Aealh01elRU+BDDqfaoT/AOxPwcv+GJ/H66+BeMjov5m3+XIllEVHMCm/caSzoR/kwbJYjQCkVDlre/tGYvjd0duYfgxnzKH2w4T8Jmk5oo6KMpf/ANSpYW6lz5oX40f7+LUy5maiZojKqGV6rHqDKNlqbe3R/Nv30YC+M6e48mVS/oP0+qSJYDV+WwOjLXT+nx4QLe8RXy73+BHQY4X1tb/F3xytGBFvs4X4sEuMoXhToxxo9cWBCIxW9+ZhIumsWtoQPph15eBov0OLkIdUsp02obSI6F3FrLR73riq878CaFPSuRFYS0r4S33Pb/XGhGoMuc4WIscOKRusg2SkdyT2sN8fr0+j5WYQ/Ddjzai+5ZqUsBLCSenKSdnFXt4iPWx64ulzlJqrgzPk37HrLrjVb4o116i0uSdTNOgjRMqIG9lJX+Wn9/fGgcoUGnMUxOUciZejZeyzHILyI6bhwg+86577yj08fhHbEqhZEk1N77zzk+488/4zHS5cOH9Tq+rg8kp2GJU22hpAYabS20lIQ2hHYDF/2Av/AAcpSEgNNo0Nt6W2x5AJxx2waemCuuPCpzgt2+9uttt8H6PXCSQ+2w0qQpxKWUGwJ8Kir0Hc+mJZK1JvYXribW0OC0CQg++tJJ0jUP64b5QWgFLbiVkDceQw+RY9BzBCTGiV+VEmLUNSXE6bnyt3w31LJ1YpqVvNt+0pTccxCtW38O2Mm35LR/H0NWr43dPMgGb647DiLDLTinNCtB9bbf64qWmcQ6kvNMyHIizXJSobjjEWOQp1/SblKASAparWAJFyRjSFNybLzOQHonJYQQFPu7EHySO58h54iPEHgFlSRMbjzpMRTiiFxggFt5hV/euncEnuN/LGli51NicWGXfg3UP4EJTmuhtvTmpdcozQo7KJExNSfVTvZEEbOOmy0hAUhabpNwUXGJ1Q5OXZimhU28v3eYalNByqq8TLiglCgNHRRI0n4sNUfhNOjJfjrzTUprEhIQ8zUAJgdSNtLgV4lC21j18fniY0qkPUlKAqpucxthEbW0ygKUyg3bQVjcpCrWT8OC6p/g8Rnj7HWpLDUKFFb5bMeOlSG2mmtCPFtcfq69cNK0Ycy6pYPNCnCfiX1GEj3X64qhVvNzzrYGBgYAbJ6IGcLWfHhnjScODL2GXMFBcgLWlDbjl/HzMKCxGkR3Yslpp2PI8DjKkawcIUPN9cCpVqn0emS6tMdtGgsF95X6U6NYH9cXQ8lzOH2iaXwCygHYsSgVVrMiUauRQRaOwXN0LfQvwJTbs2MZgy/wAV6RS5iHfvmTTJKLaHkucu3zc6o/3MSPNea52ZMz1PMcslMidKMh2znjF90o/wJ0N/IYi9XydKzTDU+9lJKkp2EpZbjk/4+uNKpP8AsEmVf6NE5N+0fmeAwPvYRczQL7PKVpec9UPI9/64uPLPGzIOaU8hye5SJhNvZ6inlXP7HPcx833OFHFnKL66nk9TiR+mJOZcPyUgq0OYT0rj7X6FUPuXiPlxfMb2Uphnlvo/kyvZfzxR8ZLA1ORYh9X1oWlGoG4v1TuMFOHzbWP5p0/6Ywrw0+0K1FWhjJeey0pXWnyF2+nKev8A+UHF5Un7SkvQEZhyoXFE/mQV2/3F7f7x+uE3wXT0G0y9/wBheXMHRxxCVH3AFk3+o3R8hhYYCYbHtNaWYaVpC2mAEiQ6P47pbH7l6T6dsRmbxUyTlLKredqrNZpCFt3TOnlOpBPwNNjo523ClX+EHGdc1cY+IvFicql5CjzqFRX1ESZ7p/7QmpO1xbZkeu7nmBgSUs/2F6yf0WxxX+0hQcma8p0Jn71qyDduiwVmzV+i5ThuUA+Z1avhSkYq6hZY4hcU6uxmbP8AKXy0qtFprCtENlN+iUb61eZ3+Y6Yl3Bz7N0aMx95rhsJ5aip6c+bt6+63VL3Uo4vWE1RcoRUqy/GKpIHKdnyEXUf9kj+zT+7vgm6p6C8I9z8ufuVqVPylTGE1etyozaE2bpxOtxaPhKh0aR5G6b+WJql8rTco/Ss/UYr9xWsqUvUtazzFqX8ZPf54miHG+Wnx/An/wAuAhWBUKzAgtanjckdPPDJRs8Zeq8gxxU2I7wUUct5ei5HQYSZq5K41wypfhO5+WM+Z0rUKYmWwG20OJISWyb6gO9u+A5UvXUFxU6j8GsbtlOpCwtXcNKO3ytjOXFPihmnJHE+ZTIjzM+mobiOJhPI1JaJZ3LekFaVHubH5HpiH8M83V0Z9o9JhVqpohuyzqaVKWGdITuOXrsNscfaIVr4t1ZCOjceIq3zZTjKyLZvp9TXx8eca3iGLNydxpyhmEezVNxNGlq8IRLUOUpR2CUvAkXJ2CVBBPS2NFZTpFVpMVM2VX3FMONBxqK2vU3pPxFSzYbdk2x86qcwiZUoTbzaXEmS0ClXRQKxcH0PTFvZ9ztnTJdKppy9mOcyyuYpC4i18yM4kJ2QEOeGw9LemFcfE1jqQOZWXu6UGuZWd8ttTFwVPuNJWkoVKbRcJUdhY9R87H54ZZOR/bWnJVFqHt7bx1lS16lk+p/54zllT7RFLWGYec6Y3TnAADLip5jHzWn8xH0BT5m2LIj5ohNsNVPLlY1JkM60PtOWSd/09/lhe1mefzDK1dPvUSN9qq0h3ly0vMJG5HvCyfXt0wRSaumqS1xnGwAlrUlWu9yDh7rVbm1bhOKpUXmzIceLTgWnSV/9ZskgYi+USwHnjy7LbZCb/M4axrnqvWtHEsulLKGsH9aN8Jnd1W9cK3MJ3EX38t8dGcyedPAwMDC5tn36i1DDkioN/rxB0VNtrovBiK4hHx40nQ5hHJuiYEbBwYqH7RmcJLOWo+T6UC7KzA9ZaGl2V7O34lX+bulP0xJHMwR2wXddmwjma8Z9zzXKlmmpyqzTX+XLqz5pdJX/AHERrZ576rU5/riadP3L/sIZGbbjzHIsFUB6ZDP/AGjXJSNUSAr9EdH9u9+5OJdSMnrqifbmMsyKuNAcXVa47sv+IVpQj/CFYf8AhZkOnVp2PV3IZcy/TnOTR2m27JlyB+ZKd/acW47T47bbzHIS426nSWVI8KUdtCOgxR7nccSlEKhn5SzVTChTOWaHNRYqS2CgOKsNdmv1K8z6HEKzhkDKvGChu5Yr9NNOr8NgKhSB4lMvd7rO/LOLegT3cwZ3nclSVw8v2p7R0DwyNAU+ofxC0J/xuYj3EqkvwqcnMqnQqp0hwFx8N6XJEZWoIU55lCyLD4tNziJc5fo7mGYuQCnME3I+Z0CnVmmuFtDyf+7PEe6QPl3xbHDjI3E2LJ9np+bXnIt9mg5zED5BzE54j8M382IRxLgxFiZRwGJziU9U3/4YMo6HoRUtLhSUpCyodSo9MaSXcIZdqaPwWdQ+CGYc21CDPzjImV2oRU6Iyn0lxbKf0toT4EHzItjRuTuFOW8mxG/vdlC5Kt0xWTa/+1cG/wDhSFK8zgzhHGr2W8iQIs+WszZ6fann1J1Plo9Gyr0xIyoJ1qClm+3jOMy3I6g5Tj6HU+puyktslCW2mhZplFkIR/EDY/4t8NrmsdOnxD9Z88KVothO50wEKJ7X8Pnth4XOKElI7aUf0GGRSADfX0OC5ElxFxftgiA3cdXKk260GnlIudsQ/N9GyVWI/OrsaC0lSg0H3FaVKX0G/Y3wnqtTUgEIcCF2OkevbEZh56hyEv0fN2Xm1x1nQpxgBxtf8mztf6YvKcoL12cP5jjSeE2UMs1dGZKdCekqaXqabTJuyFW3JHQnFT8Z6o1UeJtVn6FJU6zGbKVdrNDFhLy00mI7VuGuZ5dPuCDFZcMmKDbouO4boP8AApt5YoTiPV8zRc1SahmmMhK5OhkzI7Y5CgkfFb3T6EXxmfIUT0o0Nn4+zizdxZTZ3ssqPKKQQy6hyxNgdKgbX7dOuJfnXOjGcaVAaNNchvsyFPu+K6EgiySFdTfFXxK1HUkPFxHKuLL13Tf/AJYcmZzanA42o7n9eMhWdK2g3WphmWwXEBtfjSHPni++F7Sm+H9OaR+IXUL2t4QC4vY+mKBS+06C4BdSFC4GNB5Bebi5EoyJOlIfZIbKl2UVFeyQO+Er04XkaRuexOX83TXcqxcpMttojNrU++6fxHHSp0rsAfdAvhVkoB2TKCF7BpH/ABxE331IZceGkKRcBNrkkdh64mfC6FPWaiZLDLbjX4CA2olspus7q/V4OmLYUb5CyL566YzISNTPiB1k74/FowqkAMqAc8O+E7njBKelsden0cgecnAwMDCxtn2bXWP4/wCfBX3w5/ef64jDz76O+OFyx+o46HRDid3Oc9Zs9hoRjx1gOzU8tJ14b67RTSWZaoTigYdNg0SMgJH4a5FuYR+/xr/riI57qCJLwfSPw2VDQnsN8WjndsRTU5D8Za4ya9SJBUgDZDg/9Uf0wHJU0sH2Lay9SBSKHHpURxkR4TDbEdDQsEKHvhfmcVtxu4y0rhBAiGRTzOqNTL6ITYlNsNEtNLWpSnHSAjdINiCTi30tOJStcmKyz+K4GQ2u9k395dvj9cZt4w5bi8UOM2S+FU6G3MjRHHswVVDfvBltlxtttXkF6z7thsjCCebmkTfgTBZlcLqDmAPuPPVZhNRcUtuxdeeHMcWPJBUspth44lQGYeTK67KjMKiqpLynHnHCl0uospCEnsBfFl0uiwqVTGIMSK0huM22yyhDYQhtv5DFWcdqsmJRE5cZmFb1ceS2thSLhuMhy7yh8xbEp835I76CXhVETU+GHFJ2QAppqmbp0kjmFLd+uIVw2ycM0Z9pVOTHBYQ8mTJHmy31H9bYsocrI32fZtImOuJqedqoFp1m5W2nxKSfQJSN8Pv2c8rliHUs4vMgOTFmIz+1pPvr+o0YYl+nWzCbL1HVC3tCUNut30oUAUp/Rv0xwvrg1aMFBHljP0GdwpaMEu9CDtthQbkeEXJ6W7nDZWarTqMxz6jLQ204AhkJut193u00Oql+nTBeJBzPBytp0+60rmWunf3h5nCeRAfU1r0dRbB1JyTmbOemoZkecodKbUh1mix1WkSwkgpXJWN9iAdCLeu2JzNo6dBCQVdSS4kJP+mDJMJ2AazZHJQ+ZKLOUohpbnl7uKWze3mOlB08h0tpXda2feSkdSPUDp642BUKIhd7tqsQfhxBq1k5pwLQ00VBe/iTgyXCr0mScw8bkZGqsRVHvWIDzaVOtOLLclhXc6gAgE+Svria0Lirw/4ltojzZzSJjqdAjSgGpTd9rJJslwb/AAq38sTLNXCGHUCpUiEnYH3kXIxRmcOAZs57Cyt1JVrCSNAB6g7YcXo2Jw5N7K/QmVc4MU2QpUugvBg73DXhSo+akdCcQaqZdzLlRRRMhOvIUbJdaSVKCfPR/wAsMVLzLxZ4YOewtynZlOSbiPUTzkp9EKHjA+uLYyX9qTL01CYmbKcmMpvwqbqbQfik/seT4mx6KvhDJ+LSfQ0Mb5d07OVplmVNkPpWp9jlLdLb7TyihSDeyQE9VajsR2vtjUuS48qDQKciS4GY0ZhJdfWoLCSp1V73H4Q0FHTc6juMPeW4X2Ws/txahW8us0qoPABEuPLU4ysnuh5rYi/VKwbYuGn5czflOmh3hdW6XXqMAOXAqp0qMfuhmUkG4O4s4ABffbGDk/Hm7jfIbxyMlK4ay8yUF6dTc4UuPLWLsFppuWyhQFylbYULBSdiQbgE23w5t5uzrkpowM08J3JFOjr0LqOV7vtoFvzHIirOpFtyRcW74Z2qTw9zFX/ZKtlGvcNs4ubokxFqjJkLG6ih1sGM8m36k3OOs0cXYnBinuxc+8QHMwOp2iJMJLc1xQ6myD+JYd/CD6YLj4a1wCyczf3J7Dr2Uq9RPv8AgT2XY19Cyu7bja/0lKhsr9vX1wzS1NOqDsRxSWj5ptq9MQLhNxIncWk1PMNZZbjfic2BF8etpsmxLuoDxKHQC49cTtwkXSTqFth5YbRODLtdXPOTgYGBgZrH18n091P5TerEZny2YWgLfT+I4hrcn38XR9yoX8Kv8uK/4icLHsy0RcemSnobxWhSXQN0L88b25yHRgrHMdMU5TFKKEAL/tNQUn+gxaWXEU/iJlVj2yW4w3WIaKPKSk+KPPZ/JKz5eBvf9xxRU6lcWsgucqfSE5gp46vwkaXGv5JOxwr4fcT4VEqco0pz22DMb0T6SpRbfUr4FNtmx1jzviPSzoN05HTc07w/r85aYuVq8zGYzLEWiBUG5ThaDkUDZ1q3vYfqZSsl0qdXOJacszIs9sGlzJz8BanpDLbl0BoJN3WdZSQpPzxBafnDIHEqBGelT478iMeQmapRjz2v2OpVbmfJNlYcFJnU1hfs/GR6PBUjStl4jWEdgCPc987D9Ixn9JzR6iPBYebs20vJcec9meQxDp8eEl5jVICpst9SygtJYG9tupxTFHiO5qzE1nLNnKiktthqOtXhiQ2hdCN/iOuy/MqPmLRur5zyFlSQuVz3arVXP7eS8tbqz+xCgbfS+G1t7Mub2lzq8y5ChuABuHq0uLt8Th7J/aMHSnQUd90JJmjM9S4i1+KaaFGCwDAo7JG5RfdZHmo7fJJ88asy5QIuWsvQqBFa8MSMlDnq6d3D9TiiOBeWPvPNorLqFGPSEF9wafdd6It8hjRWpRFnHDqSPH88ByPCdD3HTjzcJcI3PlufTBbguLtg3KQpIWNyT2AHU+mBUZkCmU96pVKYiJHjgcx2QLNpURsnbdaj2A64aoMHMud20eyNy8tUIpv7YsBuozEHryUHaO2R3V+IQbiwwGV4+yzOq/QJla5s5dByxT11OsJsHGdQ5ETfrIcGzX8RdXY4eqJkqnZeknM2b5cebXFjlokOA6WUf3cVr+zT69T1uOmJZlvKFNy1SG26FBjU+Kk62gnx61H4yofmr819/PDFVaBWori3ZaFuDUVCUk8xv5fs+Rwpm/IzTV+MewsCMl/yCeqZpXJeMWnXjNj42/ETjiFX5scWK+aO4XvfDMtTty0ylYUnqrT38j5YfaTQ1iI9W69JbplIho5r0p0dLbm3p645il8zJyN5OntpxsarojmytqqFLcOO6p1YuoFPu+nywmk0NxBcaeY/FSbaQNk+mH6JMXJp8hOXHWKXSnWUPxq8HW5Dc1J6pA6pFsMb9dpkRK00hht0KcDkp4qKuaoDTdNz0/5et8dF/NjHXi451vj5yG/CMszKzcm929Ox2GI3PyGy5cBgi4t7oxY8WrQ5Au6vT/wwpMduUbslCgNz8sOU5qWegndhvR7lAZg4MU6rtKEuKi4SbKKAb7d8U3nz7LiJjSnqW0pDmk2KQNJNtrY265TmFpVdsWtv6YbZtDhPNaOSOlvLDtWS6CT0o58ypPD/AIi8LqoZFEkTIR+MxwS2v+SD4VH5DFp8LuM/EahKU/EE+OpvxvqhNr5bhG5LjBulR26Dc9BjW9a4aU+ro0vR207GxA1k/wBcQdz7LuV58z2x7MVcprQWFuNU2VyASDfUQAb/ACweclHjzF4quSfAkzvEHjHm3K2X0UnLaqWqrx/aXqm8OS0hF7bMElzWQU2B0pv3PTHWUeFFCobprtWd+9q5JWVOzph5q1edlHbw9kpAA73xLqXRouU6SilRZEx1plBI9ukF5Y26aiBYAeK3S+Gus5sdp8ZbrLPNQEEuKukDSBv/AKYR3WfQb8n7ySRBDaR7M20kAaSUNWuO/u7YTvK3wx5SzXEzG2sNBKJCAfw9Xwdzh5e74FBc85mBgYGAm2ffVmlH+7x07QUO/mNXPyxLWYLeFfsrOxt13GH9zntCr52T2ZQ0yG1FI7acVXnf7NmWc1Fx5+lBiV1D7Hgcb+oxqJyNHUtDenXzvyQlJKnPp1OIZmbifwxyvmmJkSq5gpqsyyQXfupU1tp1CB1TdX4anR3a1BQ74umRJVqeTEtf4KcVclvvKhJTmante8iR4JCP4uIsVfXEaps+mz6sml5ozHmyirPvw5UkJUT+xem39Tj6UU+FljMrXJpb6EvM2L0V1ssyGSegU0fEn+Qug9jiF8QOAeR86xHY9boceQoJCualGhSFHskfF9d8NpkpHuLPS6Gc8j5U4f05CXMuoQ7MtZapC7yV/wCf3vpbEimxG03QhotuNbLJVe5xGc4fZSz5klw1DhzWH5ERW5iSVc1X+EHdP9cRakZoz/TKnEoWccsVaE4+8llpXsq3mNyASlaUlYFieoOLzCPHKFItlJNj8IKCKNklmU4jQ9U3TLet8TfupHrsD9DiQT6zJbqH/R+g09yp1wpBERtQCGB/ePudGQeu9yfLCun0edmNrlU5t6h0ZhIjiQsf9YeYQnl6Wkf2Y2H4h69hhi4qZzhcAMs0OVlrLkOVHq9RWxPBeKJB0tlZfSVXSt0EAWUe5tjKss0TrOaNUPa+iEihZMpNJDeZM8zGKtUGhzIzCCfZIqlHxBhs+7c7qWu6j2046rOZJFWU7Eac0RlDSWQkAepUrqpJ8sQfLHFPKHEB5v7rreuoEXdhzPA+lPYAH8z5pvh/DKWnnOU2pYQbK3tY+mORzvlb8ieEOw+O+Kox03cXUas1WgXFGqBbZvvGXdxgn0B3A/jYYmlBz+moPGFWKO9EmEXbMFWtLw/aPeSPmBiJ0HK1Wr7i0x0IaaSLuurF0p+R6EYlkduLR/bqFl5LUWqxWA8/UqhCV7Otu9glC72tqt4b9L2wbBqyG72+pXMmpZ/GONYh0eGDmOqUN1wxgCqNBa5zgHcuJSd7D/hjipOqRJTUFypM3kMrdRAitlcdyOQNHNBFwd+mIhMqTFOkCoU4QUVyQ1pnz2W1Jbddt76EE3Fh0vt54XZdzkKXFYh1Wn6WkkLM2IoklQv43EHxKO5JCTpHbD830r41+wt0LZTdxjrEqdVXi2SUMjpEQNKWh5aE2AwhABTs2F38IA6C3TFqOwMu5nh+2xlx5La+suLsu/7h1H1xE6xlBdObVMbltvxWyAXF+DR6KHf54xcnGtNHGyaq/wCiL6loWhtSrrVvZHQYdGaiKcE86QVLUQBGB8avW/YYj8+qswUufd6VFwq0mSrqm/ZA7j1wjiuF14KeWVLUoC97Hc+eFqndGgatRLlktKmVSkVyKqTSKjHlpSdCkpNihY6pUO9ux74NcaCk3UpNk9dsZsqPC3i3wum+2UGbMqZZUHTyLNTCi5KkpRulxN1DyJth9yx9pSQmWik50pUgSEq5d1I5D177gptZRHlucdxV5ocRamjl1PmMk3VYAdb4j9azNTqa24W1pU4EqKAVbFVtv9cFR805fzhDVJoFVRI1ApLeyVJPlv1Pp1xVnEbKmZn0LdiOr5ZSrZaik9MGRORZ+xZTmYqNmtmOtmSlsto0OtuEJKT3BJ98eVr4a6rl+DJjqDcP2hISTZBSAdsU5CzsiIIcCvOtUySyhTTjE1r8FxYHgUhfwi9r+l8PrVZqctbKKfApk5JSHHHWJatCTZBI8iLqc/yjA4TRvAMulydyYZLy4rLua1SpFTjpjojrQtjnBTr6liySlpIOlKSdzqxOnZTKjZtR3xFcs3UhLUoR4y3BslhxJuf8O/8AXEmbYQwkjTqNuuKQnkeWStK8QedPAwMDATZPRq0ltq2sdehwim1WJAhzKjIdCYkNnnzHkArDCemsgddyPCm53GI/Pz3SlVGo0inMuTZsOL7UzEZdSH5av0NXNnFft2PpiN1F9mq5hiT42hFXhKHIUbR6vSy6EWZaQFFp3WnSsodSCog3ItjQ6fBzSPuP9SzfTJ0R/L0Op1nL8usJbYhVJhtK1yELH5iHk6g2r08Jxl3iZ9lfMcGBIVHisZkpiiHFuttapCwnZWoK3UtJ2UbnUemL4UmpRpdR9lpMlK474RU/YoxJSWgHC5WYyvAuyChZcjXP4hTa+2JPk2JmGQlSKdNWmntEPJfJ9qpbgUNSVQEuaVxwhXM1oVdJ8N1HUm3now1S3gYiyNnDjXkOsw8v5PdkZpaQ8mNEoFUW67IbX3EWUPx46/MElKvJOPojkUZpfy7T388RfYavJbQt2AXWnnmEEe4443+G4f3pAUe+G2LFocauTZ+UqHDerj7fIk1H2cIDaP7v0H7v9MSGnQ/uph1+Q6p+TJP47oFhf9g7f+74qUeUF4ZaSjlqsv5pGOoseI28h4MBJQSsLU2Ln5H4fphDLq0WnhTk95LIHuJtdavkOpwngorGYZCpDjjlMgK8JJF5Cv8AD8IwPdkPURbP6HSRW4rClRgpUp9Z8MZlPT1UR0xS/wBrKnVR/JmXnZ6mmlGsuctltIUEo9nX4yroDi/KPTIdHQExYyGnbWU4fEV/O+Kn+1oqKrINKaCdQRVDYp2H/d1YSybea2Q08PGiu5TFUiOG1NuNFTTjIuhespO3koeL+lsXv9n3ijU59QVR83Oy63AjRS42kIQXVC+6Uq6rA8jb54pOYjr0HmT0xMuEBQwqsPKqppaXqa6ETNd0x/EPEduiumn1xlYNKWXaObudc9OPuhseJmqg52pYfDsaFl8rLMukT2uRIS4n+1acSsXJ8Av7g9cI6tmZ72RumUwORqfDQEJbQ5ugWtqJV7yvMdBjJ3HNifT6Hlx2o1aNLlvMoZlOsoKEvJXKNhYHskDbtYjDPk7jRnzJ0ZiI7P8AvamNAXhTTq0I8m3feTbyGG/ld6p6dIp8bpkpu5q8klzxLKx189sHMupSrXHCysnZSiVWH8egxXuQeMOTOID4o8GQuNV1pB+75FkFYHUoV7qrepB9MTx2rRae2pmEn2mQDuu1kNny/d88c6/4/M2eUnwP2sSGaRBkV1ue7BntIWpCoa9DqrAkaj0KdtwRci+JdmOqTpuQJk6QEpD0KI4dI3UtRTqIPYb9MVXWi9OgTULJLslh1Kl32uUEWA+uJvUc1wHcqQ8usgyX3oTDTrlrIaslOx8z4cPY1/4/MUtp3nwIc4ClaGyNYKSbHtg+AjnOtoKQvUpKdJNgbnoTjiQrSrUD7oIwZSFXmRx25zd/8wxmf6gd/wAyT+SxOgta6FUPu7fS5SK2C5Ce2/s3vzGb7jYkb7jEFqeY+C3E+qSsjZzDVKzBCfXHdi1BQSjUmzd48lO2lStxvc98aCnQYk2HypjTakJ0ghYv8OKa4j/Zpytm596RADkJ9xRUFAAoJ07XHYeuOtqfw8Tm2SNvIq7Nf2cc6ZRkGq8Oq+9UW02U3FmvctduoCXelvLrhkp3HPNWSZCKBxMobqVJukpnJCV6O+h8+Ei1+uJGmhfaL4MOpboc85loLY0iG8S+0hPcJB/ERt3GwxMqDVJPGenOIq3Dp2kJZcQh0T4hUxqB30hQBsfPDq5OkCj424XCg5J4mwHZqaaEBJu7HfjC5BT4fErwqHyG+ErHBnIERfNZy60g9yNQH1SkgD6YsOi8PImUhN+75L2uoOJLzL1iPCNuUpO6RcKsCbb47lsKZ/7yyWSOgXuD9Rtj1LtxR8RqxhplHplFSEU6BHjoA0gob0E/Xcn64Vur2Pywa7ZNlJSTf02HyOEryjfcdcXhwcnnUwMDAwsbZ9d+LeQc40fM0jNtEaclRpClqW3YkhX94CCFJPyxxlfjuZaG6JxFpMmYEqZX7SxIMOopaR8CZKAOYi/h0q8Vu+NXLhwpIsphJ/aE6h/riC5q+z5w1zapblRpbzJX+YqMvSVfy/8ATG111f3OT6DIMuSq9kHNVUSJ02LNVS3HV0xpMCRGkNNLJUhp1ZcKHEISEo07FSUJKiV74tppM7MjGyFUyndylNnnl+ST0B/da3kBiH5G4KcPeHjrc+iQZz0lP5f3jMckKb/jrJSn63xMZmYR7T7Cwtc+QPcYZTYN/MjphR7EYbph1HVj2KnwQiG2hDbfUr8P/iE7HDX97z6lJci0BlDzp8Qlu3S2z6AH3j8sEs5dqMpfttdlh9Cf/km3AGEfz7n64eW5EGHDEeE0G4Y8fLVulJ9FdcLdbn0Hq8T/AJnFKy/DYIqU1b82oN7KXJtZn0aA6/XD27UEjxlaSoeDWoWKf5W64Y3KmghSUhCVk2uSRhnnV6PBjypMx9hlqKAXnHF6UoB6Ek9BhfaRrlEJNKq7gTrTIQgg7g3JHp88Uz9pWvw38t0ukOPtiYzUA+plKtTiEKaVZau29x4evveRw9S65Vq4tK6fKkUqABpXJLdpb482kn8tH7l+L9oxXfHV+DTckwYMBpLLaapzumpTrqWykrKjupRuRqJAOo7Yren4WL4r/mUouQUjbmWxNeDb0VmqVhU6I5MiMQFqXFCdSnRbcKSNtjuP9MVs9NQrY+XfFicFpNQRUqqYk9mnr9jWPbXBqTGWLWWod0229MZPx8N/JU2vkJT+MwZxhapjOV8lpy9KU7T3T+C69cuKC5Kr31b+FVwMV44zqhgJOkkbHyxY32gF1ORTsnSqlLp8tx4hZep+l6O4EybBSCk2APX+Vx12xA+XqipOHPl/2KJ/DfrYeOEDDX/xPy8sNggyVg221gNm9/rvjVJQCdjp27YzDwlZCOJuX0g3s+VD6oVjUIQAgkH3U3+Q88YFxsoFBlKxfbpjltFmygXTbewwfYttc9ToDXL5hccIQhKbE6iTtbY/0PlhspVYp1UirkU15RZQ+/FKnm1NqLjbliQFWugm9j0N8B00PI79oFD3fbBtMdKJcfSEk85FgoXB8Q6juMFOpW6ohKLptfVe1h5+uJFk7IVZq8pmc64I1PStLiXlpN3LEGyR9Oox4lb9SCz2JXXw5ay8wVej6GczUdamEWUqbTQt1tBtca2/zEC1h8YPTbDhDn06qxUzKfIYnRVqBS80rWhW/QKTexHdJ3HfC1xSUJUlopSVlKEucyxNh2P/APMVnn2EoTL5FdRT81vNKXyWGruSGiLJW62khtTWvcqeTawNkk7Hqa43g5p+xP5j0RoOPOlDbIbJWpRsNPTDYpcyrIYeiSplPjoWktuqSFKkpB3SUnok9Lne2IxSoudYtVjOZ+p8XMG6A1JpRLceK8bAqVEUQVWubvajtcBIGJxzEpB3F72KwNreQGLadMp795OHFEjQpe43uEgAetsJ322Vizx94WUlQBQpPc2x264hZ5bCgrvdXvfUdbYZJVSacekRtQaS20ouObBSLA3KQrY26+WKQ0z6F004EVSp0dx4NMS24617IQq+hY8h2viOzwzEnilqkNOSyNWls6028ri4BwdUMxyqow7SqDLS6lSCh6p8stpdTYgtpbVfSu22pIAv3wmiU2PSo10oPPWLLWo7nGjSjR7iORKcnnXwMDAwI0T0TsuaRcdMfk6qQaZH9oqD4aBc5bYT4ir5ef0xXudeLWU8j1Zii1WWqM9LNuY6glps/uUNh9TiW5Ln5SnITMqUh5U9StceTIsuMr/YkeEfU4ZuaU+jExaov+xxjQK7mEGRJ1U+mPdUpUFSXPn2T9cPlNpMKixjGZZEa/VaRqWv5k4cS0mItEhcVLHtPwIWtSX/AJG1hjlxtx0altJI89Qwk902GqlSVjc+spvyyBfr4fe+eGGpIDy+cl1TT/6k9f6dMSB5u+1jhjmMJt7xtj3k9K8qmdqpQpT1Ok0j7zdCXHQulFSktpSbJTIRYqYHrqWr9mPylBdUjR69XlxpqkLs1GjyhJiMr82/AgKX6O3d88TFcZDLK2Wmg2lZuCkAW+vVX+LEVqlBbLzk2ly3KZNeGl16IhBS8PJ1sp0OfXxeuGFcSeHDZU91GolV9fivfr5m+Kk45v1Gq5ZYiUyG9LeYmB9xlk2ugjse9sTidUqhSVKGYINmTsmbT0laD5cxH5jZ8hdYI3UpHTDVU24s6ntvxHkuR1JUW5LagtsgbE6x4SAdjvbHsp1E0CJ+PzMnLqp5j8dSFocQdHJduhQHbrviyeBFTTIrtUSw228pUF0JjvuaEOnYKQonYb+eJRmLI9GzC1yqpSUSik6VKShTbqfLSu23pa4xCqLw+cybUZtSih+sQX2nI7kIr0PrSd+WXPdBBsCcJ04DV3K49fnrZjMhJeMDZhZdyWhGWEZeKCNdNTIDgjLMsiwI6pVYrA8ziMNy0Fktg9tsN3ELMbC8p5NgwX57bUYpSI083ejDnElpenSo6CkgLIsRhti1ZLzaC3Y8zcW7DC/zX7FGPhv0NBZHCNRXxGoTtwnS/a5Gw8Ct8akfkxILsaM8vlypTqURWUgqcX0BJA6puQeZ7g90kKxlrgk61N4l5eYuNLk5Da/QEEG/0OJg/T6vmHifworWd6qqXk2r0erVasQRHWVSZcR0ckuLuBf8NCWWUBKQQQLgqVjGrSL27mnc81jxxnzVVFZKp8tqaMvtVfMNHobLbF5i0JkOAPIbICG1PlSRYuCwQVKSCpJKrUh01ydWalDgLdmLkVqcUpQoOFwB0pPj6OEkbEWt1IGGvJnDOr5vhMRK0yymiRpzFWdb9nWEmSgLDanFFXwayEtNaQCSV67A4v2l0PL+SqU4suxGmW7IkSZK0ouPeCCskA7npcH54L0OqsKoot/8dptgYcrcMY6AipZjCZC29m4iVXS2B11ke8R6bYnMiYzTYqn3prMdhlJCnVlLbbSU+d9kWuL3tuQO4xXGc8/zlpTT8ttJQzJaW8mqFxaGnBp29nXHQsncgJdSl4IIOtqykkrMsRc2Vek01/NIaUGi26zDnwmuYk2V43kIACH0pIF0K5fiN0k3xoU4qVdxG297h4NYrGaFWy6tcClu2BqbzIU+8juIrawPBf8AtXO52RbxYc6XRKTQYqolOjlCVqCnHFOFTjzg3K3FnxLUfMn0AthUXV7rBBUtITrtYoA+EDpb5Y4LgSCF7m3TvhnqzPoD+vc6cUhsqQ3YWGxVv1wifmtxtOp5lt64A1qsm/Y79/THL0ttN0uFTiljUUjxBIH6rdBiJVHMimh7JS3YtVdU5ZxTelcRsX6eZWP+OPYV7CsskRyOlVqrEdpC60pbK3GVFEVzwyXyNwW1DbT6Yj0+dVcyNt+0JWzCZtpiqA1kDutfceYwli0tSFLk1JPOkqJ0vODVy0n4UC/hwscd5ZShCdCAm1r31epw6lSIJWZMz6HCSiM3pioS1tvoG1vrhM4vWbrWScGLXfCd3v8ALFxXbc872BgYGFzbPQNVcs0LM0NUCu0liYwsaSlxsFOrzv1xVdR4KZryKtdV4Q5kX7Or8+j1Fwux3f8AZ33Ri4mXiemFiHRy9GkY0Dnlhk9CoMn/AGhpuXKynLmeabJy1Uv/ALWoLLkOV/Bw7J/ri76NmfLtcaZQgpiyVf3zl21/xUNj9MRzMOUMtZyhKpuZKJGnMHs8kXP8VDdOKfqXB3P/AA4dkVHg/V1VOnq/Oy/U3CpDvq24d0YWfHSfQdpy5j3NNONpWtUcIBU26UFSghOpXkLnc9duuy/1Jw1SWW1thTLwCT3tqGKayB9oGPJkJy7mcOUypsnxUusosq//AOJzbUj/AFxc0Kr06stc6FM5bxPgpygE3+R74WeuUHUsRxokxXLkWI+mGqVBWOptiYyISg4qO+nS/rILaW1FNvPV5YRrpiXPzU8sdwd8Dh+5XQgUmC6htxaEhIb2cURde4vv26b/ACxEKllOJDkLr1LpqWpj9lPDWY7L6gLJWsC6VrHwKUk6bWxKMzL4iUrNkQw8uRp1KdkLYSGQXnY8VtvmF5xSlIaZK1hLNlayE+IXx1R810KqMtvVKVFpnMfTF9p594Lz6kBXIakq0JkOX1eH3rgeG5thvkqUhIhV/LVQKp7y3RMkBMZUhfNTJVbxIbSojSoC5JbDabBW24w4MV6lPIity1O0558XaQ6m/tCvd5bJQCFrsLke8BfwqHixec7KFOqjL8aTEiyoxcRzEuouAR2IG4XsRdWnfDZmHgxQM1wKjCmw7LqLbbCnFJS7ymkkKDSELSUJRqA1hIBV1CgQMe9QHp4FGZqyZTK0w7TalS230pXdJUbKb7o2GwF7kEE+l8VRVeGdYp5fVQZS3mEKsY8tOr/w3tiB/IDG0o2VoVHbbjZty81Chx20sNToSOZEQkD40n8SOO9iFi25Wi1sTymcOMsSorM0MRJkblIcbdaKHG3QroUkbOA+YuDgGQiXe4bHd6PQwrwJkvROKVEhzGXWJbUouiO4QVLCU3um3vdO2Ns8OeDjFP5FQzE7JeYaUVx0Sn9brTJKlaTYfhoJV0QAfNRxPKHlnLVFdalU2gw4biCRzSy2243f9w3QD8x6Y/armtijyE0hiK/UKtIRzW4cOyng2ei3iqyW2/3rV06AnbGWmBG/KmldnzKcMPpk02mQluGRHjRILZWHBpQ00joSSqybeqjiLxZ7Oc58SfHokc0WIoupmzWV8x9YOymW1WKG+hDjg3JshPxYLjZdl1uS3U85PInPJWFx6bHB9jhqA9833fdA/tFXSke4lNyMShXjG5SEpSE9AkADoAke78xcnuBh2FStBPhn7kbynkanZPkSZFPmSyqU4VhBc8LThKlL2A8TiiolT5OteyVEhIGJCF2Fi4VEdScDmje5933rdRhFKmMB5MdtehxaCtoOtkazbax6bm2+B7zJFFQkM6rI1Gwub7XHe2GWpVuGy25Mkym24bSErUdKkvIWVW3aKAtRtvcC2GzMOYTTGRDeZTMqCtxDSdaUq7FS07C3kThgaRVKo+qoZhnvSHyAG2lJ/BYA6AJ8/Lc4LTQ0fYvbkKn2G1CpTs0BUWnBcKmvpOtYNnZDfQq8wCL+mP0/c2Xorjsox4CG0pS4smyUgdCq56+pJt18OOKxWqHlSlyaxW5TMClwWQ8ouOFOoE+5ceLc/CkFR6AE2GKyyFx94X8aWHIGT68wupx1KcXRZqDHmJAVbWllY8aCASFAE/qA3xo1VdjOtsd+5bLbyX4zb7Mhh1t4am3EG6Fp9FDYnCdzxXKdwDvbtiEmjppMpb+U5TtAmLOt5gN82NIV1s5HOkb9yjQrfwqSbKCtHEJMJ32XOcIU8pRdNTa1PwFX2GpW7ke5/XdA7rABOL9NwUPySc3AvbtfBDi7A4NS7HfQ25CmR5DLpUW3mla23EBN7oWPCoeoOCHgd9sCCHnjwMDAwubp6CYzqvLC5CzhtjKPlhahZw45z4vQ6D0UP647QtOrXc4b0rKcKELv0OPS4z5x4eZRz5DVDzNR2pif7NRTy1t/JafFirZuROKvDRfteTpozZQWvfpswlMln/ZOD/ni8W3irqbYMcXzWyhZvq/Ttjz3+z1NkK94d/aDo2ZZzNCekqiTk+D7rqX4MtkeTalW1Yt2DJh1FxaojjaEJbB9nUoe0kedj2xWmeuEuRc/xw1XaO3z0qK0y2btSEn0WnFcOUXjDwpbtDKs7ZeYSBoecKKhHb8kLHUfPC740T6DlOTx7mmZPJZS2zIaLAd/DSgjdwHw3UD6DDJW8gUTMZbfnNy4yksCIksv20Rwo62m9vw9Z3WtAQs7jURiAcP+PlFzWh+mxltyH+WmO9AqH4c1CB0Rc/COx64tmFOp1R5y6K+kcoXWy7s8T3AJ2J+WFnV0GUmHGzKOUY2VaMqjw5i30+0mU0gvKWxESspCm2AoeBASnYEn3jiQMxmQLJQm1u2CmpaVMmQ8lbTSLKWp6wASegJwo1queUrXpFzdNrDzxXctoGIYaCOWhkJv2F7K9SeuGF7LDFOVIqGV6uvLj11SpBCUuQXXB1U9HWUI7X1hSXCPivvh+Q6VXCtrDe+P11picwqPMQh5hVjynAdNxuOm/Xzx7vJ5oV1TM558qk2YjMKWMsUJ0MtsVeMjnoslJC3Ea0pVHDh8Ycka2gk2CyqysWDR6JR6ZHcZpLKUIWQ/JfUvWuSVe684577hPZagfQn3sLHLOXaWULRdRKNygg22Cbbn0O3lhmqMKrU+iy0ZLh0mNVUNrdisy0aIYfJtrIQfASOpFjbqTi3WPEqJCo8lwIWPEnw2Gx6eXywW/JbQlQOkCx6mw/rhogLqMCgNSKith6S0yPavZVLU0lw+8Rte2rYX7Yba7XaVR22TVJYBqbV4bTSQ+p2+ygpsHcG9rbA3tfA2jn6CTML9j7KkSOa8wAiL7OpDhdlsLVH0W3OtIsNr9TiErzZUpSXGcqCRGZe1tOTHXS4hxV7XZHUeljhr5kvMK3vaU/d1OYeAahNrWwyNI6r0rJB/ZunsdsLHZMaFDaLbojNIbIQAwgLFzuEpN+o+KxA67jDdGNx7CF+ZM9lOo1PYiFb6HEuyHAOctSx4z3Kl+6B5jYddr+LBc6pyI1OmzqZENRnRIxdjNpeSwmQu5BQ2pfhRbupXa5w2yZ7lWpvOgyGo0SZqS0/fmNuKTt4lAm6+w3Vv009MMv8A0hqUWlgVONFZcjuhtyRCKrLTcALIHiBFiSobDrjTSncy2ydZ4goLPWaM05krjznEOM6xLg3kinLiKZajJUNN0MndSyNi8brc6J2NsVTm3LVLzNV0vKp0hibGdUw2XS20+iW0sIcdacQpSkBtBRrUFgoIUNOsWxtyrUyj5rpyKdXY8SpRLBbStIUtgq6KadSLpJ76Rc99XTFJZ7+ztUorLsrIM1MpltLa1QFx2hMQ20mzaGHQLPIbKlENKLZKlFag4Rpwro1bDq3LYnElW5S+0rxN4etRadm1uLn+gtNkKVzG49WhJASo6HCkNPgNLSuzllKSpJuAoHGtclZkhZ/ytTMy0GTUZNMq51wIk6C5GlI7FstupKuvcGyuyyNsVrwj+zTToLUevZwbYHsSS+1BUvUxBBUFlyQ8b818ruq29zfUCqwFxrqs2ovromUGeWlSQHJiyWyWh7+kdGk6b3CSVKGxPbBZt5UG9aIFUOkUDLdcEWlpfZk1FK25EGHJJp7K0AlTi20jSp0/qRax95Shth8ltoQTZRwXSKLEoDTio1pMuQCXpBNjbuEE7AeY6nHL7hUd8DIeeXAwMDCRunoCZWU9MKkL9cN7K79DhQhZPTD7nPittRV1BwalZThOhfrjvmYqXFSHPXHbbxV12wlQsnpjpC/XEIOAWFdTjpxtlzSHLqSg3t+tPkcJUL9cGtuahiEIVnvg5lPPDiZkunKh1Jn8ioQlcqQj6p2P1xXzrvF/hIUqqUI5tooVrbmMICJzfzA64vthxsDxK1XxytLCk6Utgpt7vYf1x5pv9nmzp9EPyFxty/nVtaky26yuN4eS8OTOir7pWDsq3yxadPqYmhH3dNfqaXkctXJshTIA93T1B81nYi9sUZnrgVlLM0tFapKnKDXW1ahPhKLZUrtqHRW+IajOXGPg24F5ygSq5SmXLJrdOuFp36utDdXntgD4kT6DtOZMe5q6PLiPDksOXfCfxW2UFxKB2JUOg8r4ObdbZ99d1HbRfcfTFT5E405ZzlSw41mGM+hp4uPS4iymS2Ve8lxHcEX2IUR5jriwmpRcp4do0tuTDaVdTcUJ5nL+E7uEn1wrMTH2OpMWD0XwQU6uot1wQp9+YhAisKkcklDzTboQQAOpvvb1thvfkNRW35MmQ0zFYKg+VOALRsLWB87m3niIT6xVczzlM0d9cGntrKA+60kTZgCdztshI8z1xVK+p6lLLOmOtSzbypbn/R+WidPZTZyW6goMZHZKXEaQ4B6jDazGQi1Rqi1PSFoUhby9IU4Fbnfrp8xYYNp8SFCZQ1EjJQw0Q4233SeilA91KO5vt5YT5lob+YaY9BblFkLSoJcQbFBIIB+QxpJWiGZda7iKm5wo9Vcfbo82LLfgrDTjKVpJaseirm6kjsEgjzNsJaq7VpC1T2PZX1tLHPbkKKUrBOwC/g9BZweRT1GVs28G+LfDCtLzBluTNqTIcU6l6O6oP36k6hsAP64f+H/2pJLMlFHz5TVqkIOhcltoIkpHcLbNkuDzV4TburDy1R/gz2bf3L2XDpLT82CmTT6dPRHuVFKkJWD4tKNwVb9SOvnguMub7Q5WpMlcIyEIadbD94ywn3S2HAeQT30K37kdcG5fzVlfOMVqq0qfFnttKIQdYLrd+qVW8SB6AWwdCjV9mQtqmSGJEeau7zaUJVIUL7Aq+IeW1h8VhfBIfiO4KKWRuwQHfvCnMJgyarR57Z1t6I6VpWkK7++082ehGsGxIuOuH2XKj0+OzMzK+WnZLZWhtvUHXQgXKhdR5adupBKRuAq1iQZMaj6KXS0M1Sqa1NNNoGtlg2vZV781d+5GhJ33Aw6UnLaI7iqtml8z6g7ZfKduW2yNwCTusg9NVwPhthNxxEEaYtZzqC9MLtPobelbUVtBBUntYHcG++teo90hOH9CosCGmnwWGmWkD3QmyVnzUPiP7r39MCRMKipSlBd+o6W8gLeWELrpWb4GFTt7H4taSOWUAjVquLg3wWtZO5xype+OHHPXEPTz44GBgYSN0+/EXvhUnw9MDAxoHPIdoUcdazgYGKBA5CinpjtGBgYhA1Cjg1CiOmBgYhAIUU9MKEeIb4GBiEOmVK06RbbzF8J5LTL4LMhpLyXTdQcAUk/Q4GBi8A/6Kc4j8EMtSHZOa8rTZmWa2xdXtdPVYL9FNnwnFf8AB7jzm+TmCTlKczFXJiOhk1FkFlbwBG60DYnAwMCyA2G0mkIEyXm2rSJtbfL621hmP2DJSN1ADY38jh8KFsJSzzCskXClAXA8sDAwOkJlhSfDsPlj9upOyVEA9cDAwYCGFHOa5SzqSB0UAcVVxS4IZDzpFdnTaeYstttZD8U8tVwCb7YGBgtbTyUsWODG1eqlc4U5u9lolakuaPce1ct5KR2Kx1HzGNTcHOJWa825eTHrcttxS32oynm2+W6tC0o2UtO5A1G/S/pgYGGMn7FsYvSm0mnZZp8kQY+qQA209JWfG8kquE9PCkHohNk97X3wW4+66gqK+/zwMDCo4JluKxzrJ2wMDFCHDm2+EzhJBGBgYhDz84GBgYSN0//Z</t>
    <phoneticPr fontId="1" type="noConversion"/>
  </si>
  <si>
    <t>data:image/webp;base64,UklGRrgVAABXRUJQVlA4IKwVAAAQZACdASrhAMMAPpFCm0olo6MhqDLqwLASCWI7DDZbDLkAQU6L/6TtmQee//Kr24LW/gvxL8g2J/510R/2PVz/uPVz+lfYG/WDpw+Y/9jf2t93r/metX/AeoN/VP9h1qPoJ/uB6dfs3f2r/o+ktqiPnv/P9xn+A6VL1T7Xcypnf+b9dn9B/x/DPgF+sf8VvwoA/zf+n/8/+6eRz/Y+lviAfzL+xf77kjqAH9E/w/oqfV3o5+nv/R7hP86/tH/S7FfozfsqzMVUoHokH/PaodrGc18SlNX4nc2LYoS5Y8dE/mrKq805pFGuDGLB5uKa9FTCGAQmRY3JXO1sG0w+YRu7GTlXEnXUO1XvuwG9ArI1ux+BVJkpQj8Uwq25ZXyMYIkoDgCWhecv4X5Zkwmpue6CCnjZmeUJD4xmXWipZLg8mVlNI4+otj6jW0jlmCxO83tjjDwiie0zEUh8eWdsBg0GJkclwwiDXka4Nr9jfcOIGhEn5AYtr/3Y1OW7Egc5aEdzpfoFN4+LqSZUFJDPYx7IslBhhZ86+PLSHIhrUadMLQ6AbeZ9R+oB8fIA5MTO/YoE5qvZHvVHKxNK+cW2fwbrefprFzTXPil3oDRif7LrGkNtRrobo1n1Z2QqKAhX+ZtSqjAGZ/nN9eBIxZibM/MHyt8ieFPlFe93CMqTY5Nius5WMVt34XE6+ek789BoahX2/3bQ8G5+Cy/nhJyk0H/a/woUN3WmVGzEewR6w/K3OC4CbHnYMlLpM3+fbxSSSggXSZJYJ3YlpSWLx0WXf2SLzpt3kvnmNRr8IqA885TdlmCGKPkNahOgAFt6X7nRRJm5lbrFAxVBlKYQTHTSrPOIhrJjW/Nr23JCu3rjJDk6fx9Sx71kjtC+aK13YylnWioj9RqTx2nrlWnUlQvr1lYDovsWTwjIuVuDrBdU85NSv+alsx5mzy1JfARxebrZSHNay1OZ2apxFWg9pfIpoNq3mLre/tuOxf7AeeXeFdzgvsHII03OxNNsu126CXJScxR/24c/5R9hmkduDw2FO5sKUK1Q0FZBm2o/d7rhBJSOZ4xCllg4aTTuAAD+/KgAo4qoJv5ORQop+NgWYd4faU4XI3oe5rsIEY40xL6LqXYkMAxnt6L72erQVhjW3C/5dAyGtB7NN54nSL5NF4LSIp2kd1CwvnQY/nAiAvYoKXRL3r1S/mbaDjhvxX2RgIeWsKk2ayz5DOHm93yNPTZs/lxYz8nkTU6MmeQyeFTgyXbyzfH0LXTTlAFeidzmpS8RblFkemxyjdBxA5mKW3+J+p8EP4Clvj5wJhZTY6m/v2f5iN/dduPa67dvMYU/U/mk29pYfbEiSHpzyi4Aije54MV05ykDw/uEpdEAgQIUv4Egar3VWFdMn2/MnjewX+lK2JmW9tSs0zuCBow6IwFvCEVQFTCH4HbXQXHFlelj3lH62QxWMLweYtYmEsP+FpR+7HzDU5m29CbVlK9LXmtMyekeHpVHr44s6b30i8f0TqNVs0pVO+aog84e1ibynFvyODDICoTFtGKqbFd/1QbSieY/4VfH8ynXIyYnpUb+Ld33ftjnI+qcizzDXhz9EHUsav6VfGi/P1GBkNcxsfzWbFXaBc1GJMHTX2hXvRjq9Leito/7HX6Av3wncdGKnmEqGVl262O0vvw7At78c31gOlMVi3wTOQUDE/mMkGYxR4IHc5gNwGMiUJNbXVkv/qqcYo9u9Id1zPHtBOrJqKyETeWiG3MmLCliqssYQVhtLYyiEA81NFCVMCagRol6QKTA3ECxR77nDRGoTwUPjgeNCRcnzCY0ljtM3MnxBYpiiEieJazXzN+H04gMLqvSkbvvku8FGKiw8IzGBFvb2NzRhp7r/TzYn21u/308HMTKK4r28P9BL8EZxkCeCFEzJP4DFoe7TsGwU6hOWAUDXB3SRBing4B5Y9JUmHTl6lvUL9ewCjUvELIbhRAIrvcGd3WvEGu/LW/l15M+8ILyntn/1ykhw4/76ksPxYMLSoPTvIrsOsJLcXjNP/q1qlwvSA4caGzZhCgADGVYkIV6HRlGxmRFc8jEuUEC2emlpz4kkNNAvwqXEQ6jn8n70O35+V/kQRkfi5cs/urzlOEzOMr05VRa3v+lG2raEuZ8CbDLCa1yQ4bjrgjZUGiqdL9jH9/Id376tmRzH8yoT23L/no3kHwSMRBSWgEAJW+R/N0d9L/CjhANS8n+Cfkn1F+/wp9k/tED/e5pMgDUXgwgqKXSPzx5c5RivDs//lup/eA7c1kz8of9wc9oYgt+y76r+8/0QtIgL99kWswDfgJkzJMi41PTmulf94usoYrMFmTwz2Q49p9z33PP8XVz6nQdxv/xnZl5f0T+8L1mNHJ9/Az031PasFxz9FrpK8EkL8qtZNKuY4FX8bNFnk9W3HVcme+CTNnXT7LwpWp6ne27SE9PA5aum5wiXWuaCt9mGoWV8JhfmJmIAAXXJXn99FiVNjDHuwui2hZSg70apWFEFodrr6BgwAln1WrxdUTtWeZFdV0UhyonKMBkYuUoj4Zm/JQf4aHscI/lr71XxyzDtbltD4GojkhzPd3Vve+OtOR7wiLgb5ZV3h5LtTHtk4QbirxKA+Az6NyCIjy3pl93ldGbSj9TidIFzfkW3oSXbibMK8kIRKc8YwvIKlTFuMrPtSyYBU5UaiOcTx0WWbw7YTHQw+cC7zqXlUhCF1/22BXHmUyIc2JER4xLQhy947QXTFPZjju8aVjRHoklhrxKRGrjmyNVknup7sHippD0S7srkxvqAjTWKbw8VEffVARZqaDMAtb1zG0Q4H+YUoG3TRO2yPoCwOuYVG2R6gNm/h4jv6770gT6ujA+ypqjCxFM7hdqHhRxT99+BggE+KB3hTB/aMQycZYecxERkd2mOR3zJ3/bkAfqzSR1nX1pangYB8GkWBWz9sneCrgFJ5vZt9LyVfJg7jrglACYfUBxSvworlGjofwPFno2dG1sTJUprXD2pztyMvxvNXaJNRNdrvT2yy6rjSKEBiOaO6P9RgVQUGjQUZhyzZCdy1QgMq8ziucwchSgLoAhenVB6b7ROCSNDwapuN6sduPsNYq5t9y5p45Ac0lUAWLBaf6V8GGQKATXNuQCSCQqk1kGrK3O1j+Jn7ra1CyERvTGnLNezydvalh29c29WcqaHyDqd7N4qJbFQyDNYPwhsycPyEPTTD25kGXTL7oNMsMPDaaiH2hYfzBF6L6wAFrrPIP1NEFfe07cybWYv9rzVJg3uqjmGQg21+UI9cZpPIFD/Co+NOCR3ZdnBrgp77VrH6WgkVdyjMy8g8AnHxolLmHFf0iVuSSMyZMUjA7/+BzlMqUpP9YXpGFPNV0eJ+/eHiX6BEL2fpVMkln6E0mrsaka3gTONvf8WNPAfWek32KtzE61ASV924IJ/IPaG8znuJ7m+czrJCQ3HwTlCDjE3eUnf6ThQP92ZgXa0ZqmAr7Qp35norJm/jmxQu4SGD33BI/5qArabcaaHbvpk/xMuqtdWIoNw0kIaBIfUaE/Ex6azxHZXxN1S832cFoFomCkktL4yumm7pjTBgafRQVC7nvmvBl2y76r8mHr0pE37MyrXQr9SyR2tLjGdmyQDDaroS11lS4ReK9voqlT+1+Mixql2VbbIv6LRbCfNxbRArWGe4HfRispP8ia0d43etrIWcrbs4oSh1e+hIX/EPjpicmkFeICz7bJo2uKk5dsijJmTs1oQTbEb+oJ/mWx3n8E5dFBQHx0XCBacHCm8jRfSRPcJl8zXOm4mecUZjDyQloJsUunnMuywiPp4jM0r6zffmDIcFQdD5eqx0KMdX2uRZ21rVuCGCwdaQFD8WUaeuDbWveXa50MaVwJOGngpQnUTfWVmfqD1nf7iw80b34QDeZc3DWQU3QQ3GJvCo/7Y+AT7HH6H5qH5mbCh97k4x37uRFv0Up1KImXzFwERW9mF9I4vrDvM7t0rrY9blQqfg4D+qUHjRfkZWpLp4iDh4xMcPgGTmuU1v5GhDygSdmNVzwrA0h6Rzez2GAkvu+hKtoI4BgARm+ePsUlAYOZo4BVPaLfu82GoaTt7mqZq2RBi+gGKEKe62/JmSJ8vxvDrQzX8pH/m2Js3vDT1O9dKtpuYrFiHxH3lb7knOUB6jNVh/LAuPFdtXyDDJYwvVXEy1Akb3TgIXTzQOOO7xa3zvZ7x0qR2EG3kn3lv2fd0qEKcbdKbJn9KmFJ+tt/8KRmtrWum6+t0RAlvF4GfdkWxeJyYPOwh6wZ85r8oey/9yHPHdt6d8pz/v6X3sMIsn4uIbKErgjiLblxkGvEj0COuyzFVYTi772I48TXpgs1OPq1aYrOLuOcxSJ7TPJywaIuBNzclIeuFXIa6hq+7HzylfPHdqZToobP9tk7iW7VC/uesMn+y3OapX2Ayq0e1K/8UM4k0V6hO/PKEwZqIds0nqxGjEKEno2Lds2bpgG5+mZCLHmLLlVnP6iKsbMJgvu6pBMoP4ifPXwXP/JhKZGaD4ver9ZE9z+XfoTXPODARP9elhT8gIw4e7v+fMEi0dHaEalWReHQXi1NXJ7Tvy63RJ/D9oHRXxejlJRuspVGCvLXXryM2DNiVF8ZwU8xKwVY4fhpGpko0BT2ceX5mfJlWrsOiGwK5shI1zfBntgYdrkx8Tp44CemyK+PjOuEmK1QC1os2JZArFk+U2n9S7AefzimHlv5lc/Yc8LHRIV9EzsoKlKyLReHsE03vJO0zQ6+HGm4oxRgYiLsndQM9jYPYM9TrEn8/Eh6tVbkdWfMGBqVrYHMbYgtohoDKcqn1MtyhHBS8n/AtPdVApJ4UH3s/G9yoSLIPCmtPo9+AiQdy3xvpjXGGPF+OhFlJEZB66amE83wHJrkK8/zUHMf0x3P4VNzmaQbg2TEqeqSYs5+2O2O+RpvdpTKdYr/63jE7WWdSIkc07tKS2OS7eLttXBojlcmV3x9alKKNyS792zt12RPIEbVaQllKiszLPxjjINOgU1//2jULPcGhfVo4LRputGvLKFpmelIqna7eYxzP4FEIXX9Aie2vGGz5XiJb1bFoN6SbFhdvCQxmJKsPNT/zPQns2HKOpg4726gkJ3pFAV5/YBTm1e52bC/uFSvRD8b7aNQr5LUP/AlAufsOI2Z1iFucHwHLbqBqdRHAbdF9aXDTXjAzbsf7Jy/PYXi1resC8bzLWYAKKAoio3QGodfs60bIP7DNsUKo0uLhsfcqcPeyDP/1jPUbD6iUbIgxt8Nk1mqO0tYHgXYDUGx/oPZo2+1l6yT+zTwwbe0HOkR8Lr4+XxvPOutc26YalQbqMq3vf4VZA9DPbEfmwhlIc/SNd/WBSQTgVM2B+23balafAGUWF9TNYw4A9ownO4buDUVcEg4Ph8VNs6grSZklybCx6VMLuZT5c4PX+UMWdgi+ZxkeLbPrNlBmBj8TE8tEln4QS3fOp4o3twrH/xCcLXNPETTaUpo5r1s9NCW4R+1l+gKENSiLMPWiuj8h4DPyA0jrnginXjdsn/L0TGA4Nfa4eVE1Npwur9AhqAiNTx6tYTFi6TSeYFvut5pJwsTaDzpkxWLtMsFCSrVDoMAQ535IupJAUQ9dlNyH/qShpGtJI7HZIzNAzNiEF5p0/LO4ahY2DoA28ztxWqbyLY2+rh1KhYk5mP/3vUb6pkuu3daCRndKfvWLgLCA4fQQX8mbi7efB5eC6F/cx5Yb6VGdNtNJ1NbIewJdWhyi6OYQno2r3zfRGPfTNJpTDD0ihBAkvREgEfnDWAJEMQ9RiUvPoM7w+HRcxw7Af/urzuJXMaGai873GdxZRcgoWX5eFtVrSywE34s0jy/lXA/rp/09BGSEcTfvN8q1ne45AuUg4ih52JANlWGD3Qx0jxz1AQKiYfPpc0f64q5iw8QLLTIzfbeL9RDYFSUkfjnFtliBoAy1S0FfpzBk87LvbRC6UTGNFSGlkOONG2c3mcxkaQLZFlMSbfnaSqI9XnFjxWt6ccWKjF0kw1wsoarAEMpag2D8Dfnp/wShEFCaI0nmN79hlPX40DAffzYq/EWHR29krrkZi9faLcdHft3W24Hq2SObmBnsmqRlVVPJr0NYsMXHzTc2znvoOX4l2x1AOeqZA76o2j6ulUnd56Mji2bZCuNieIaGJbh8THf24Cc75JGIvy5Y6qc7AXIDyA8373Uku7EvU23Q6Rj+VsTn+xcLH1qu/eEkkB7ZI+zF8v8iW3UCMLirh5YHF8fE7xSrzVW/FnabPxQ1oNA5/35UXg4r7KQRi1T8UbwNp7JiEB9CHF1SK6jQbsi1TAiQr7+GqEwn8m6WHC9rQXd5mIMpeC4q+H2XH8WnuNzvw4m7XY4PEFFuJOD8HXNDZpVeT6IcX/238ypCFslXxhgOhHG225pdxauDHgFwVuHIOppeVyZEpgSEvYL6E8KcwEOyWDQaAV5vPxOKTfmYXwVnOHwYiJ+MU3BD6geXClpHsLXjzGY0RzrIqfKn94YCMHf/GolBkd9mvA/m0CrH4HuQhEZ5HTxKIE9MPtLNqwl8sWI3bOJGwAgi1veFcu0+hF3Nob3K0YZf7fDrYXQPjQ9RQ86mE+KuMVQcepaoEcuXAdxcVtBgQ7s9sAbqO0089EDbJv9/M5Tqcc/0ZQrptEfR9ueQKVlX1ZwmiBnhmXWMASkflMdAr+8kK68NWKZpyl6aDU3KBmH1mvap6JKbdw4AfkkIoz9z8GTBb+GsBPtE6MqanL+WGJap6+IuP26bO39OJRK4J5u02uICwZJyD0ioFnxG7wJvTVmx3aNmVTKFdf9D01Qz+Cs7b5wNugPStrwREKVdPRsfDuUa4W3IKVWNa5ejPcj58zM1+f7uurBvHr6V+YFyW3y5nAAAEIy0RDBQU3uTZClY6EihnY1aFh6YN98TXh7yDOIrTVx+GyR6ImFT/GvRdxRj9qzwIB/TbHrfOP4/9TMmHPGF5Q78O1rie4SXUJ7pWIQQqwivK7uIdd4qslmHszRUfCGFAAkja16LOqRGCnhmtJQICRLowKZHcq/GTYvDw17lIzRR5cZnV45AM/UK+N6MAeWYu0r56IIK2sRu56cjgqgKY9+ZNk8xdoSWKgeE0UkYz/n6fFz2sg8Ndyz1YpEcKsce3fxQmlsbAIXjn1YCU+JmOFOF8jol29DIVM+TGfDVISh9qjmB9mrAFiV5zudvHW7ahLw58IaKtHQF1RmH8iD0fdzxpIACLLTG4VL69Ki4m7WICUkuNJeseaN+JmFw8emL83sNwWWps1w/SLuOnICNIdWjfeKhQOX2WV1l71+1Xx0pXFnGNB1QYPjKHhjwkgFBBZEqZCQzf6OD+mMogZA74F1DRH6s7+VQoADLUIAAAAAAAAAT9Y8AAAA</t>
    <phoneticPr fontId="1" type="noConversion"/>
  </si>
  <si>
    <t>data:image/jpeg;base64,/9j/4AAQSkZJRgABAQAAAQABAAD/2wBDAAUDBAQEAwUEBAQFBQUGBwwIBwcHBw8LCwkMEQ8SEhEPERETFhwXExQaFRERGCEYGh0dHx8fExciJCIeJBweHx7/2wBDAQUFBQcGBw4ICA4eFBEUHh4eHh4eHh4eHh4eHh4eHh4eHh4eHh4eHh4eHh4eHh4eHh4eHh4eHh4eHh4eHh4eHh7/wgARCAFAAlgDAREAAhEBAxEB/8QAHQABAAAHAQEAAAAAAAAAAAAAAAEDBAUGBwgCCf/EABwBAQABBQEBAAAAAAAAAAAAAAAGAQIEBQcDCP/aAAwDAQACEAMQAAAA7LAAAAAAAAAAAAAAAAAAAAAAAAAAAAAAAAAAAAAAAAAAAAAAAAAAAAAAAAAAAAAAAAAAAAAAAAAAAAAAAAAAAAAAAAAAAAAAAAAAAAAAAAAAAAAAAAAAAAAAAAAAAAAAAAAAAAAAAAAAAAAAAAAAAAAAAAAAAAALKc4FKAAAAAARAAAAIAAAAAAHs6AMwAAAAAAAAAAAAAAAAABxKcnGTAAAAAAAAAAAAAAAAAFjN0H0ZAAAAAAAAAAAAAAAAABweapPo9s9Bju10IAAFT4ZGQ876RZtDtAAAAAAAAAAABW7HD48mGk18fTAAAAAAAAAAAAAAAAAAHB5qo74lUB1zKYGAABdcLZbB+dPpHC+fykAAAAAAAAAAAX2TafmPr8F1+fTAAAAAAAAAAAAAAAAAAHB5qo74lUB1zKYGAABdcLZbB+dPpHC+fykAAAAAAAAAAAX6TafmLr8F1+fTAAAAAAAAAAAAAAAAAAHB5qo+g+/h2ESKIAAAXDDzs04n3HFodIIkAAARIAAiQAIkCJAiQBd97rOUulxPX59MAAAAAAAAAAAAAAAAAAcHmqj6I6SRYjppEAAAAAAAAAAAAAAABec/V8sSWH6/PpgAAAAAAAAAAAAAAAAADg81Ud4xKdawi05AAAAAAAAAAAAAAAAyzbx/Q0/5Zr8+mAAAAAAAAAAAAAAAAAAODzVR3jEp1rCLTkAAAAAAAAAAAAAAADLNvH9DT/lmvz6YAAAAAAAAAAAAAAAAAA4PNVHeMSnesItOABkWz0yjIdjp6r3xxZsHZ4nqJBlm4j91ysCR5+mvY5Mc438W8W3YlppDn8iiNwyMSx4O0vGbrcc1m5vGbr7bi5s/wBPG952so/HJs+FscL0cmAGWbeP6Gn/ACzX59MAAAAAAAAAAAAAAAAAAcHmqjvGJTvWEWnAAibkm3Nsc1m5wnRyeZdZtyY8+07C+jZvvYvdszX0/l7awis52LJYdWe+LVevhi+q3uU7XQ2DX7fI9npcT08guOVh+KVw3RSfItnpcj2elxTUb/FdRvwBlm3j+hp/yzX59MAAAAAAAAAAAAAAAAAAcHmqjvGJTrWEWnIAGwpHEMW1W8y3cR/1W23Y2ZVevhWe+PSeOTP9PDW0Xm2VbfQ1Xtj5XttBrSLzfOd/FbdjZlZ7Y3q6ntbP9PPXcamWRbPS33YarWGJm6Y3Ue8VCJccjDx3a6ShNzk8mHoK+inPFGfnQNAAAAAAAAAAAAAHB5qo7xiU61hFpyABUevjT+XtX5GJAocfLueXg0OPle7rYlN5e0a2+q09Vp4pdc8nDpvP1m3WUXhk3LKwqHwypHn6Tb7Kj08dETjmnO220Q9Hon3KpbWlfVXlWehS6aTSaXQ+jNqsAAAAAAAAAAAABweaqO8YlO9YRacAAAAAAAAAAAAADRE95boTcx7p7P096ztZEr9FvoxGUzVJlaTycelfR7U91rpmXaTHD6PWruAAAAAAAAAAAADg81Ud4xKdawi05AAAAAAAAAAAAAGh57y7Qm5jvd0t51dZNChlHLuqyfnju4AAAX2c8/QfMNc1fSO1egAAAAAAAAAAAAcHmqj6U6jYWnV7IAAAATMvy8YvpClQAAABOzfKTheoAHG+/wBNzHmY3f8AIYVku/iwv8A6BK4x1sFSgBURvt5Z7JA9c1fSm1egAAAAAAAAAAAAcHmqj6Nck3uK8kkAAAAAyzsMex3mm4pdTkgAAADNu7RfCeEygADk/wChInzdMtd3REp5cozMhG6kVPd1vi2sF0y62V53ge7rdJdS4nrCr6jWq8AAAAAAAAAAAAHCBqg+jfJd7i/I96VAAAAyrsOgx3mm4p9T7gAAAQVzTu8YwzhEmAA5N+hIrzdMtd3LD+gV0ZmYnenlsqUQq3Y+ZU+nhi+o3+wpLD8I0UmxTTSATLrdEdV4dqyr6vWqsAAAAAAAAAAA1JWnGdzyWFSSrfPC67ab36q4JKL9ocsAAAZV2HQY7zTcU+p9wAAAIK5p3eMYZwiTAAcm/QkV5umWu7lh/QK6MzMC/bHU3jO10rzvrcjFovDLteLm2LW7Ye7rdDdV4dqqr6yWqoAAAAAAAAAAA4zupzBdWcKUn1VKs06i4ZItt843IAAAyrsOgx3mm4p9T7gAAAQVzTu8YwzhEmAA5N+hIrzdMtd3LD+g10ZmVflYfm26t98WuyMaR5+k2+yTZ61frjSPP1xvV7uZdboTqvDNV1u+slqqAAAAAAAAAAAONb6ZDJIHT5GNe+J9nlYWZEpdrg0sGv23zfcgAADKuw6DHeabin1PuAAABBXNO7xjDOESYADkz6EivN8y13csP6DXRmZZJtNJm2+jNH45Flwdnkey01iwNpQY2dec3WWjDz8S00h93W8+dV4Zq6t31rtVIAAAAAAAAAABxzfTbcu5nQZOHkfzh9GU+s2At+91WHeum3RD9iAAAL3PdXaYfnysL1AAAAUrkPTNLj3NNyABxz1bR8zyDF7lh/QK6MzONaXjN13q62t98abf5xrSx6/aVftj1Hp5Y1qt3Mut5z6rw7V9X1wtVYAAAAAAAAAABx5fTNeY9lp7PWuyMWVbfRY+VK2el5g6ByydZUAAAAAAAAAAAAUNzV9r6ExKSZbGZABMzfKVhe0VBMzPOVh+oEbreLeo881hV9daKwAAAAAAAAAAA45vpnHMuy+KVueXg1fvj2HW7ahzdXojoHLcitr7PR6PR6IgAAAAAAAECB4Nc3NOWvojxyQZlyzdgXeba20QnZAXaa660Q3ZRsoHtbw/9YwbVp9eqKsAAAAAAAAAAA4/vpnXN+vZNttJf9jqbPg7L3dbrXV7Wz9A5buK2s0mk09nsmESIAB5NJq7ZUuoABAgeDwSzkG5zda+iPHN/mXLN4Bd5trbRCdkBdprrrRDdlGyge1vDv1hBtXn15KwAAAAAAAAAAA4+vps3n/ULfi5pVWiiRtdJh0157uKys0mE0mHsmHo9ESIBaz54L+6VudKAQIEDweDwSzkS5zfa+iPHJBmXLN2Bd5trbRCdkBdprrrRDdlGyge1vDn1hBtXn14K4AAAAAAAAAAA49ut3x8wzWm0+QALTM9bqf6Diu4razSaTCYTD2ej2RAIkCWTCJAgRIHk8Hglks5Iuc42vojxyQZlyzdgXeba20QnZAXaa660Q3ZRsoHtbw59YQbV59eisAAAAAAAAAAAOPb6dDcBlFPqsgAWSU4GK9qj3Q9lQAAABo+6muK1gAARL9R0zaAAA4Qq5ao+iPHt/mXLt4Bd5prbRC9kBdplrrRD9jG0I+tvDf1bBtXn18KoAAAAAAAAAAA49vpvj5gmlJpcoAWmaayw/QkU6JtqAAAANR3MZAAAKo3vaiAADg6rlqj6TZOfsTIzgFSlCpRWqlCoUfPXX6LV9X18oqgAAAAAAAAAADj263oXgUqkan3AFjlWBivaY90VbUAAADwc+XW28VBQqCiB0FbddQAAcH1cs0fR/ZbXPNhswAAAAI204Dj8Y1gfXwqQAAAAAAAAAADji63O+Sb+Rg+oEVLXvsW99L0/RdtQAABLNW1YHW0AAADIzclt1WAAcJVcrUdy5OXmeRlAAAAARU4x12rwU+vxPAAAAAAAAAAAOIrqckXVF8op6rbWns7/wDN0hSoAAAwMxOtJ5NPYABA8FOXarZ9tQAOGKuUKAAALhVRUeAAAXI+vpPAAAAAAAAAAANP1pwhdWjL6pSK20vp9DraZhSoAAA8HkAAAAA9HsAEDSlXHpblJasCB5BeKrZRLBE9HpSqV3BV2namAAAAAAAAAAAAAAAAAAAAAAAAAAAAAgAAAAAAARAAAAAAAAAAAAAAAAAAAAAAAAAAAAAAAAAAAAAAAAAAAAAAAAAAAAAAAAAAAAAAAAAAAAAAAAAAAAAAAAAP/8QAOBAAAAUDAQQHCAMAAgMBAAAAAAMEBQYBAgcWCBEXGAkSFSA2NzgQExQwMTM1QCEyUCZBIyVwgP/aAAgBAQABCAD/APHcxk7HD48qf5G67a0KIW32IOd2MDndjA53YwOd2MDndjA53YwOd2MDndjA53YwOd2MDndjA53YwOd2MDnciw53IsOdyLDnciw53IsOdyLDnciw53IsOdyLDndjA53YwOd2MDndjA53YwOd2MDndjA53YwOd2MDndjA53YwOd2MDndjAI22onW/cdi3I0SyUwdsxX/E6SF+X1foxGqNLcvd3AlubOFeSRwrySOFeSRwrySOFeSRwrySOFeSRwrySOFeSRwrySOFeSRwrySOFeSRwrySOFeSRwrySOFeSRwrySOFeSRwrySOFeSRwrySOFeSRwrySOFeSRwrySOFeSRwrySOFeSRwrySOFeSRwrySOFeSRwrySOFeSRI44/xxSWmf9g5+XtefUDWR/idJB5lR0bJ3qIhwmsqpG6pd/FO0cU7RxTtHFO0cU7RxTtHFO0M+RaOLqlQUlMh7DuT0Gv6DX9Br+g1/Qa/oNf0Gv6DX9Br+g1/Qa/oNf0Gv6DX9Br+g1/Qa/oNf0Gv6DX9Br+g1/Qa/oNf0DBLe1XS1DTpIPMmODYm9SkX/wAXpIPMqOjZP9RENGbvq1/Ihvi1qGU/uN/7OPfFJA6SDzKjg2JvUpF/8XpIPMqOjZP9RENGbvq1/Ihvi1qGU/uN/wCzj3xUQOkg8yo4Nib1Kxj/ABekg8yo6Nk/1EQ0ZUZHR37Pq26LlA0XKBouUDRcoGi5QNFygaLlAjMTkSWQt6o/ILU4ONyOqHSz+NLP40s/jSz+NLP40s/jSz+NLP40s/jSz+NLP40s/jSz+NLP40s/jSz+NLP40s/jSz+NLP40s/jSz+NLP40s/iGMTshfylKvpIPMqODYm9SsY/xekg8yo6Nk/wBRENGSJYsjNUVEnFd5HFd5HFd5HFd5HFd5HFd5HFd5HFd5HFd5HFd5HFd5HFd5HFd5HFd5HFd5HFd5HFd5HFd5HFd5HFd5HFd5HFd5HFd5HFd5HFd5HFd5HFd5HFd5HFd5HFd5HFd5HFd5HFd5EInzi/SIlsP6SDzKjg2JvUrGP8XpIPMqOjZP9RENGefq0f4WIfHSYdJB5lRwbE3qVjH+L0kHmVHRsn+oiGjPP1aP8LEPjpMOkg8yo4Nib1Kxj/F6SDzKjo2T/URDRnn+7R3cemNFJEWmepZGVTVKqtKaXsLahJaYs2LCYVCrLEaxKmhs2LNSoMeMJN83UtL05F2FOSoouMNTcpx0+OJ8cTRtBjsh8d3tjjT3FFL/ABkTxobqxZmf2jFMcTPixeauVpD0zgcgvk7KzNjxFWOyRK4CxOpjarYLI2/ZETFoSEUGkLmrYU0JiZa+XLG5yvkGPVZ96A/G7S2ORT9VXE3OEXI0DaukqiAsDnc3LI4liyGAlvrvJnmEq2Q8ho7mIfHSYdJB5lRwbE3qVjH+L0kHmVHRsn+oiGjPP92ju0EPfUblFKPblixWY85CWOa58UHK3papURs81NIG88gsqwvMZt1jv+WWCH+VMjEaaSnzFKVvOfbGqDxFawlCEb37HjzHqtq7RcAaz6L45YpyshcC3Jz7VyymUWzZliK2RHnu8ETIEmUbE7XHU0QSy9WoQtby4RCdrjHlyhbQ+pjXKHYisvLIkhZkb8QtozH41NEdRta3E6Yh4lbPFUDZQ9m7mIfHSYdJB5lRwbE3qVjH+L0kHmVHRsn+oiGjPP1aO9AfLiUCFvPYMiTOFZhCT3RXc+xmGQs1nU0f5O1S+y/JnbamYQB2OezVjI+kEQ3HRjIabWtuEiLrXO2k3gdjkWMVuXZ0yS0uzA5Wq5NagKjsloXis1fdEPFjQMhQ1/eZSoXoIAzr2TI6RG4poE+nTK5efKGouaS1yo142icgZ5JVwcIQpIWPM0VJo34hbRmPxqaGppXPOIE6FvyX1Mcs/astP2i2aw2tqbmPbRzHNg5jG0MG06SyuVrihyzl+PZSeEjrKccTmIQSXopUwWbYD6Obd/HNhIhzWSQc1UkHNTJAt2nJYq3e5TbSU5ts3VxVtBVe31Myyj9vpIPMqOjZP9RENGefq0d4hctITGpiA1PLq1daje6PDo6bquAbpC+N5Hw6NWpUKz7j1Xxq2qH4EIV65BW+5CC77y77TCzzjVB9559ilRYlvSWlGGEm2mk6jkIq6uly21dU99ezyrij0x5yY+09Oukj8uS1Sq0a1ajoZRIXfeWZaYWrVKlh1T1iN4d0RFCEe2S6uC6yIELKeylRQE1BNwT3BPcE9wsv/gVvFt9RZfcKXVoCTq0CZVeVSw8tjM96yojP2+kg8yo6Nk/1EQ0Z5/u0fu7X/wDeICgx1s/QJ6xtHZO+8uOJxy44nDdswY0WoFS4nlnxmOWzGgs2dMbizZ9xwOAeOhwFxyOA+OBwKxwOBuOBmKLo4RkdzjSAq/eReIadQ+KNZv7fSQeZUdGyf6iIaM8/Vo/d2vf5PiXsxl5D4+9sR8IvvySvuWDaq8+ZCCK/+Kog5tp0QajLP2ukg8yo6Nk/1EQ0SNoYHOpNXvSsCGlYENKwMaVgY0rAxpWBjSsCGlYENKwMaVgYIhkLPpX3N0TgtLq23aVgQ0rAxpWBjSsCGlYENKwIaVgY0rAxpWBjSsDBkKhlhNTb9KwIaVgY0rAhpWBjSsCG36ibm+ZRlK1DDbC7O+BYFe26HlI0PKRHow+pY66pT9Kv40q/jSr+NKv40q/jSr+NKv40q/guKv1DLa12q/PyRhPfv3WCEVsrEmypf7XSQeZUdGyf6iIaJ99Ug3UG6ns3UG6g3UG6g3UG6g3UEC+2rDv+WWDdQbqDdQbqDdQbqDdQbqDdT2PnhK32bqezdQbqDbs8Sxj2Y5OPKwXj6hPxiwfGLBYqX3XdW21Svrf1KJ73Y8y4oi5Q42G1Ju+LXUurbW0x0urdS34xYPjFg+MWAhYsqeWNrM7qZ8kgbVHXXJrBH7LS2VJZb+10kHmRHBsn+oeGid23V+F3bvlQP7asO/5RX8qofvCdve27PE0Z9mPfIrHntQqj0SspWmPVM6RMbkFNJnxdGCEbQztivUqNoelrn5iKhfa933SikfydcRc9pq+1N98sbX99eYOTUDGZWryhoGb+GpN+xtJ5bsxfGCfglma8oLFV6gy3L+SxKJO7SdSUsk7IvMZnQh0aTpzLFN9bz4/lCaM55V5MEkqSWRlO9I/kQP7asO/5RX8t+8J297bs8TRj2Y98isedw9yR3QJO1W0WxyTtiMt7dX9ra0SFqjN6yFHvtJOZqul7S6n0mixqc3At0bvYn++WNr31DSgMdaWSBusDT+NIp+x0hXiiMCy28WWmC4hZeZW4tMSostuqcXZeLbLxsseXan5MD+2rDv8AlFfy37wnb3tuzxLGfZj7yKx57GtoVuKFesTJ2tYe0KnUtojLk5ok6shwhDoiLtuMfoc8MyMxWeTCHi9vsVVbYk4rrEl9q+BPCH3VDnuGuLQgOWKgm++WNrr1DyoNO6r+2Bq/Gkfsbcpd6nKkTSKnbGWKEDsrRWcPsWBfifFCVYcRZwwxWOGWLQ+40xtSMvRyPZWrvxsb8mB/bVh3/KK/lVD94Tt723Z4ojPsx95FY89mNlpaWUkpz0KRM0pU8EU2f+ulcSjVqkuNWyhNc2PlrarOlrY11sbJzZZQuXeD4qJZ5rMonRcao4ut6QJ/vlja+v3bRssDHfWsgbQ1fjiP2Nt5dYbluFoRIo28HyBwPJ0q9h1Zl57kecT2E5jsFzEma1qSGyM8/Y+aFbji0w0jS7oNLug0u6DS7oNLug0u6DS7oNLugi7YpbbD6KVsccD1p51ml3QaXdBpd0Gl3QaXdBpd0Gl3QaXdBpd0GlnMOaE5QxURWaXdBpd0Gl3QaXdBpd0G3wkNQzKNkHjHvkVjz2F33F32mWO0hWOEmtfrqSNRq+sjuWylEeZaeQ6zg9UUsoitm/uy7z07o7mL2ptQXOclPXydG+3vkmQuZCqnsT/fLG2H6kJaI7d/yJtDP/LYn/Y25DiOKsGKsmFKasdg1NKxzsOqiURVyJKMrVLG16hwUobHRvPblVU6j6MkgDbl7IsAbUrREOZnOI5mc4jmZziOZnOI5mc4jmZziOZnOI5mc4jmZziOZnOI5mc4jmZziOZnOI5mc4jmZziOZnOI5mc4jmZziOZnOI5mc4jmZziOZnOI5mc4jmZziOZnOI5mc4jM0sf5rFoZIZOMHx5A9YDghq3QjANCsA0IwArHjOYnNPs0KwDQjANCsASY9Z1RlSyNCsA0KwDQrALIMw0vtrTbI9SUtEbrvkjYGb8Wm/Y25ExJOWIMqsmHit2EZc+yXT4sEvrZb8O4XEyhrTqzF6eSOJbs51X2V/BSEY8wjxLjBL6OUqg5R6DlFoOUKg5QKDk+oOT2g5PKDk8oOTyg5PKDk8oOTyg5PKDk8oOTyg5PKDk8oOTyg5PKDk8oOTyg5PaDk+oOT+g5QqDaRhXD5FEot7MB+n6Ddxs8NunciP5MzuFfcsG2V6kpYIzX/kjYGb8Um/Y27PM2AB8VXIJ4uWWOhkeQtyvs8s+253cvf1renaLVFaOSpUe6F23/AIGQjZL8rKi2osqLKiyosqKVFKineMvsKLvMNmueogcgvSxiJyBqlUdSvzJ3d4rUbxdUXVG3h4ujnswH6foN3Gzw26dyJfkzO4V9ywbZnqTlgjPiRsDLXe0prv2Nu3zOx8JJE5GqkTipT6MlI0ZKBoyUDRkoDvG31sikkVrtkvyrqLKiyosqLKi2o3jeKVFKjf3Jc1mPcTeGclegWIFKpuXYAc17riFgPcPbvFajeK1Fai6ouqNu3xZHPZgT0+wXuNnht07kS/Jmdwr7lg2y/UlLBG/EbYGD8Kk/Y27/ADOx8Hj8mr7s08AygbJXlSLbhbeLbxbeLb6f92X0HXtFL6Dr2jr2i44qz+/xBA9+QPfkC6jdfW+t9DyN1KW+/IHxBAoeTWu6nXtHXtFTKDr2it9BdeLrxt1+Ko77MB+n6Ddxs8NunciP5MzuFfcsG2Z6kpYIz4ibAy03NKb9jbv8zsehwbFZrgoMs7GWDsZYOxlg7GWCft56fHcqNN2BfJUwdSwdSwdSwdSwdSwdSwdS0dS0dS0dS0Z/p72VIS7Phrh8PcPh7h8PcPh7h8PcPh7hjmz3E8ZjK9S0dS0dS0dS0dSwdSwdSwdIz5ksXswF6f4MN1RuqN1Q2eHXQbqjdUbqiJ/k7xuqN1RuqC9/vLRtmepKWCM+ImwNH4tP+xt3+Z2PQ7/lVY3UG6g3UG6gnHl/KhsA+SZny8nJi1csNvr2WQOyyB2WQOyyB2WQOyyB2WQGlCSldkamltd9O/0jfmUxezZnWHJdnqF0K7XVjtdWO11Yo8LP53drqx2urHa6sWvCy36drqx2urHa6sWuysbZnqTlgjHiRsDT+MT/ALG3f5nY9Di30McVF9ey7R2XaOy7R2XaMiIqEY4lZlNgDyTN+VffYUXdffJJJaukC9UV2xUdsVHbFR2xUdsVHbFR2xUds3fzuizmS8MCNeR3ukb8yGH2bOPp9hHzLP7UG2Z6k5YIv/Mkaw1/w3k/sbfJ5KTIcDVHrc5YZPVnH043YaHG3DQ424aHGzDYmmZsTKYPIUSDYA8kzvkmm2Ek3Gm5Cflj4Xe2N2nbhp24aduGnbhp24aduGnbhp24aduEFWuMWWXVKa16VySUUpO70kHmHG/ZgjMeKWXDUXY33jrhQcdcKDjrhQcdcKDjthQcdsKDjrhQcdcKDjrhQcdsKDjthQcdsJjadkbLLc3yGQx6L+JGsIKbkZVP2Oki8URQe9MHvTA1o1BiW82ryQqTX30NtOMFDrx0e/koq+Tke98+LJLR20eK/Wwlxr/exMp+t3wZoqlNHwpg+FMHwpg+FNF5Cmn9DLXOn9IVSQVfyN3d6SLx3F/kIGlWrIqcUcVeSbcWZ3orbeZJ2qwtBv8Agid/6+0/iBDlWJWWWOmD8otyswg3g/ksR6C5XZybiLHzG+VXc+hp/B/JYiGAMnP7sSjvxHB2rHsFQRho+RdZZf8AX3BQ9wUPcFD3BQ9wUPcFD3BQ9wUPcFD3BQ9wULCi7Pp3K1pQbUOJUGU46RQpbs05KINu3G4BnhX9+BE2HAmbDgVNhwMmw4GTYMuLsjtRF5CY/CE5OOvNN4FzYcC5sOBM3HAeci3Ac6/6J2dMkHfa2etmZwbZeikU0JrZ1KUs/wBrcN1BuoN1BuoN1BuoN1BuoN1BuoN1BuoN1B1bf/kn/8QAVhAAAQMBAwQJDgkKBQQDAQAAAgABAwQFBhESk5TREyExUVSRs9LiECAwMkBBUlNVcZWxstMHFFBhZJKhwcIiIzNicoGCo7ThFUNjc6IkQkSDNXB0gP/aAAgBAQAJPwD/APju0YaCzqZsZJpPsFmbbIn3mV1bbrIO9KZxxK5Nr6TGrk2vpMauTa+kxq5Nr6TGrk2vpMauTa+kxq5Nr6TGrk2vpMauTa+kxq5Nr6TGrk2vpMauTa+kxq5Nr6TGrlWvpIK5Vr6SCuVa+kgrlWvpIK5Vr6SCuVa+kgrlWvpIK5Vr6SCuVa+kgrk2vpMauTa+kxq5Nr6TGrk2vpMauTa+kxq5Nr6TGrk2vpMauTa+kxq5Nr6TGrk2vpMauTa+kxq5Nr6TGrk2vpMauZbIB/vxkrR+MxCTBPDIOTNAfgmPyLLhQBTSVhh4crlkqkmrKucsmKGEHIzfeZmVxbw6BJqVxbw6BJqVxbw6BJqVxbw6BJqVxbw6BJqVxbw6BJqVxbw6BJqVxbw6BJqVxbw6BJqVxbw6BJqVxbw6BJqVxbw6BJqVxbw6BJqVxbw6BJqVxbw6BJqVxbw6BJqVxbw6BJqVxbw6BJqVxbw6BJqVxbw6BJqVxbw6BJqVxbw6BJqVxbw6BJqVxbw6BJqVxbw6BJqVxbw6BJqVxbw6BJqVxbw6BJqVxbw6BJqVxbw6BJqVxbw6BJqVxbw6BJqVxbw6BJqVxbw6BJqVxbw6BJqVj1tmTShlxhVQlGRDuYszqXCltelngqY/2I3kHicPkXyUXKLh/wCAlQvVbPlbkuRk4fudWG+k9FWG+k9FWG+k9FWG+k9FWG+k9FWG+k9FWG+k9FWQ8T1Eoxsb1GOGP8Kpdn2bH/MycMP3OrKfP9FWU+f6Ksp8/wBFWU+f6Ksp8/0VZT5/oqynz/RVlPn+irKfP9FWU+f6Ksp8/wBFWU+f6Ksp8/0VZT5/oqynz/RVlPn+irKfP9FWU+f6Ksp8/wBFWU+f6Ksp8/0VZT5/oqynz/RVlPn+iqB4soSfLeTKww/cvJL8qS+lf00nyL5KLlFw/wDAS/1OwcLD1sv1+6fFmvJT8q6+lf00nyL5KLlFw/8AAS/1OwcLD1sv1+6fFn6l5KflXX0r+mk+RfJRcouH/gJUhVOxOeXgQthj53Vjy5wNaseXOBrVjy5wNaseXOBrVjy5wNaseXOBrVjy5wNasw44YqgCMtkB8GZ/OqZ59jysrbZsMVZ0mcDWrOk+uGtWbJ9cNas6TOBrVnSZwNas6TOBrVnSZwNas6TOBrVnSfXDWrOkzga1Z0mcDWrNk+uGtWdJnA1qzpPrhrVnSZwNas2T64a1Z0mcDWrOk+uGtWdJnA1qzpPrhrVnSZwNas6T64a1Z0mcDWrOkzga1RlFEwGzllD9zryU/KuvpX9NJ8i+Si5RcP8AwEqWCf4xl5WyE7YYKy6DOErLoM4SsugzhKy6DOErLoM4SsugzhKy6DOErLoM4SsugzhKy6DOErLoM4SsugzhKy6DOErLoM4SsugzhKy6DOErLoM4SsugzhKy6DOErLoM4SsugzhKy6DOErLoM4SsugzhKy6DOErLoM4SsugzhKy6DOErLoM4SsugzhKy6DOErLoM4SsugzhKhpIYzAycgIsWwXkp+VdfSv6aT5F8lFyi4f8AgJb8n3fIXiZfUvJT8q6+lf00nyL5KLlFw/8AAS35Pu+QvEy+peSn5V19K/ppPkXyUXKLh/4CW/J93W0kM9NUtsQlJuRm+4/3KI5RqDZ6T9YSfab9246o4pranyXmqO+2pnfF/mZlRf4xabjjLlixMPnZ9oeJ3VG1j2oIuUbCLCxfubaJuJ1RhK9PEeVGe5lM7NihYQCYxFt5md1SgdVCeEUr7o7QqxwrDeYgJ27bt3ZlFLSS0m3NCe827i2L4PhvP1KOOninHInGPwnb7nEmUTHTRQbG37Z7j+dmZ0H5+KV4nFvCZ8PWqKF55JYvjh9+UXMR2/O+UruSHLGwu7xRC47bY982VlPFZxQFlQStumwlt4M7qzZrOr43MI5R3HcHfHDB3Z/M7IvzFnOWzMO1luJYYfMzq77U9N2g1UcLM+Hhfk/letUwVDQQYwueOI9ttqwJ5q8yGI5cgXEiIsMccvH7Fd2Q5WBjxhjZxwfzmysf41lTmGIjifbuw7pMrCnpa0snYpSAWYfymx3DfvYt1viZfUvJT8q6+lf00nyL5KLlFw/8BLfk+7roNmrrEA2c/wDu7Xdb5yZFlzlTySj8z4iODeYXX6WScyLjfaTu0oVIYYftMt2WzMs/PizepmXjz9p14x/ZFV4UTHUvhIYsW3sj4Nhi226qiq7StAfy8QwwF9rHDvNhj1MSnpvz1P7TM38Qv9ZD/wBVaFUM5j33jxxf/gwt/EgyqOeJqxybccgwb17HxosYgtKCGL9kZGb7X21b50dW4gxxNhtbW13nVW9XSAB7HN4WMWL8T4srYOa1zklEIp2cRCQnfFm/JbHjUOWU5k1Wwd9ifKYwVoRyd8qQ/U2O2PzM6FxMaVhIX7z4GuFxe2y8RGq56Kl2cneVt/LfBW4ddU7KwvE+Ha4Pi+0zdb4mX1LyU/KuvpX9NJ8i+Si5RcP/AAEt+T7uu8WXsOsXiHEJhbwH2n1ooq2lrPzrgJszsT7rtijho6ek/OBERs75TbjvhtLGKjmJ4P2I8MBd+JndRBV0lWby7UojkOW333bFt7BTBJaVollGI97cx/hZhwW61XtZwlgVsWW2TO3fkHv8bbfnxbqFhFVY05/xdr/yYV+goImiwbcyn23/AAsib41QxFSjv5W0wesVw+DlGVKEkBgDCTzCO4LN33UTRzPCZ4MbFtOBbyaOnpPjpT7JsjOWTl5TYMyr4GmoYIwFi3JixLKwf5tzHB1E1HSxRmJ4yi+yM7fM+5jg624ZWIgffZ3k21wuL22XiI1G0k71BFg5MO00hd91NHSQE+EcURjJLKW3gIiz+t2VyKuaPvHNamSXEwK4J+l35iuCfpcuYrgn6XfmK4eE4eHahOO3/AriTvPSQPBF8Wth4xycf9pXEqxtGiy9hee23MPywIHxbYlcuh05+Yrm0GnFzFc+ztOLmK6Vm6aXMV1bM00vdq6tmacfu1Y1FSf7dXzonVBZkvzySagZWfFQyVR5EFRCWIEfdnkouUXD/wABL/V66snigl/SxBK4gfnZnwfqWhUUzFuiB4C/7lX1FSw9qJntN5m6lq1cMPgDI+DeZu8p5Z5i7Y5Dcif97qsn+KMWU0GyPkY7+Tjgq2ppXNsDeGUgyvPg+31CcTB2ISbdZ2UhyyyE5GZPi5O+67qaRoJCYzjYvySJtx8PmxRnHIBMQGL4OLtuOz95W7amlya1aVY9UI5IzvOWWzb2VjirYtGWMmwIDqTdnbzO6mOGUHxEwJ2dn87K1qqWF90HPaLz76q56dpRyZNikcMtt58H20bgYuxCQvg7OqmapldmbLlNzLjfbVq11PEO2wRVBgPEzqsnnbYKmXGWRzf9Lh3AWEkUkcgO26ziTOz8bL/ugB/s7r8lFyi4f+Alvyfd3bwKo5YupeS36WqtemKZ4qWACAcDcVe29uixK9t7NFiV7r0NFTEInjBFukr33q0aJXuvVo0WpXtvTo0SvXefRolem82jRK895tHiV5by6PGryXlzEavFeXMR6lUz1NPRtE4yzYZb5YMXeT73rTO2NKG62He7r8lFyi4f+Alvyfd3bwOfln6nk6Xli6vj4Ow77Leg5EV83rZbj0oNxNh3X5KLlFw/8BKGKV48djy5HHz4YOypKTSD5ypKTSD5ypKTSC5ypKTSC5ypKTSC5ypKTSC5ypKTSD5ypKTSD5ypKTSC5ypKTSC5ysyCTDwZj5yoaVn/AP0HzlSUmkHzlSUmkFzlSUmkFzlSUmkHzlSUmkHzlSUmkHzlSUmkFzlSUmkFzlSUmkFzlSUmkFzlZUIx+E8x4e0qSk0g+cqSk0gucqSk0g+cqSk0gucqSk0g+cgAKUaCTlOpS7OMVnysedJWY+dFWY+dFUORNPLEUY7IO2zbqof5gqh/mCqD+Yyof5gqh/mCqH+YKoP5jKg/mMqDv+MFfR+RFPukLNxockWphbDzd1+Si5RcP/AS/W7H4Q+p148/a7H4uPruAS8r1J5Y8bNl7Q3H/OJVtTni1qtqc8WtVdWTvuM0pa1VVbnuZOylipa+Ux3RAzd1U1gyY4ZLyHjjvYKrq8rHDDZS1qaudx2nwM1W1WeLWq2pzxa1W1OeLWq2p7dv84ta+j8iKftpgb/kmZmaIW7r8lFyi4f+Ak3hJn7F4Q+p148/afsfi4/u67gEvKdTybLyxdWRwmhNjAt52TB8aqotiipu8FU+LGSlaCaSAaqtqshnOeQ9t93FRANp0Fr00Ek4Bhs4EbYY4LyufLOnwrv8SjydsdzIbHttpHAde1IDWg8GGTs7Y5X7+r4betfR+QFPu1Mbf8mXgN3RC09tWhlBSA+5HhumSvnawufejnIBbzMyvpbOlmqorZmhDY45azGUgHebFQwUFfTHlwVEAZEkZYPts7K8FpSvjjidVJrVt1M0QbsMxvIBN5iTZLStkyR+LkbdbsPhD6nXjz9p+x+Lj+7ruAS8p1PJsvLF1kj/ABsK8pyDIfDIcMMcVXyWXadJE0HxjYnMJgbcxwTnNDTVQ1c1RKLi88gviO1vKvqgmy2nOz9gd8ZW2+33MMVM8Fp1NpR1UIDi7Cw/PhhtJ8iWqjYquDJfCOXv4PuOz9Xw2X0fkAX/AHVMftMvAbujgR+2hdC6qNibeyMVM8xO+1gGDMhdC64eXYfCH1OvHn7T9j8XH93XcBl5TqeTJeWLqbG40MbSSi5flOL47bN38MFH/wBLTGASF85bmH3+dk8Ax1NV8ViaQ8Hc8MrHc3NpVlmm5ShEwBUYllETC21gnpZoIiYJSglytjd9zKbadttTUMUskWzBSnPhMQbuLCp6KEauA54nmlydoCYXx2t3F1VWc5yyxxAAzvlYmTC21huYuqyzjGHBiCOfE9smHcw6nht61v0/IAuGRe2y8Bu6AN6KYIIvrT4GrgQm0ExRMT2rV7eD/tr4PYPS1Xz1cUMAfypVc9XDi9KVXPVxYvSlVz1dAKWpprNqJ4ZRtGpNwMIyJtojwXC/wN2Hwh9Trx5+0/Y/Fx/d13AJeU6nkyXli6m3TVwFSTDvse59uCeN5bSgnOaTekf9E/EC/wDBBpJ/96Rnd1U2kdc9qBljMAtH+k28MFJUja0oNNUNOLZBjHg7tHh96llo7wRU2Q0ZbcVTkN3t514if22Xh0ftsqi0itP44eWBgOxZWW+Vt7uG7h1PDZb9NyALhkXtsvAbuj/xjpiL+KoUEJRyVJmONRGz4OXzuqan0uLWhp3A3Zxf4zG21ks2/vsgptKj1qOn0qPWgiYGsar7WcCfbhLvM6eLarPwCngzj6k8GcfUngzj6k8GcfUngzj6k8GcfUngzj6k8GcfUnj/AC3Z2yHd0UGScjk2Jvjtv5k8GcfUngzj6k8GcfUngzj6k8GcfUngzj6k8GcfUngzj6k8GcfUng+u+pODSsADi77W0ngzj6k8GcfUngzj6k8GcfUngzj6l27UB8p1PJsvLF1CySF2IXZM0c4HGYC24ORhqUInLs7ytG5bW8w4/M20rtUFNUjOE+zAT5WImxfbgrJoaGatBwqKgMSlMX3WxVhWfT2ocexvWhiz7bYYsPhKEAGgAwEmftsp8VTRhJSvE7RsT4Fsb4q7dDBU1BZRVIE7mxO+Lv1PDZeHTcgC4XF7bLwG7o/TAcDyaQuGy+26iGU4nBnjbt3yyyWdm77Y4M+9iioyMAKQYQnF5DjbHExHdcdp3+dk0DS08jBK5HgLO+PfTRuTgJiQExAYu2LELttOzryJXcgavIdmUM0AznENNDJjI+6WJg7q/U2gUvu1fqbQKX3av1NoFL7tX6m0Cl92r9TaBS+7V+ptApfdq/U2gUvu1fqbQKX3av1NoFL7tX6m0Cl92r9TaBS+7V+ptApfdq/U2gUvu1fqbQKX3av1NoFL7tX6m0Cl92r9TaBS+7V+ptApfdq/U2gUvu1fqbQKX3av1NoFL7tX6m0Cl92r9TaBS+7V+ptApfdq/U2gUvu1fqbQKX3atA7QtOaCrCSd4wDERnJm2gZm6lqvRPFQSCzNDl44ykrznov91eg9F/urznov91eM3ii7d/i259qvOei/3V5z0X+6vQei/wB1eOQywxwam/urznov91ec9F/urznov91ec9F/uvDp+QBcLi9tl4tu6P0s5wMf8M64ZL7bp5cnYZY/zW7iUZC3ETs/7lT1n+KU1I1MAsQ7C+AbGxv3+173fdUtX8Zq5AkqWPJcAcRftN/Enx2+8gMCkiBjB+1AmFmdh/V2treXkSu5A1eP/DdhYabYviuybjY445TK/LaB01fpvR3TV+m9HdNX7b0d01fxvR3TV/W9G9NX9b0b01f1vRvTV/W9G9NX9b0b01f1vRvTV/W9G9NX9b0b01f1vRvTV/W9G9NX9b0b01f1vRvTV/W9G9NX9b0b01f1vRvTV/W9G9NX9b0b01f1vRvTV/W9G9NX8b0d01ftvR3TVotaGwUtTJs7RbHjlzOW5i/U4DJypdZ+p1niD6zfZeMp+QjXC4vbZeLbujxkfLsmyigtE5MH7+EjvgiAp7OiP4uXjXqdx/4BdbMdO84COzSw5Gx7IWU4/wCnhg7s+3gqmOHYKCQKeJjjMDcY2wmjdttscMXZ++6qZ5XCCj2Jqc4xLEosT7ZsMHLdXkOu5A1wv8HZjEIwFzMydmYWZnd3d33MGZXo+J1AVYDPVSUBnjBjibwDuGT7jYqSaWgqxxhKaJ4zfB8HxZ+x8Ak5TqcBk5Uus/U6zxB9ZvsvDp+QjXC4vbZd+Nu6PGR8urKmOGWqkMDYh22cn+dWPN9cdasafjHWrHm+uOtWNP8AWHWrOkggGxK5iMsO/AeC4X+BuzSbFLX0MtOB7xELsyppqeopTKGcCB2eMmd2dn3ttlZj2ccVM0EQ+NjDaGVm7zF2PgEnKdTgMnKl1n6nWeIPrN9l4yn5CNcLi9tl4pu6PGBy68eXr63yJWciS4V+BM/E6x4nXqdep+sfqyxj+0TMqiHOCp4c4Knizg60Fnm59u5DG+VvYv3/AN6mgFmZmZmMWw3mZtxlPDnBVRDnBU0RO+4wm32N1X6z1OuAycp1OAycqXWfqdZ4g+s32XhwchGuFxe2y8W3dHjA5dPT4HIT7c4ttY+dFTaQOtFTaQOtFTaQOtFTaQOtFDg1iVnaTC/+SS4efsigHiQDxIB4kA8SAeJAPEhHiQjxIR4kI8S/y6P1mSYuN0x8brL43WXxusvjdMfG6Yljg1SzP5nZ2QjxIR4kI8SEeJAPEgHiQDxLyd+PqcBk5UkP2IfsQ/Yv1EP2IfsQ/YuDmmfidD9iH7Fvt3vnXhwchGuFxe2y8W3dHjA5deOL19b5ErORJcPP2R7HhiEQAmZMyZkzJmTMmZYYxVAH/wAm7B5O/H1Mjboz5QkMObZDDm2Qw5tlsP1N1DDm2Qw5tkMObZbF+4EMObZDDm2Qw5tkMGbXhwchGuFxe2y8W3dHjA5dV9EGMhPgUmD7qtKz88rSs/PK0rPzytKz88qyklwsOs2o5MX/AEJLygfYiYRFsXd9xmRYxHMWQ++LPgz8TdgfbbbZGxjLELlh3iw226/yd+PqcBPlS7JvsvDg5CNcMi9tl4Dd0HhDBhKZbwjMr/02EhuX/wAdVe7Xwh0no6q92vhDpfR1X7tfCHSaBV+7Xwh0mgVfu1feCrrKqyqmnghGgqReQzjIRbF48F5Rk7CYgANiRO+0zIzhoMcJTbFin1D2LGajldnmgf2h3nUjGD8YvvP13kwuU6l84LOtKgpiCeB6Oc8HeQvBBfCLBoFRzF8IsGgVHMXwiwaBUcxfCLBoFRzF8IsGgVPMXwiwaBU8xfCLBoFRzF8IsGgVHMXwiwaBUcxfCLBoFTzF8IsGgVPMXwiwaBUcxVzV9mVZwvBOwEDHhCAvtEzOuGRe2y8HujgUvto3RunqwgCNjxpwxOR3dm+zFZbsJ5ASkODmyN0bryrL2GkeroXDEhE3bA8X232ttWMTfxPqVnkP8JP9yhIf/Sb+pkx6PJqQyaPJqQSaPJqQSaPJqQSaPJqQHo8mpU5l/wCk2+5WWZ/uJvWyoCo6bHGc3N8CHeww67ydJynYAxHcZ9/d1IcCF8H69ncyrIWFvny2W7kN3RO9LbNnZZ0M26OL7oGrm2weQ/bxUkhjxsyuXbugTc1XGtapg8CWzp9rzOwq5NsgwbQRx2dMwj/xVy7d0Cbmq7VdZsBnhJU1kBxBHxssXigbGSUt2WR+2N+wizoGQMgZAyBkDIGQMgZAyBkOHXVw0dqUOJU0qCyDDw/jmR9hMpLD08VUWHp6qLC09tSnsPT2U1i6cprF05T2A8Z96SqEsl+JT2MRm+JO9cylsXTlLYunKaw9PZS2Jp4qawvSIoLIPzVyr6PChkaaGkgxLE23MXdk+0zbXy4zcSZuJM3EmbiTNxJm4kzcSZuJM3EmbiTNxJm4kzcX/wBS/wD/xAAzEQAABgADAwwDAAMBAQAAAAAAAQIDBAUGExYQERQHEhUXIDAxMzQ1QFAhMjZDRIAkJf/aAAgBAgEBCAD/ALTrKzjucNMjTI0yNMjTI0yNMiTQGyypwXl90SaCGvCGvCGvCGvCGvCGvCGvCGvCGvCGvCGvCGvCGvCGvCGvCGvCGvCGvCGvCGvCGvCGvCGvCGvCFRirpKWUf6nDP+TuLH0jgx1+zPycI+6o+pwz/k7ix9I4Mdfsz8nCPuiPqaKYxG5+b0xBHTEEdMQR0xBHTEEdMQR0xBE21iLjrSnF1ZLnG1w2mrUaatRpq1GmrUaatRpq1GmrUaatRpq1GmrUaatRpq1GmrUaatRpq1GmrUaatRpq1GmrUaatRpq1GmrUaatRpq1GHKSdEsEuvfUW1kuDzebqOQNRyBqOQNRyBqOQNRyBqOQNRyBqOQNRyBqOQNRyBqOQNRyBqOQNRyBqOQNRyBqOQNRyBqOQNRyBqOQNRyBqOQNRyBqOQNRyBqOQNRyBqOQNRyBqOQK26elSCaX9Rifxb+iofWp+pxP4t/RUPrU/U4m8W+zVKYz+a9Or1sSslM+Ey0TcRpxFfWESFoRAs96GqmEk5imX3iInFJKFGaXXuuKiNxGq8n3pESJJiqkRRZxWeGbkM0kBEpazcW0pDhtnMiR2Ho7BS3ayK6bS4pRJdgkm0NVsxxUdNdWk7KU26c6rcUbaqiM0+l7nwZFcaENLmLrIjhtriNwmoJPvTJde4yaWexQ+tT9Tibxb7UCa29Fz3aV1Umep1clanHlqVDWaH0GkkkVuZk/5qxA9rfEOKUqsS2ckmKuIuOkV3/rr3YwZe6NgNmHYHPtEOE9Jz7VKisYkFx81PVjbTdmSWoaIKJSlNsS3a6as3nahiWk3YVERkT5HD9QgX/rDERpl2qSl6bFhNNb2OxQ+tT9Tifxb7VX7fIFdL4SQl059Qp9Rvxa+pOMriJTFmk7HPVPpHlPG4xJQmtgGwoz3UxGTu60hE6QpJGTLSR38gnJGWUSw5tYbggeqbFrVSZEk1oq4rkWwSh1FLIVLNxU2MVlKWTVRWSo0jMcrlpcelLTD9QgX/rDDEZyTUk23Fw6+45ue07CGnoQ09CGn4Qi00aM5mNjcNw3DcNw3DcN30GJ/FvtIecQk0pDEt5jy3pTz/mBmdJZLmtrWtwzUvOc5mWGn3Gt+WEmZGRkpRrM1GS1Ek0ElRpMjLj5Q4l41881TZC0mSkLUgyNLk+S6nmrbeW3vJBGaTIycdW6fOWiW+0XNRRuKchpU59bibxb+bQeiTshVr0wjNvT0saeli8/+GznStbVw1tWjW1cNbVw1tXDW1cNbVw1tXAsa1xnu+gxP4t/NoPQp2Ya8te3lU9sLuW/2L6CyVXlzeNzMPDMw8MzDwzMPDMw8MzDwzMPDMw8MzDwzMPCLFqJe/IWdAhRpVmYeGZh4ZmHhmYeGZh4ZmHhmYeGZh4ZmHhmYeDkGqaaznMzDwzMPDMw8MzDwzMPCvOObBcKKSexFQsnemYQ6ZhDH59KwcqJpa1GlrUaYtRpa1GlrUaWtRpi1GmLUIwzaEoj+g5T/APX7vkw8mQL33OR3eJP5ZPawB7G3sxItSHUbs1wZrgJbhnuIlu79xJzlmZJ5zpK3Hz3N+4FnHvIs1wZrgzXAl1z6DlQ/1+75MPJkC99zk93iT+WT2sAexN7MS+Y3tacU0slpU5HbSdkmbMcgkllhlfGttvre9wUD4g+I4e65pvJ2p8S+WRbS2PxWJG7OnYWp5iTSvENMqmnLin3HJh5MgXvucnu8Sfyye1gD2NvZiXzG+wqQ2cFLJE9EnNpJ96cywhDMU3a5b/FK6TI2XFCxdZfWTrWxPiXy0jcoblDmmPyPyPyOU33VvueTDyZAvfc5Pd4k/lk9rAHsbezEvmN7GIrjza1pRGcWyp4o9c88hK0u0zzREZyqp+Mg1qTTyDQSgzVvOkkydpH2vGTUvRkG4oJ8S+Wn9TEahbeZS4em2xZYxkQpbkcteShryUKXFb9jNTGVyn+6t9zyYeTIF77nJ7vEn8sntYA9ib2Yl8xvZTvE3JJKmmkR0pr1EeTKjxQtMQpKTbkE04chprczakW6w9JHE/3RoWaYfPcNAT4l8sv1MRLuC0whteoK0XFJNlT3nmtN2Q03YjDdLMiWKHXcZ4UnXE1L8fq3tx1b246t7cdW9uOre3HVvbjq3tx1b24wZh6XTIdTJscBWkmY6+jq3tx1b246t7cdW9uOre3HVvbjq3tx1b246t7cdXFuLenkTKQoTfVvbjq3tx1b246t7cdW9uMK1b1XWIivjEvmN7CMyMjJ+et6SUgynr4vijcs21GSkv3KnCXzCud29SX5RvNNtm9YKdkpfORYtvJVsR4/LT+pif6pwMRXHyM211bySPe3XvLWpsnmFML3KoPWpC/m4kkV7TqCl8dRDjqIcdRBoqp5lb6OOohx1EOOohDKrmrNtjjqIcdRDjqIFPo9hfJL9TE/1bghSOGd54RNZLmuGmzZQs3EzJCZDmYVD61IX83lQ9Qx2KX+fn9jAvuCwrxPax5idhA/kJ/UxJdNqctwnlRWm1ZRL3ur535QzzgUha1OEVD61IX83lQ9Qx2KX+fn9jAvuKwrxPax5idhfJL9TE2ukrkLUnouWOjJY6Ml7x0XLFNBkMS0qWvx+byoeoj9il/n5/YwL7isK8T2seYn5af1MYh92kjnDnDnDnDAHvjQX83lQ9Qx2KX+fn9jAvuCwrxPax5iflp/UxdYcmP2D7idKThpScNKThpScMG0UqHbNvOL8e7LuD7gtnKck1SGN2U4MpwZTgpkKKgnkMpwZTgynBgdCisVhTa95jKcGU4GW1JcSZ/KT+pjEPu0ns4A99aC+7L4BbI8Rl8jNzouKOi4o6Ligq6ORbh0XFHRcUdFxQmujpPeXRcUdFxR0XFB1kbYXyU+Bi6oyesH3Bp1I06kadSNOpGDacotu26Su73Ddt3bdw3dwWyD4H3h+Hy0+Biy5PJs2Y7ILqwnDqwmjqwnDqxnDDWBpdTYolrX3RbN437N+3eN/cFsYkZRGQ44hxxDjiHHEOOIccQ44hxxDjiHHEOOIccXy0j8j8jeY3mN5jeYV8svqS7W8gZ7/wDhn//EAD4RAAECAgUHCgUDAwUAAAAAAAEAAgMRITFRseESUpGSoaLRBBAgMEBBUGFxwSIygbLwYGKTE4DxM0KCwtL/2gAIAQIBCT8A/vTdKUu6ai7FF2KLsUXYouxRdii7FEnITqTMrK85VaVA3sFA3sFA3sFA3sFA3sFA3sFA3sFA3sFA3sFA3sFA3sFA3sFA3sFA3sFA3sFA3sFA3sFA3sFA3sFA3sFA3sFA3sFA3sFA3sFCyZjOnV9B4T5dRYvPtNjvCfLqLF59psPhLpTkol6iXqJeol6iXqJeol6fMkJmVKag3KDcoNyg3KDcoNyg3KDcoNyg3KDcoNyg3KDcoNyg3KDcoNyg3KDcoNyg3KDcoNyhybI2d/p4SAZpgTAmBMCYEwJgTAmBMCYEwJgTAmBMCYEwJgTAmBMCYEwJgTAmBMCYEwJgTAmBNH6Lsd+i7HeHNmHbEJzqTZxDKZTct6bkPTZyBVQKHxBQ50oSLaxzNkDWvlA2lCkUJtMxPz7ttKhU/nmmfBKpMyX8FUytQpNt/wAUoTkKNqhzcePqoVPpioc6fdQyHY+vRsd4eJuh/m1VyPt7K1WrMVq/Kk7Jp906b3c1YpF96rcQfp/hfKfi0fgWcBoKiZLk6bbfook4lNdqFdf1pmE76flX1QplxVoVgTpNn7qJlO6NjvD/AMoVXf6KlrqUZBq+U0fRUtdSj8blb7r/AFGV+fMaHUfn1VTFW2jh7LObehMFCRkVQ3KntTqWAfVCTRtVRxVoVgQpn7lHJapqelT0qenxBxkeZ5CeTLmeQEZlOOTZOhOI9OYoo0IykortYp5nbOlRDpKMk8yTiJoozKeQPVGZp/Rdp5pKWlS0r5fKnyQdoQdqoO0IO0IO0IO0IO0IO0IO0eO2nmtHP+U9TaPAHAWTMk9mtins1sU9mtins1sU9mtins1sU9mtins1sU9mtins1sVJ3oZp7AR+7v0p7NbFPZrYp7NbFPZrYp7NbFPZrYp7NbFPZrYp7NbFPZrYoANtnRpT2a2KezWxT2a2KezWxT2a2KILPKrmdKZT09fE7QoO0KDtChbVB2hQdoUHaFC2qFtULvzvAPPq7WrPd9x6vNZ7dK11/NYnFOKJRM0TMeqJRM0TtTinFOKcfAPPq7WrPf8AcerzYft0rXX81h5zIhfMRQP3UzRkZTJ7ySh8bXtEx3iaz/8Asvmyhd5ojKl8UrfA2B3q2d65OPVtBH1CMxWDaDV1NrVnv+49Xmw/bpWuv5rD0D8QdNPyXiidoVIaZk2kJ5nXky7/AFRk8uBC76xYfBcwdTa1Z7/uPV5sP26Vrr+azmqYvlb7qUiZJza5V2mSkQLO5EVTlOlEScJ6KEW1gV2mSc0y86e3PImAohUMHIMvVQhpKhDSVCABF1KzG9Ta1Z7/ALj1ebD9ula6/ms5qnUaVW8O091y/wBtfqUXF2X9K0T/AFDSZ1UWYo5MUD6GSscv2Xouy5n0rp7dEpACihN+Fzp1ikJg1mpg1mpoyRPvBrHki2WTKmgos0ngizSeCLNJ4Is0ngizSeCLNJ4Is0ngizSeCl8VhmiyTnE19xM7EWaTwRZpPBFmk8EWaTwRZpPBFmk8EWaTwRZpPBFmk8EWaTwUssBopqo80WaTwRZpPBFmk8EWaTwRZpPBfMCaqRTzWHnoNGxCmaggOnOe1MDS6s96hgPtQoah8stiggE9/brShSJbaP8AKl6TE5WgWKtvN53dujZBlYuVbpXKt0rlW6VymbGymZVTqXKt0rlW6VyrdK5TlOlOruC5Vulcq3SuVbpXKt09szjerDtHFA5YEvKqU7ak05Tq8Prah+eXkvO7t1juhazoZj+haO2Vh3uq2Vf8/wDyFVMV5NUzs2oyk0yqlQPmHvPvRNTJSl3imtedx7dY7oWs6GY/oWjtjKCTYmbQmXJm0Jm0JtFN3brD0LWdDMf0LR2zPdeejY77T26x3QtZ0Mx/QtHbCyTnuPztBpNhM0WfyM4os/kZxRZ/Iziiz+RnFFmSMqp7SaRKoGfbrCggghmXoIILMegggh3jtme6/o/u+09uCampqampqampqampvbOUwhNzjIukR8RoK5VC11yqFrrlULXXKoWuuUQ3/NQ103VWS/Q0VoDnE9/fSozNqjM2qMzaozdqiNIbP1pEu3CabtTdqbtTdqbtTdqbtTdqbtTdqbtTf7hv/8QAMREAAAYBAgIKAwABBQAAAAAAAAECAwQFFQYWFDQQERITIDEzNUBQMDJBgAchJEJg/9oACAEDAQEIAP8ANO7vMV2Bvcb3G9xvcb3G9xvcQ9XcS+hkVtbxpKG2zG2zG2zG2zG2zG2zG2zG2zG2zG2zG2zG2zG2zG2zG2zG2zG2zG2zG2zG2zG2zG2zG2zG2zE2l4Rg3fqdbebP4Kb3Bkab8nPk3nJL+p1t5s/gpvcGRpvyc+Td8kr6nVVdKm93w+3LMbcsxtyzG3LMbcsxtyzG3LMVdDYMzGnHKOYxHJfe5aEMtCGWhDLQhloQy0IZaEMtCGWhDLQhloQy0IZaEMtCGWhDLQhloQy0IZaEMtCGWhDLQhloQy0IWtjGfim239RQUrVn2+82bFGzYo2bFGzYo2bFGzYo2bFGzYo2bFGzYo2bFGzYo2bFGzYo2bFGzYo2bFGzYo2bFGzYo2bFGzYo2bFGzYo2bFGzYo2bFGzYo2bFGzYo2bFGzYo2bFFvptiDEN5H1Gi/J36LVHtqvqdF+Tv0WqPbVfU6L8nvDeJknENcastm5ULiF1VjIfU9PfactrozcacdtKUycevbJZVyZEWOo1MpM7GY+1asMpnuz37VUWPDsJ8KcmJNFLNfKY9EkaltFwkNk00+h1onSrp8qSxLlHAZupzBPtzTnwKpZurfuK9lEpdvcqYgoeYKsu2kk6i/mSI5x+xZw7cluPNV7VzPZ75uc9Yv2ZxI9dAtmpCVyPBqj21X1Oi/J7xWtc7GmnFY1GyUOqQw1CaS1HQhFg2l2K4lRrNVARHE9BAtfeowsJqoV0t5MJUm6nIlqFx/wbRmYH4+ZtHUhi0NqlcZOPE4WjWg6efZsxEoj3LrztKa357to5AQh2TBZtqxBRo99JgrJiy1OolKjKKfyro0p7eQnPyGLtSo9ZNsXnjTJ8GqPbVfU6L8nfFde6xRbQePiLZKpv0RUFFm2t8mWg4kGTSGVRwqKrUkZEcmpUJxdxalKJJEeoVEcczpLI2DGpInEQFmWlYhtQzdVOqjVdE0VnyLworyFEhJadu5zM2pW4y5qOGiB3Sa6Yqmgtm/f3MKXE7lm4aWzHhIXP5V0aU9vISZjMO9U69M1XFba64+7LD+bssRuuxG7LETb+ZNZNl36jRfk74lx2VrJahIgRpXrRoMaL19yH6yJIV23WmkNJJDZR2ic70PRmXyInQpJKSZG22ltJJSbSDWThqQS0mlWLhAoUYmzaJFdEQfaSttDiTStmqhsL7bbkdp4yNxSSWRpUyy2ynstuQIryu25qNltqwUhr63Rfk983VXuS+izvI1atKHt4wBvGvFFPavFm3F2/LG3pY29MG3pg29MG3pY2/LG3pgOgll9Bovyd+bqj3JfRrb12un/Szm3fwq8j+ggTJkbtcLmbkZm5GZuRmbkZm5GZuRmbkZm5GZuRmbkLvrVH7FdXBl1lmbkZm5GZuRmbkZm5GZuRmbkZm5GZuRmbkJv7VSuyWZuRmbkZm5GZuRmbkSn33nTW+NVVcqa82pjblmNuWY0BEeqpC1S8xDGYhjMQhmIYzEMZiGMxCGYhBVxDNJ/QUn/f8AHdeaBF9FH44XPH4rTmT6NHtIWy72u4aHcNA2WSLrPuWCLrNaYyC61E0wae0RMsmXWDRGL/c+4aHcNDuGgthrsn9BSmRdsdf4rrzQIvoI/EQg874rTmT6NGei70vMofbNtaGZTqyp111ezZqXIkvsY1x6K3G9qQCOIRRTmadJZR1dK/1P6BKlI8m5jyPKHJKQ2Svw3XmgRfQR+ODzvitOZPo0Z6LvgRFdKzU+ZsTq15ZxY1bIlOOPzUsWzcY4JYbqfaQKhiTGaNh7oX+p/L/vjpfTP8N15oEX0Efjg874rTmT6NGei70SJzcd1tta5jSH0xzk2zEZxTamL+O8ZkUK8izHCbQq/ipdNBP3TDBrI2NRxX+s0w71iW6ltAX+p/L/AKJur348hbJb2kCBSNyYzbx7aaG2mhPpkRWTdKm9E/w3XmgRfQR+IhB53xWnMn0aM9F3ov45uwjWh55ctarZvmIMuaGlTzhrJ+Gb7SYb75HIozPrq+flis9lfFMqebTROBf6n8v+iw0zavy3XW9pXIq5bTEJptzIxhkYwt5rLsU0prpzcdBkrMRxmI4zEcZiOMxHGYjjMRxmI4sZbck09hi0YQ2lJ5iOMxHGYjjMRxmI4zEcZiOMxHGYjjLsCPIQ1I708xHGYjjMRxmI4zEcTH0vvGtI0Z6LvQpJKI0nFrGo8M4gxiOA4Imad1BGlUXT6GjR3mA7RkhcaETDzrpRqpDENcUoVS9GUnoX+p/MqeRZEmYzGMu9bt46zLqctGW2kunGkIkI7aNU+2rBfNorJ+EhZNbimjcU0bimg9TykqJJ7imjcU0bimh3U8pkute4po3FNG4poPUM0yMvl/0VXIsiwicWx3YVXyD7TJKqJDiCaXXxjis90eqvbVgvm0v6L8Ejm2vBZeiC6T8j+ZCZJ+sbaOMmc+6nvjbMmG+yXU4+aC4RtpLRnqr21YL5tL+i/BI5trwWXokC6T8j+X/RXXUFqI2heerxnq4Z6vGerxqC1iSYCm2i+bS/qrwSOba8Fl6JAuk/I/l/0RPQR4bXljBfNpf0X4JHNteCy9EF0n5H8yNMbQykj45scc2OObHHNiwkodYNJF82l/RY6yHWQ6yEjmmh1kOsh1kLL0iHWQ6yHWQV5H8v+iJ6CPDa8sYL5sJhLpH18G0ODaHBtDgWxwbY4NocG2DhNGODbHBtDg2gcNv5kaT2WUkOKMcUY4oxxRixkdtg0gvm136q/Ifl8xm2Q02lIzbQzTYzTYzTYmWSJDJtkXzY0ruCMhkRkRkRkRkRkRkRkRkRkRkQdkXy/wC+Mv8AxZf4M//EAD0RAAEDAQQGBwYFAgcAAAAAAAEAAhEDIVGRoRIxYbHR4RAgQEFQcYEEIjAyUqITQmLB8ICSM1NgcrLS8f/aAAgBAwEJPwD+tNmlpbY1Yqj93JUfu5Kj93JUfu5Kj93JUfu5Kj93JUo0iBr1T6J0RslVMuaqZc1Uy5qplzVTLmqmXNVMuaqZc1Uy5qplzVTLmqmXNVMuaqZc1Uy5qplzVTLmqmXNVMuaqZc1Uy5qplzVTLmqmXNPmNnhO34H1DtV48J2/A+odqvHhLNKJVLcqW5UtypblS3KluVLcqZhp2ak6JhP3p+RT8in5FP3p+9P3p+9PyKfkU/Ip+RT96fkU/en5FP3p+RT96fkU/en5FPyKfvTpNnhLiNGNW1VHKo5VHKo5VHKo5VHKo5VHKo5VHKo5VHKo5VHKo5VHKo5VHKo5VHKo5VHKo5VHKo5VHKo5VHKo5VHKo5VHJ5MR4Ts8CvHhOzwK8eE7Oq4hzbfMd6MFvzenFPikNQT/wAOn3fwWnIJ/wCJT7/4bQnxpELWQE6Gu1jFVdEQPLUjpB2o9Dy4jV5fwgow4mfQcUbCJTzogHR2WE5WKvAN5PBVJqSLRdPoqgewxI8/RfNU1bJEqvLvpnK2xOiTbkqwDBaBsHoq8DaTwKq6Ng8tVvcqwczvEnhf1bx4Ts6xhlaN/wCxQ92QN53rUAFqgrufzVwX8tKZpQNXp6pujTp9HyusO7cV8rGkev8A7JXztOjj/HLWWOJ9QVR0m22+vmm6LzEj1VOKQAtFpgep3I/L8vpZBTI/V/NfojrdwX0ncVeUzSdAs9FR0Wxr6t48J2da/wDda+7zUtc2yUC5z7J2K14t8z38AjoubZqNseSEU2c49bZX0/sv8Kpq2Ho1ttw15StbzPp3Ie68h3H919DtxToInuN6MiRvCMu0YiNkJhh5PpdijpOJHcbFrEDcvpO4q8owI/ZDSdgtHBRgowUYKNHZs8J2dZgJGowJHQwFMA6KYJ8kICYNK+LcUwO8wD0BCAEPeCEgqiz+0KmNG6BGCpNB8ghI2qmAUwOjVImEJBTQ0bBCptJ2gFNDQANQjw7Z224dEybhKDsEHYKZF9m1RioUYqMVGKhRioxUeAbO23Dou8MJE7JTjgOCccBwTjgOCccBwTjgOCccBwTjgOCccBwTjgOCccBwVQ4DgnnAcE44DgnHAcE44DgnHAcE44DgnHAcE44DgnHAcE44DgnHAcFUOA4JxwHBOOA4JxwHBOOA4JxwHBEl3QyQAqapoaIxT8in5FPyKfkU/Ip+RT8in5FPy8A2fEuHw7z8ATaE0YBNGATRgE0R5BBowTRHkE0R5BBuSaME0YBNGATBgPDLh8O89bZ0XjpEgr5WmSb2dwQkAlrW9wARmm+m4gfSQCv8sf8AFfJoG+83IEM0joTr0e7wMlOO/wCHcPh3nrbOi8dQe6WAespmnTcZiYIKsLmloA/KDr9UwEatOfy+WvUhNNrC0+q1NMNN7eXgt/wrh8O89bZ0Xjo1vMDzR950keimWt0jF0ximOFhNoutUgnVIifJBxAMFwHuz5oOJaQDAvBP7JroAJ1XWprhPeRZf26kCGkjBUmp5BcE8p5TrVf8K4fDvPW2dF46PmZ7w9OS1Uy0Dy/NvX57B/tFgTWhmgdUzqsQBpCwRrl16GlQLtfe2d6vbuX69ya38PRF86rO3UTouJ9QdSoFTpAAGw60T/aUT/aUTPkQpUqVKlSpUqV3KZClSpUqVKlSpU9EqVKlT03jotBVrbc0bIif3XtDi0giPMRkqjnhloB1BVnGmDOieNyNr4yTrHTb5qu4tb3d3bvpG5GJnystQImBMGAT3E3qYcLFwMi9bN/bqWnJ8l7PmvZ817PmqFp2r2fNez5r2fNUM17PmvZ817PmvZ8+2fS3co1g27DO5OH4bnaX6tekRdr704aLZA1yZPf5C5GYJjy27b1eN/br+pt6l48A1FgGSHu1CJ2fh/8AYqA6DqDpmBE/qm6xNmXgk2giXfK7us7iO5NAtfMz3Os1bNSvG/t2zqbepePAKgBDQqozVUKqFVGaqS6zf4Ft6l48AuHgd/U29S8eATYLipwKnAqcCpwKnMeBbepePALh1dnb5UqeiVKlSpUqVPbGHUO5MdgmOwTHYJjsEw4f6GbqTSmlNKaUD24TKbmm5puabmm5puabmm5puabmm5pv9Q3/2Q==</t>
    <phoneticPr fontId="1" type="noConversion"/>
  </si>
  <si>
    <t>data:image/jpeg;base64,/9j/4AAQSkZJRgABAQAAAQABAAD/2wBDAAMCAgICAgMCAgIDAwMDBAYEBAQEBAgGBgUGCQgKCgkICQkKDA8MCgsOCwkJDRENDg8QEBEQCgwSExIQEw8QEBD/2wBDAQMDAwQDBAgEBAgQCwkLEBAQEBAQEBAQEBAQEBAQEBAQEBAQEBAQEBAQEBAQEBAQEBAQEBAQEBAQEBAQEBAQEBD/wAARCAB+AOEDAREAAhEBAxEB/8QAHgAAAQQDAQEBAAAAAAAAAAAAAAUGBwgBAwQCCQr/xABSEAABAwIEAgcEAwsHCgYDAAABAgMEBREABhIhBzEIEyJBUWFxFDKBkUKSoRUjM0NSYnKCscHRFhhTg5OUogkXRFRVVldz0+EkJjRjlbJko9L/xAAcAQEAAgMBAQEAAAAAAAAAAAAABAUBBgcDAgj/xABDEQACAQIDBQUEBQkHBQAAAAAAAQIDBAURMRIhQVFhE3GBkdEGIjJSFGKSobEHFTNCU3KissEWJGOCk9LwI0ODs+H/2gAMAwEAAhEDEQA/APqngAwAYAMAGADABgAwAYAMAGADABgAwAYAMAGADABgAwAYAMAGAMEgC5NgMAJVbNDqVOkUqqOocYktltxCTc2PhbkRzB8RgCAapSlUXML1HZnKlQ2kB0SFJ0qSg/RUOWr0589uWAIf4tVqXm+Y3lKhRpD5Vu22wjUHClaUlJPdbWDv4HwwB6hUencI8nP0wPNPV6rbyFINwlWmwQn81I7+838sARb9wGv6VfzwB9RMAGADABgAwAYAMAGADABgAwAYAMAGADABgAwAYAMAGADABgBLzROfpmXqhPjL0OssKUhVr2V3YAjIZ/YXE6+rSlocTsrUSoKPkMANXMPGKnwGVqixnXQgXKlkNpHqTgCG89cc8kUsqivZth9dMcCpK46zIU2k+8bIvyGwHjgCMX+lLkDKwk0/htl6qVWoTVEOSpFkrXcmyUtp1qCRflYE8zc4AYk/MXHHOk41KNllyAXLgPTAlkJB8OsJV/hwBj+TfHT/AHmp396V/wBLAH15wAYAMAGADABgAwAYAMAGADABgAwAYAMAGADABgAwAYA8laU8zgDUuShI2OAGtn+cU5UqIvspsJv3bqTgCAqxMjKhuNqfTr2IANzzwBXCu8GuKnFfM0ibmWsqgUZK1Jh0+m3kLQ2DZOokBsKI3Uo6jc2GwwB0QOjfkWgyC1U6LLqMlvskVN5SwD49WNKPsOAHFGp+QsoVOl0WoyablpqquLaYd9mDbaVAD3ikDTe4AUdr8yMAPbhlm7IgrC8o5sy9EptdZeU1HlSUXbmDUdNtZIbWRaw91V9jfbAE3/cuN/stn+7J/hgCbcAGADABgAwA0c+8Vck8OGWjmWraZckExafGbL0uTb8hpPaI/ONkjvIxAvMSt7JqFR5zekUs5PuS3+OnUrb/ABa2w9qFRtzl8MIpylLuit+XXclxZDdZ6Tmd57hGVMk06mR7nS7WpSnnlDuJZYslPoXDiIq2K3O+nSjTX125S+zHcvtEJV8aut9KlClH/EblL7MNy+2IB468ayvrPu9lpPf1Yobmn0v7RfGfouK6/SIf6by/nzH0PGtfpUP9J5f+zMWqT0meIVPcH8o8oUWsMclLpUlcR8DxDb2pCj5a04w6mL2++cIVV9VuEvKWaf2kHVxu13zp06y+o3CXlPOL+0iYMgcY8jcRlrhUSoORqoynW9Sp7fUTG0/ldWffT+cgqT54k2mKULubo741FrCSykuuXFdVmupKscYtr6o6CzhVWsJrZkuuT1XWLa6j3xYlqGADABgAwBgkDmcAHPlgDOANbjyGkFxaglKRcqJsAPXADMzBxf4d5d1IqWboHWp5sx19e56aW7/bgBls9KXhJIkz4kmuSqe7BiuS0ifFLAlIQLkMEmy19wRcKN9hgDE/PmcayhLlLSxSWHQFI6xIcdCSLjUdwD6beeAECoQpM1PX5mzLKkJ5kOvaG/gCbYA8RY2XmiDT6WuYocloYLg+uuyftwAqMrqjhSlEFiM0CLhbutVvJKBpH1jgBFz3kymcQ6DKoKq1Lp0m1mp1Of0yIy+69juk96Da48DvgD5yceeH2euEeZWqbm1Lr7couKiVNKlLYmpFt0rVuFAc0HtDzG5A6eHnG6nrjsZP4lLcfpiQGoVUSNcin+CVd7jP5vNP0fDAEx+0Ub/jzR//AJh7AH1DwAYAMAGAIm43cZHMjtt5TymYz2aagyXUKkbsU6OSR7Q6PpEkEIR9Igk9lJxU315VdVWVnl2rWbb0hH5nzfCMeL6JlJiN/WdZYfYZOtJZtvfGnHTalzb0jH9Z9EytTLVQTKkVOZLiz6lNOuZPlSVrkSFeKlW2A7kiyUjYAYkWOH0bFNwzc5fFJ75S73+CW5cESsOwuhhqbp5ynL4py3yk+r5corKK4I39bOtzpv8AbK/hicWIByce+mf2yv4YANc0/Tpg/rlfwwBplw3pamXTKgMSYqw7GlMSnGn4zg5LbcTuhXpz7wRiJeWNC/goVlpvTW6UXzi9U/8AjzIN/htviVNQrret8ZJ5Si+cZLen9z4posHwO4zzcwykZAzzMjO5gbZLsKczZLdUaT750jZL6ButA2I7adrhMK0uq1vWVjePOWWcZabaWu7hNfrLiveW7SvsbyvbXH5uv3nNpuE8slUS13aKcf1ktzXvR3ZpTTcDmcXBfHHVa1R6FEVPrdVh0+Mn3npb6GUD1UogYAhzOXTP6OuTEuJfz+xVX2jYs0hlcs/XSOrHxXgCGKr/AJRiTmSQ5TeDHBmtZikXsh13W6B6txkrt8XBgBnVri903c8qV7TV8v8AD2G4b9WXWWnkj9BAkSPnpwBJ3Arjdx3ouXZtJ4owomb5yXU/c6ZDWpC0o3Cg+sNJSse6UkAKFyFE7WAelQ4i8aa9dMd2k5eZVt97bDroHqrVv8BgBt1XJVazC0tWZs8ViovqSdHWrPVJP6BNiPS2AIZ4jyKDwqmR4ebJ0lpucFrhqiwXHEvhJ7QCtkBQvcpJvbflvgCKJHSMyzSM4rhpoy52WpsMRpBmxGTKYcVqCn2DvoIBG197dxsQBMvDvihIyCzBjVGomuZJqAvTqmxdaoyfC3Ow+k2e0nu8CBP8cU2bHRW6UzDmmSgOsvpUkh1J5EOWNhbwwBsc+6am+tmVGJDbHe2jWR+u4QP8OAOUfciTzVNrCh3ArdRf4aWhgDtYTUtIag0uJCR3dYoEj9RoW/xYA4M6ZOyfxFoMnJOdadDqkKWi7sZxQDiVDk62QdTa0k3CxuPmCB83ukl0V83cC5blepq363kt5yzNTCPvsMk9lqUlOyT3BwdhX5p7OAIG6xf5H+HAH6JcAGADACRm7M1OybliqZqqyiIlKiuSnQDuoITfSPMmwHmRiNeXULK3ncVNIpvy4eOhEv7ynh9tUuqvwwTb8OC6vRdSj7tSq1YqE7MeYl66vWHzLmm9whRFksp/MbRpQkfm37ziLhVpO3oupX/S1Pen3vSPdFe6u7qQsFsqlrQdW5/TVHtTfV6RXSCyiu5viHXeeLMuDBf88AY64eOADrvBWAMdf3XwBqddlpWxNpkpUWoQXkS4MlPNmQg3Qr07iO9KlDvxBxGy+nUHTi8prfF/LJaP+j5ptFbiuH/nK2dKD2Zp7UJfLNfC+7g+cW0J8/in0yuKCHH2s+5fydR1uuIbXGfQw4QlRSbIZS7JFiCO0UfvxnDrtX1tCvlk3quUlukvBpo+sLvliVpC5y2W1vXyyTylHwkmhpVDo/8A3Xbk1jPfEnM+dKoltTjcZlaYbbzoFwgyJJfcSCdtWhNvLE0sBfytkfgxTKUK7S8gUpr2YK69+vBc+TEWj30uiQpTaFJ77IA7xsQcASMzVafEr8DKGaai7GjVOKl6niPIQiGslRAbKUAISSLFJGxvbba4D9Yy5Q6U11kSiIcWk2AS2Frv+sbD7MAdraqs92GIUeMm23XOlxX1Ebf4sAaH1sMr6upZhWFn8SwUtE+WlF3D88Ae4ymo+pVLokklfvOvHqtXhdThKz8jgDXm/JeXs/5bkZZzbS0S4EoAqRqIU04PdcbWN0LSfdUN/gSCB84ukxwPzNwUzEzLkqdn5cqKupgVQN2SVC5DL1tkO27uSrXT3gAN3hJxun8OpblLqsdVWyxUFAT6apXLu61o/QcT3Hv5HAFwsgcQnshQomZcrz1Zk4fVhetIbP3yMs+8AD+DdT9JBsFW7jY4AsbR5+XM00+PmSjqi1Fl9u7L+kE7fR7Q7CgdiDYg88AdYFbkDtKiREjwCpCgPU6Uj5HAHGtdIWssSqtKqLg5stOKWPTq2AB9bAHTH69pPV0vL7UVB+k+pDIP6qApR+NsAdUqLHlU9yn5hbgvszEKYeYcQOpfQvYtlLhOoEGxBvfwwBFn80Lo1f8ABuh/N7/+8AXGwAYAMAQh0tquuJw9ptDbcsK3W4zDyfymmguQoHyJZQPjilxhdtK3tnpOpHPuinN/yooMdXbytrR6VKsc+6CdR/yoq+ipsuyZqkX0CU6BpQSEjUdthbFs60c2nr3P0Lp14JtN7+5v+h79uTy7f9mr+GMdtDr5P0MdvDr5P0MGcgc9fxbV/DDtodfJ+g7eHXyfoHtyOYC9v/bV/DDtodfJ+g7eHXyfoYM5O+zm3P72rb7MO2h18n6Dt4dfJ+hj25HKzn9mr+GHbR6+T9B28Ovk/Q55tTDTKilS07XBKFD92MOvBLN/g/QO4ppZtvyfoO/gNLhS4lTivwOue6+PLbc6nXpS80NRJ5JGttR+JxW4f/0ry6t1ptRmv88d/wDFFvxKfC12F/e2q02o1F/5I7/4ot+JIGbsrv1akylZfVEiVcoKozzzZLSnLbBwCx0nlcbjnvyNwXxQTibnXiXTK1XqTmt56my3mhEmxmUdUklCTpSsC+oFKjZYO6SBytgBR4N8aaVU4THDDiZLCKetWik1VzdVPcPJCz3tE/VJuO/AFuOHPEOo0ipN8PeIL1pY0optRWq6JSD7iFL5FRFtK/pbA72JAk6ZBjLK35aZb6B+IStak+Fg2m1/jfAHmOZTSdFMobcRB73loaH1Wwon42wB6kIkso6yqV1uIg9zKEMj6yypR+FsAeIr1OacL9Ohzpzqhp66y1Ajw6x0hNvQ4A95hyzQs75cmZYzfQo8+mVNktTIMiziFJPmORBsQpNiDYg3F8AfNLpM9FvMXAWorrtHXJq+R5b2iNUFDU9AWo9liVb5Jd2C+RsrYgNHgvxur3CGruaI4quXakQirUZ5Vm5COWtBP4N1I91XwNxyAuZknOKcuQWeKHCKpmuZOqawJ1PcOlbDg95p5O5aeT3K7xb3kkYAsblfMeVOI1GZrVLLcthKtK2Xh247lt0OI5BXrcEbg2wAr6qokmPCp8WMyklKVOu7EeIbbH7VDAGqUgRkhVZzGpgHkhtSYwPkOaz8FYA1xvua2vrqVQH5Lnc+pnTfz614hR+F8AdntNb/ANisf/ID/p4AmLMGZMv5TpT1czPWoVKp8cXdlTH0stI8LqUQLnuHM92AIDzr0+ujvlFCxCr07MDqAdqbDV1d/wDmvFCLeYJwBEcz/KA8U8+LXG4J8CZk5JukSnm35qR5ktJQ0n4uEYAZFezf0kc1ValVTjfOprNNRJUiFTIz8UrYfU0vtKbY1aezqTdbhO9rd+KbEvdvLOb025LzpyyKHFfdv7Gb07SS86U8vwG5RqiHWFSes1OKffTpUoBIBdPavfYi1xscWEa1OEpKUknnxa5Is4XFKnKcZzSefFpcF1N/tcxLnZfQqM2OwypdytWke9dWwKr7388ff0mj88fNep6fSqH7SP2l6nR7deUlzr9LQcStSQsWBsoGyb9rmN/TbbD6TR+ePmvUfSrf9pH7S9TEecGk2cu8pRVsV+4kkm43tyIBSfKxxlXFJ6TXmvUyrmjLScfNep4Et8OJPWrKUK7NnNNxq7hfsC3cb3Fx34z2tP5l5o+u2pfMvNGUyVF5kBZ6sOOqV1hJASfdHvb/ALsO2p/MvNDtqfzLzRyKkONxmk9ctJShwPJUu4USezbfe3jjzrVYdnJKS0fFHlcVabpSSktHxRJPRrRPmwanLiSG2WxDgNLWpnrDqAeVtuANiOd+YxX23vYrctcI0l4++/waKu097GbuS4QpLx99/g0TTGnQmlphqqolPqVaw0rUCfENiyR629cXBekYdIbgFT+MmXVv03qImZ4LREGUvsofTueodP5J30q+iT4EjAHzIzJSa3lWtzMuZhp78CoQXlMvx3k6VIWnmkjx/aLEXBvgCwvAHjXS81wIvB3ihPS2dmcv1l5W7Cz7sZ1R+gTsknkdsAW74ccRKnR6onhzxFWpuotkNQJ7p2kjkltaj9P8lX0uR35gSjMipWpb0ioS2mUJuptpfVpFuZJSNZ9L4A5Y3sLR62k5fedc/p1tdXf+sdIWfgDgDsDdck3K3okRPf1aVPrH6ytKR9U4A0NyKVGkDraxJmyUE2bQ6p0g/wDLaGkfEYA65UCm5kpMqlVqjh+BObXHkw5zKVIeaULFK0XN0nwO/pgD5w9Kjoh1Xgy/IzxkJiTUsiOL1PIJLj9FJOyXDzWxc2S7zTsF9yiBEvCPjDmzg9mE1vLjqJEOUA1UqZIJMaez+Q4O5QudKxuk+IuCBc7IucoNVhji/wAC6grqkaUVqhPm7kRR3LT6B7yOZSseqTzGALGZO4n5Qz9l9c81BFOcY0pnRH5XUuR1fpAjUg22UOY2NjcYA1yOJfDqhFf3KPtrw2JgRiq/q8qwP1jgBLl8Uc2VFpT9DyvHgx++ZUXrpA8SSUNj4qOAET/OPnH/AH9yb/eof/UwAj9IvKOYOkhnqFOfzLUIeTaO22mHSY0ezrjp3eeWsqKErVslJAUUpG1iTcDryxwPyJllSH6Dw9y3AeRa0uXHNQlX8esklwg/o6cAPd6iBbKTW6xJfZQNkuvaGk+gJsB6WwA0uJVGplSyPOayzE66fAKJ8ZTLC3RraOogr5WKdQsDipxunOVo61JZypNTS57Lza8Y5opPaClUlZOvRWc6Uo1Euew82vGO0iptUyRVaq43Ig5jMVBQCSi/aJUVlQHIe9tz5C98anifs3XxW8nfW6pyp1Nlx2m88tlLhF/j95peMeydxjV/UxG2VOdOpsuO03nlsJcIvc+/7zlTw5zAhst/yqJCmw2d13Nje977E8r+F+/fEB+xd63nsUvN/wCzx7yrf5Pb9vPYo656v/Zpx7+h6a4dV5t7rXM1KULAaAVAXBTvuTz07+uPmXsVfOOyo0vN9fqdTE/ye38o7KhR831+ouYvZSy1Oy5UHZcmqmU2tjqglRJN+z2jfb6J5Ae8b32xe+z3s5c4Xdu4rqGWy17ufFp8Yrd4vRGxey3spd4LfO5uFTycZL3c897T4xW7dzeiyHWZqb93yxuuS5HQdmPI8mcny+WGS5DZjyNEiV1iCElN+dzhlFb2Yyit7yRK/Rv/AJJpyY9T1KcqNValKVIjhhaylsAJaVo9y1h7x7yRjWfZvErbEncVqUs5Sm21xUUlGHhkvN5Go+yeLWmLu6r0ZZzlUba4qKSjDwcVrzbRM7TtSLYZg0lmI33e0OgW/q2r/wD2GNnNwOlpa4raRUZscuOKsk6Q0N+SQCok/O++AIO6UXRkpnG2iKrlAZZiZwp7VozxshM5tPJh09xH0Fn3SbHsnYD5n1mj1OgVSTRa1CehzYbqmX2HkFC21pNlJUDuCDgC2HADjbS+KlJicHeKdQS1X2EhjLtcfVYybe7FeUfp9yFH3uR7VrgWl4acSanTaonh1xEcUzU2VdVBnOmwkjkltaj9P8lX0uR35gSrKYmvqAYniMi3b0sJWsm/cVGw+qcAJi/5PLc6uRKeqryT+DK1yiD+gjsD4gYA7mn6hoDVPoqIrQ2HtLiWgP6tvUfnbAG0Q6iqzs6sFDaTqKIzSWkbeK1alW+IwAk1vPuRoTb0Ko1eJL6xCm3YzKPataSLKSpKQQQRcEHYjngCgHSU6LTNApU3jRwcpUkZMLzhqNIcA62lEEXeaFzqjEn3blTfmn3QII4dcRs18MMyR82ZMqfs0toaHEKGtmS0feadRyWg+HMcwQd8AXQo3Ejh9XkUnNMfLP3OqGYILLzkV+ahERh5d1FKV6SrmNvd7sAdtS4qU2noWGq/EirAOlNIhdY4D/z3r29QRgCJ8wcQVz3w/V8wv1Bwq7WtxTq0pt3FVwD5DACH/Lun+Mv5jAFuaZn6nQ6jTc7Ul9L2TM0R2UrcSSRFeTdKXFDexHuLHkD3YAlR5j2ltKBJeaF7ksr0lQ9fD0t64ATWkUtLnWQqNImO3/DKZJ//AGPEfYTgDtBrcggJREjDuCiqQv5DSn7TgCpXSHYRwNW7XlQpNQy++suByIEFcIk3UhxF+ykE9k8tJHgcUVpL801/oFT9HJt03wWe90+9aw5x3ao1uxl+Zbj821d1KbbpPgs97pPqt7hzjuW+JAg6XHDr+gqXyR/HF6bIH87fh0fxFR+SP44Ax/O24d/0NR+SP44A8npa8O7FQYqRt4BH8cACeltw7UkExqinysi/7cAPnKfEJHEDLzuYaLR6ixTOt9nTMkNgNuLsbhJG3d8d7XscaH7a487O2lZW2+ct0mtIp8M/mkuHLN8jm/5QPaR2NpLD7X457pNaQi+GeilJaLXZzfFDiypmqtZLrkev0KT1UmObFKt0OoPvIWO9J7x6EbgY5RhmJV8JuY3Vu8pLya4p9H/zecYwrFLnBruN5avKUfJrin0f/wB1Ld5KzpRc9ZdZzCrMjjIJ6uVFDqIxYdtug27ah3g6tx8QO/YPi9DGrZXNDua4xfL0fFH6WwLHLbH7NXVvu4Sjxi+T/o+K8RwRTS2lFykUN6Qs/jksab/1rxBPwJxalyKkRUxxJMyM0yq/ZQ26XDbzOkC/pceeAK+dK7otQeMlKczblKO1HzlCa5AhCam2kbNrPIOgbIWefuq2sQB82J9PqFInPU6pRnosyK4W3W1pKFtuJNiCDulQI5cwRgC4HArjfTONFKi8KuKM9DObYyA1Q608bfdEAdlh5X9MLbK+nb8odoCymQOK8ihOu5K4oPrjToCSI091KlCQhP0F2BJWByV9Ic9+YDhl8ZqEyBFy7Q6hUDyQA2IzR9NXaPwTgBCrHEfPRbLkyXRsrx1bhUhaQ5byLpuf1UHADBrXELJRUXMw5urmZnQfwcdJQz9d6yQPRo4A5f8AOplpmntSqMxl2lx3U6m1uBdSlWvb3VANJNwfxeAIj4x8SncxUqXBar9UntvRltFMpQQgFW3YbSdKRYnawwBVyrUJ2GpUuI2oo5rbSPtHgfLADvp2cUNUOlxuuecdhoQUobbKiNJNgTyAt54AbWZuKuZIkn2RFKWxrF0OPr2WPEBP7L4AbzOYMyVYn22oLUkquG2Pvd0+G3M/HfAHT1cP/WJX1Hf4YAsX0WuMMKiVB7hPneQk5bzC5ojuunswpitkqueSF7A+Bse7AFzuHVbm0aoOcNcxuqMqEkqpj6z/AOojD6F+9SB80+mAH9JanOlIizEMDfWpTPWLPha5AHxBwAnPJoqVlmo1d6a53sl4rN/+UyAPmMAaapSKZXqPJy/Iye2/TZiC281KQiO2pJ79IBXfwOm+PC5tqV5SdCvHOL4f16NapremRruzoX9GVvcR2oS1X4NPVNaprenvRRrjJ/k8BSpEjMfD6GJtPWVOuQWFHXG3vZIO6k+nyGKpVb3DPdrJ1qS0kt80vrR/W/ejv5x4lMq2IYP7leMq9FaTis6kV9eP6+XzR97nHPeV4lcDafBcLMynyGVp5hW2J9piNpfL+71FLpnvXenvXiizssVssRX91qxk+Se9d8XlJeKNH+Zuh/0K/rYnbL5FjsS5GxjgnS5OpMWI8pQHvJ3CfMnkPjiJdX1rYrauaih3tfctX4IgXmI2eHx2rurGHe0n4LV+CHFwI4B8OM6Z4pGTc95nhQ6pMLlo7a+taeeSSUMF1PYC1jkkHuIvewNa7q8xL3bOLp03/wBySyb/AHIPf/mlklyZVSvL7FvcsIulTetSayk1/h03vz5Snklqos+iHCF+j5air4I5ioMCIhjUmC37OkMTWvyFJtYrAG3ikWG43n0MPtqFu7ZRzi9c9+03q5Z6t8Wyyt8KtLa1dnGGcHntbXvbTerk38TfFv0E3iL0aKW+2/WMiTW6etILi4Epw9QRzOhw7o9FXHmMaJjXsDSrZ1sNezL5Xp4Ph3Pd1RznH/yaUa2dfCJbEvkk/df7r1Xc811REOVMw5r4PZuZqD9NfYctokRJCCgSWCd9JI8rpWnv8RcHSMPvMQ9k77OpBxekovSS/Dua0Oe4bfYl7GYltVIOL0lB7lKP4dYyWeT6Zlt8sZmczxRo+YaFLhsw5Q2JCn3kKHNCx2UpUO8dr4gjHc8Pv6GJ28bm3ecX5p8U+qP0ThmJW2L2sby1lnCXmnxT5NcfQ7Z7NKpzftOY68sNjtH2uUGGvqJ0g/G+JhPEGpcYcmQgpEF6VVXOVojB0E/pr0p+V8AV36TnAin8YMozuMNHpTGWcxwivrWJUhCE1dhCAdepWkdeBcAi4WE6Sb6TgCg5Q/GeAVqbdbIUlSSQQRuFJPMePiDgC4eQekXUa5w5o9QzxTKfVa1SnJEU1R/X1zjLYSEqcQgp1r0qNzcXte1ycAOqp8YKew2W/wCUNQfQofgaWymA0R4FQss/EnAEXV7O1IlzX5jLT8cubJZS4XCDbZSlq3NzzGAGlUuI0OOlDbS2W3UWJNyta9vyRe18ANdOcaihpqBCiPqSdQQ47ZtJJJNu8335WwB6QK9ULmVIbQTYpSEkp27lX3I9LYA7orCX2EulrSVc03BsRsd8AYRTY8d4q6oJact+ilXefK/ywBmqZXptci/c+bF6wLN0BPvpV3FNt74ASqB0aeMdUqXs9FylIegntNzpSkxmynz1kG/oDgB3/wA1Djt/saH/AH9P8MARPWYC4MjrWr6FG9x3HAF0+AfEd3jZkBuiy6iWs95LShyNJv8AfJMdOzbvmRYJV8L88AWWyLm5jOlDL77CWZ8Y+zVGKfxbtt9vyFDceVx3YAWlCTCCY1LpLQRbmHUstDyskFRP6vxwBj2WrPXVJqjcdA3IiMjYea3NX/1GAOIjLZd0rcXVZCe4lcxQPoLoT9mANFZy5TM0N9XU8j0uSm1gupob1AeSUBSvhqGId1h1nevO5pRk+bSz89fvIF5hVjiDzu6MZvm0m/PX7xJTwI4RkpddyDS9Z3JSHAgnvsNXLEH+z2G/s/4p5eW0V/8AZfCdOy3ctueXltFf+l10bkHL6s98PIbjUKnsaatR46ldWGk/6S2i/NI/CDw7XcrEu2wuyspbVvSjF80ln5vf95NtMHw+wltW1CMXzSWfm8395Q+RHkU6Snq3FtrbUFtOIUUkEG4UCORBsQR64nlkXm4HcWo3SLymjKuZZqY3EbLrIdYlBWhVSZRaz6SPxqdtYHfZQ2JsBPWUeM0JFLcp+d0SWK7TlBl5DMZSzJHc6kJFgTbtAkC+42OwHDmzOkPiBCXRmeHP3UYN9LlQWdTZ/KSGrrQfPUPPEO+w+1xKl2N1BSj14dz1XgQMRwuzxaj2F7TU49dV1T1T7iKGU13hYXhTs7MxocxxAm02NOT7Va9tSUp1G6QTzKSQLb41G1wO89mbh18Pbq0JfFB/F3x4Nrwb0y4mj2ns7f8AsjdO5wtutby+Om/jy5x4Sa4aNrc09TZP4j8N6c8X2qbV8xS7/hpjwjNqPx6x0/NON2o1YV4KpTeaf/PB81wOhUK9O5pqrSecX4fc96fNPenuZlXHCGmC1MptYp1FbeRqS1RqbrlJHgqQ+VLB9FDHoepEnEviJEraXJDL1SdeLLockVCYX3HOzsd76beRwBA1SoftrIKBZaR2VDAHqhVORSaa7RpMSSpbzi1JQhOyhYA2Udv34AUXqhmec2Ux0tRrCyesJWfjaw/bgDzHpEiothyoS5LlyQptStKQe8WTYH1wB1xaHDpz+lplKGXe7SLBzy8L+HK/2gKaqah5kthITyN7XAsbi4wAs5by7XsxyPZKHQ5tQkA2UiIwp0etwLAepGAJOoPRh4jVR1MmoIgUNpzdwSnuscI8erbvZXqoeeAJNy90TssxtK8wVibUz3totHbPwTdRH62AJQy5wuyRlRKW6Hl6HGWBbU20C4f1zdR+eAHWKMthkyVstRGRzekqS0n5qwBx+25e/wB76D/fU4A+X1QjtymQw+gNuOBXYPinnY945H0wBwZDzrmDhRnmn5uoLmmXTndRbUbIkMnZbS/zVJuD4bHuwB9BqdmynS4dI468Pdcmj1dkJqkNJ7em/wB8bUO51tV/iPBWAJqhzYlapbM+lzdcaYyHGH2rXKVDYi4Iv5EbHAHDIYy/HkBmepyfKACg28XJTlu49WLgfVGAOtMuouJDUCiFlsbAynUspH6iNSvsGAPaYNVkX9pq6mx3ohshH+NepXytgBMmZgyTlZxS6hXozclQ0q62Sp99Q8NN1K+FhgBAmcYafIe9iy5luo1RxzspDiAyhV/zTdah5acAU06YfR8pvDnMDeYMtqjMUeuOKUKeHU9dTpNtSkBu+oNK3KSRtunuGAK00at17JteiZgoE92BVqW8mRFkNGykLTyPmDuCDsQSDzwBdtfSARXX6bU5tMo1OkVGLGEiY3EVIV1imgonQpWkDUSORttgDirnFylPNlqVMrFZSOTb8gRo39kja3wwBGFWzhS3FvvMsLaLhUpLTSrNMm+1idyPXADXqPEqNrDERxltxAvpjpLiz3b28fPbADdOYK4Y4YpkBwpRcp65YSTck2AF/HbcYA9wW6pUCmRKlpcbVzbSjSPMG+9/I4AUI8AQ3/ZEkdSpOptJ5pN90pPeO+3d6cgOh+nofaKAhOoEKSSORB235j1GANzSG17EaFjZSDzB9O/ADrytwiz7mvqJeXctvLhy0hxD7ykssrSRcOIUojUD+aCDzGAJWyj0T6hWkuqzBmRplDLpYeYhxlKOoc09Y6Eg+oSR54Al3K/Rt4ZZdDbj1GFTebt98qLhkG479Jsj/DgCSY9Mjx2EwKbDbaaSNKW2GghIHhZIAwAk5jzNlDJLKJGcc20qjpWdKESHwXVnwS2m6ifQYARZPGLJKGeuobEys6h2XCQwz+9R+WAG3U+M2bZQU3ShDpDZ/wBVZBc+uu5+QGAGbUqtUqu8ZFVqEmY4d9T7ql/t5YA5L+QwBVSqsB6GpXaStk9Y2tIuUKHfbvFr3HeL4AQq9S/aGuubAK0i4KeR9PLAEpdFDjgzw1zM7krN0j/yjmVwNSOsPZgyj2UP+STslflZX0cAXRy3U1cLcyOZWrMjRl2prU/AkrPYiuncoJ7kK+xW/ecAOOocXcqxEqRT0zamr/8AHaKGyf012HyvgBDlcRs81JpT9IocOlxR/pMlRcAHiVK0Nj5nADHrudaY7qGbuJz03xiU0qeHpZvQ181nADdicUshw5iIFEy1GQtzVpl1uUQ2SAT+CY0jkDspw4A561xrCGXIi83TQwoWMSgxUU5hXkVpCVqHqVYArvxErjVYdDUZDoaXLUtIWrrFgaTbUrv588ARtVKL7eyJEWylc0qTyI8MAKLGYZUOlwYrsKUtyMEJJsEoQoHskqPdy7sAdDj+ZKge243GSe5IK1fM7fZgDVFoLkhxxqpyXZS2iO0td0kHcXTyB8dvAjyAUV0WOyht2PHAUyrUNAsdP0hbvv4fvtgBSYjNrQHG7FJFwRytgBTy5lTMNcliDl2hVCqhROkRI6nerPgpQFgPAk+WAJZoPRb4iV1KRWvYKE1sbyXuteT5hDVwD6qGAJRy70SsnQUodr1cqFYcSO0lForRNvyUXVb9bAEpZa4ZZEyigGiZegQ1AbuNsjrD6rN1H4nACK9SaNwpqSK7Bp7DWWp8lER1tSRekPSHQAtk/RjOOqTrb5IUrUmwKhgBWzLxf4eZWSpNVzPGU83cFhhXWr9NtvtwBFGZul1RompvK2W3H18g9Nc0p+CRgCOanxn41531ppz0qLGd2IiN9Q3b9M2vgCNM4tZgo8iK5WpaX5U10IuXlOKTfmSo/uwAvZAly6Xn6dlxuQp2OgLQskW1WbCwSOVwTbAErleAPOq+ADV5YArGlVxtgBNqLRhsJdaGqO2ol1FrlKD3p8k87eF/AYAa1dpwZX7S0AptfvW3Bv3+mALU8FukAur8KWMq5zpIrEzL0lMaJKcklCzHCQpoLNiSU7pvfcAXwA9l8U4AhtTWK7T6eh5AWlFOhF2QB4Fx3UUn4jAEf5z4gUatFsGTU1uJUSqXOkl5ShbkEbgfA4AYs3ONPjqU6lC329At16tKQrvNweXlgBoVLP7E19LceR1qorvWhqOjVpJB2J5WIJ7/ANmAE6TXsyTkKVChpQeYDy9z5WTy+eAOiksy5aUyJb/Xatx2NGk8iLdx5g3wB1pgiNOsmyW5IUpSSNusHek9xI5jvtfnfAHUqC262tuwGtJSTpB5+R54AIbKdoikBLzdk9WncqHcUjmQf+2AHjQuDXETNDjcijZWlIGyeulj2ZpSfAldifEEA/bgCWst9EesSdLuZsxtR081MwWStXp1jlh8knAErZX6NXDHLgD66Gie6FBRcqCy/wBo8zpPYB9E4AkuLT4dNjphwGWmWEjsttpCUj0A2wByVGuUmjMqeq1SixEDcqedCSfhzwBHGYOkhw5objiIkp6qup5JjI7N/wBI4AjGv9K7NVSWqHlShx4eo2SSkvu/IbYAYOZKvxXzdHEjM06b7K6800ESXerRqW4Ep+9jewJB5d2AOyDwsjJV1lZrDz6vpJjp6sH9Y3UfswA5KdlfLlIIVBpMdLg/GLT1i/rKucAKDz4Ced+4YAiLim77RmOhxkndUgXHlcYA68i/+I4o16TzCHpVvgUo/dgCVioYA8leAMaz44AqvTZKl6UKJOpGoEncWIBH2g/PACi4317Sm9akagRqHMeeAEp6OiVEKVoQm2ptSUiybpNjby2wBoyXKfpM2ow2lkpWhCufgf8AvgDc9np2O4qkRW3VraJ3WQlO5J5i57/DAGlT1dqd0qqKI+rYdUi5B9VX/YMAe4VEiy2kSpRW+s3v1qyuxBsbX8xgDpcpsSNUYS229CnNbRKfpADUEqHhzIPMHyJwAsIjIA5DAGYLfsz6oROpIR1jZO5CSSNJ9COfhgCT+GnA2u8WorkiBVafAiNntOPdYp1JB2KUJFrj9IYAfGd+jnTeHOW42cV1ldfap0lpNUhSEmIiQy6pLQLSmrqQpDi0qsSQoagbbHAE95e4SZSy7GjGl0uNTXmFoW8uCykKesN0KWsFZST5388AOpMaMynWhkHURbVvywB5n1hqHHcfcaUUtjUbWvt4YAhjPHSah5dcVDp+XpD7w2CnlpQm/okk4Ah3M/SP4jVpK22JzdMYVfsRUWVb9I74AQqZlrM2eG/urUswXaXuVPLW659U2H24AcdP4Z5ciALme0T1j+lXpR9VNvtJwA5YcKFTm+qp8NiMjwabCP2c8AJmaV3hw0fl1OGD/ag/uwAouySm5scAI9VzG3TmlOLZWqw+jbADAqnFWY+77NToWlSjYKdVsPlfADQW9Xqnn2iLrUthxJdSpCWwdrnlvgB6cKSXs1V6WfeU5IPzf/7YAlMqJwBgnxwBjUMAf//Z</t>
    <phoneticPr fontId="1" type="noConversion"/>
  </si>
  <si>
    <t>data:image/jpeg;base64,/9j/4AAQSkZJRgABAgAAZABkAAD/7AARRHVja3kAAQAEAAAAPAAA/+4ADkFkb2JlAGTAAAAAAf/bAIQABgQEBAUEBgUFBgkGBQYJCwgGBggLDAoKCwoKDBAMDAwMDAwQDA4PEA8ODBMTFBQTExwbGxscHx8fHx8fHx8fHwEHBwcNDA0YEBAYGhURFRofHx8fHx8fHx8fHx8fHx8fHx8fHx8fHx8fHx8fHx8fHx8fHx8fHx8fHx8fHx8fHx8f/8AAEQgBgQLnAwERAAIRAQMRAf/EAMoAAQABBQEBAAAAAAAAAAAAAAAFAQIEBgcDCAEBAAIDAQEAAAAAAAAAAAAAAAECAwQFBgcQAAEDAgMDBwcGCQoEBgMAAAEAAgMRBCEFBjFBElFhcYEiEweRMkJSciMUobHB0WIIgpLSM0NTkyQV4aKywmNzg7NUFqM0dDbww0QlNSbxZBcRAQACAQIDAwkHAwEGBQMFAAABAgMRBCExBUFREmFxgZGxIjJSBvChwdHhQhNiciOCorIzFDQV8ZLC0kNjJBbiU3MlB//aAAwDAQACEQMRAD8A+qUBAQEBAQEBAQEBAQEBAQEBAQEBAQEBAQEBAQEBAQEBAQEBAQEBAQEBAQEBAQEBAQEBAQEBAQEBAQEBAQEBAQEBAQEBAQEBAQEBAQEBAQEBAQEBAQEBAQEBAQEBAQEBAQEBAQEBAQEBAQEBAQEBAQEBAQEBAQEBAQEBAQEBAQEBAQEBBbJLHFG6SV4jjYKve4gNAG8komtZmdI5tVzPxV0Dl73RyZtHPK3ay1a+4/nRBzflUauvg6DvMkaxSYj+rSvtRR8c9DA0BvCOUW5p8pTVt/8A4tu/6f8AzJHLfFzQF9I2NuZi2kcaBt0ySAY/be0M/nJq1s309vMca+DxR/TMT90cW2wzQzxNmhkbLE8VZIwhzXA7wRgVLj2rNZ0mNJXoqICAgICAgICAgIPC7vbWzi724kEbd1dpPIBtK1t1vMW3r4slvDH25R2smPFa86VjVr11q+4c8izga2MbHy1JPUCKeVeR3P1Vkm3+GkRXvtz9UcvXLqY+m1096ePkWW+rr1jx8TCx8e/u6tcPKSFTB9U562/yVrav9PCfvmYTfptJj3ZmJ8rYrHMbO+j47eQOp5zDg5vSCvXbPqGHc11x218nbHnhy8uC2OdLQyVuMQgICAgICAgICAgICAgICAgICAgICAgICAgICAgICAgICAgICAgICAgICAgICAgICAgICAgICAgICAgICAgICAgICAgICAgo97GMc97g1jQS5xNAAMSSSiYiZnSHNdXeNmU5eX2mn2NzW9Bo64JItWEH1hjL+Dh9pRq9P076ZyZPezf46937p/L0+pyPPM+1DqCYy5zfSXLa1bb14YG+zE2jB00qoey2u0w7eNMVYr5e3180cGQM5AobOsyvZ3LtlEVnWF7rWNw2IiLzDP0/qbUWlrkT5TclsNay2UhLreQbw5lcD9ptCpa+72OHd10yRx+b90en8J4PofRmrbDVORxZpatMTqmK6tnGropm04mE7xiCDvB6lZ826l0++0yzjtx7YnvjvTiNAQEBAQEBAQUfIyNhfI4MY3FznGgA5yVW960ibWnSI70xEzOkNezHVbG1iy9veO2Gdw7I9kb15PqH1PEe7t48U/NPL0R2+zzung6dPO/DyNflfPcSmW4kMkh9Jxr5OReUyXvlt48kza3ldKsRWNKxpAGgJFTULQk1NVG95FIJIXmORux7TQhVr4qW8VJmto7YTOkxpPGE9l2q3NIizBuGz4hg/pNH0eReo6f9TTGldxH+qPxj8vU52fp3bT1NihnhnjbLC8SRuxa5pqF6/DmpkrFqTFqz2w5dqTWdJ4SvWRUQEBAQEBAQEBAQEBAQEBAQEBAQEBAQEBAQEBAQEBAQEBAQEBAQEBAQEBAQEBAQEBAQEBAQEBAQEBAQEBAQEBAQEBAQadrHxU0vprjt3Si+zUYDL7dwLmn+1di2MdOPMVGrtdO6DuN172ngx/NP4d/s8rjGp9d6m1U9zL2b4bLiezl0BLYqbu8PnSH2sOQBRq9vselYNpHux4r/ADTz9Hd6PWh47djBgFDdtfVL6Y0xLqPNm5dHeQWVRV0kzu0RXERR1BkdzVHSpae+30bbH45ra3m/GeyHadP+FGjMohaJLJmZXVPeXN60Sknfwxkd20clG9anR4fd9f3WaeFvBXurw+/nLE1t4caLnya7vW28OUXFrE6Vt5btELBwgmkjG0Y4HoryJozdM6zuq5a11nJFp00nj6p5x7HC7dxcwEihI2Kr3144rpWgtKIrLpngjfZRlWX5rJf5na2rru4YIraaaON9I2Yv4XEYO46dStDy31PiyZr0ilLW8NZ4xEzznl933utW1/Y3Q4rW4inbyxPa8fzSVLx98V6fFEx54e6MYgICAgIInM9SWVpWOL94uBhwNPZaftO+hcDqP1Bhwe7T/JfujlHnn8ObdwbG9+M+7VrF7f31+/iuX1YDVsTcGDq+teM3m+zbqdck8PljlHo/GeLrYsNMce7HpeLWALXiui8yuV0CAgIKFoKrNdUxK+0u7yyk7y2kLK+cza13S1ZNtus22t4sVtPJ2T54Rkx1yRpaGy5bqe1uKR3QFvNsBJ927oO7rXsen/UeLL7uX/Hf/Zn09np9bk59havGvvR96aXpGgICAgICAgICAgICAgICAgICAgICAgICAgICAgICAgICAgICAgICAgICAgICAgICAgICAgICAgICAgICAgICAgICAg0PWXg/pnUD5L21YMrzd5LjdQNHBI4/rosA6vrCjudRo9B036iz7fStv8mPunnHmn7Q47qLSGpNLTcGaW1bUmkV/DV9u+uztU7J+y6hUaPa7PqODdxrjn3vln4v188I6OZrhtUNma6KSxB4qNoxBG0EIVto3XS3i7qbJmfDZk05xaAUiMr+Cdh3DvaO4h7QJ59ynVw9/wDT2DPPip/jt5OXq7PQgdS6x1LqaauZXHDZh3FFYQ1bA0jYSNr3DldXmomrobLpuDax/jj3vmnn+noRHeNjbiaKG7pqt+KjO9D+OXnIYX7aFF41hhyRQhwEbfeONGBg7RJ2AUxqjNFp7eTpOhvCrXl46O8v82vsgy6tRBFPKy6e3mZxcMX4WP2VOjzHVOvbOmtaUpmv3zWPDHp7fR63cbCyZZWcVqySWZsTQ3vbiR80rud73kuJKs8Flyze02mIjXujSPVDIRjEGHmGbWVg2s76yHzYm4vPV9a52+6pg2se/PvfLHP7ednw7a+SeEcO9q+Y59f31WNPw9ucO7YcSPtO+peJ3/W8+592Pcx90c588/aHXw7OmPjzsj2xgBcquOIbM2XrJogUoEBAQEBAUJWuYCqWpqmJZeX5zf5eQ1ju9tx+hfsA+ydoXQ2HVs+14RPix/LP4T2ezyMGba0yc+Fu9tOW53Y34DY3cE2+F+Durl6l7bp/WMG64Vnw3+Wefo7/AEORn2t8fPl3s9dVrCAgICAgICAgICAgICAgICAgICAgICAgICAgICAgICAgICAgICAgICAgICAgICAgICAgICAgICAgICAgIMHOM9ybJrb4nNbyKzh3OlcGlx5Gja48wCNjb7XLnt4cdZtPkaDmvjzpqAuZllldZi4GgkIEER5wX1f/ADFGr0OD6Uz245LVp/tT93D72t3Pj1qV7ibTKbSFm4SvllPlb3SjV06fSeCPivafNpH5vEeOuta42OXkcgZOP/NKasn/AOK7X5snrr/7UjYeP18wgZlkjXjfJbTEGnMyRp/pJq1cv0lSfgyeuPxj8m45N4paF1CDZSzC2kmHAbTMGNY14Po8RLonV5OLqU6uLuehbvbe/EeLTtpx0/H7mv6u8EbOfiu9MSNsp9rrCUuNu72Hdp0Z5sW9CaOj0/6ntX3dxHij5o+L09/t87k+Y2eaZReusc1tZLS6b+jkHnDZxMcKte3naSFV6/Dkx5qePHMWr9vUo17HImYmFxApgpQ2fQWoNE5VduGoss76SR1IsweO/jjaaCjoDgN/baCeZIcrq203Wav+C+kfLymf9X4cIdbbozw5zu1jvIMrsLm2lFY7i2YxocPai4VOjx09S3uC01m962jsnX8WDc+DPh7M2jMvktz60VxOD5HPcPkTRnp9S72vO0T561/Jn6W8NtJ6amNxYWxkvDWl3cu72VoPosJADfwRXlTRg33Wtxuo8N50r3Rwj097aFLkiDyubq3tojLcSCOMb3fRyrBuNzjw18WS0VqvTHa86VjWWtZjqmeasdg0xM2GZw7Z6BuXjd/9S3ye7gjw1+aefojs9vmdXB0+K8b8Z7kLwuc4veS57jVznGpJ5yV5zwzM6zOsz2t/XThC8ABZIhApQICAgICAgICAgEKJhKx0eNRgRiCNoWO1Fosl8u1Pd2xEd4DcQ+uPzg/KXf2H1Hlw+7m/yU7/AN0fn7fK0c+wrbjX3Z+5s1nfWt5F3tvIHt3gbQeQjaF7PabzFuK+LHbxR7PPHY5OXFak6Wh7raYxAQEBAQEBAQEBAQEBAQEBAQEBAQEBAQEBAQEBAQEBAQEBAQEBAQEBAQEBAQEBAQEBAQEBAQEBAQEHKtfeMgs55cp0zwT3kbiy5zF444o3DAtibse8HeeyOfdEy9d0n6b8cRk3HCs8q9s+fuj7/M5HdyXuYXTr3MbiS7u3+fPM4vd0Y7BzDBVexxxXHXwUiK17oeLnxsIaBVxwa0YknmCLxEylrfSesbiMSQZFevjcKtcYXMBB3jj4VOjTv1DbVnSclNfOxb/K87ywB2Z5bc2TDsknhexn45HD8qhmw58WX/h3rbzTDwjkikGFDVGSYmCS1jeDhVCuSYbPovxJzvSssdtO59/kdaPtHGr4mn0oHHZT1D2TzbVMS5XUui4t3E2j3Mvf3/3fnz87udzZaa1dkcTp4osxyy7YJYHnaAfSY4Uexw2YUI2KzwNMufZ5Z0maZK8J+3KYcl1Z4LZxlhfd6dkdmNmKudZyEC5YPsHBsg8julV0ew6f9S4svu548Fvm/b+ns8znhujG98UrTHLGS2SN4LXNcNoc04gqHpP49Y1jjEsrKMizvUl2bPJrR1zIPzsnmxRg75JD2W9G07gjFuN1i21fFlt4Y++fNDtnhr4Wf7Rc+8uMymuL+4bSa3hc5lmP8P8ASOG5zvIFaIeF6113/nPdrSIpHKZ+L19nmj1t/UvOiCjnNa0ucQGjEk4ABRa0RGs8kxGqBzLVUMdYrECaTYZT+bHR6y8t1D6mpT3cEeO3zft/X2eV0cHT5njfhH3tdnmubqXvbmQyP3V2DmA2BeRz5cme3jyWm1vty7nUpWtI0rGigaAoipqqrIEBAQEBAQESpxY0UamgHBNTRVSgQEBBQgFVmE6qRvmglE0DzHI3Y5poox2vit48czW0dsJtEWjS0aw2HLtVtNIswbwO2Cdg7J9pu7qXq+n/AFPHw7iNJ+aOXpjs9H3OZn6d209TYI5I5GB8bg9jhVrmmoI5iF6ymSt4i1Z1ie2HMmsxOkrldAgICAgICAgICAgICAgICAgICAgICAgICAgICAgICAgICAgICAgICAgICAgICAgICAgICAgICDQvGXVNzkmmG21k8x3uayG2ZK3Asi4S6VzTy07I6aqJeh+m9hXPuPFbjXHGvnns/P0OE2lu1jAANiq9/kvrK66fwRuPIKoikay+g9AaCynTuWQT90yfN52Nfc3rgHODnCpZGT5rBWmG3erRD5z1fq2Tc5JjXTHE8K/jPfLblLjKOa1zS1wDmuFHNOIIO4omJ0cw8RvCjLJbG5znIYhZ31ux009pGKQzNaKu4WDBj6bOHA7xjVRMPVdG6/ki8Ys0+Kk8ImecfnDkFvJxsB3FVezvGklwwFhQpLrf3f8AMZ5ckzTLnkmGyuWvhJrgJ2Vc0c3EwnrVoeO+rcMRlpeOdq8fR/4/c6opeSa9qfQOldSvilzWyD7iIgi4iJilLQR2HPZQuaaUoeqiaOlserbjaxMY7cJ7J4x59J7Uxl2WZfllnHZZfbx2trEKRwxNDWjyb+Uo0s2e+W02vM2tPbLJRiEEZmeoLKyrGD31wP0TDsP2nbAuL1HruHba1+PJ8sfjPZ7fI28Gzvk48q97V7/M77MHe/fwxboWYMHTy9a8Tveo591PvzpX5Y5fr6XXw4KYuXPvY7WALVrTRlmVyuqICAgICAgIKFwCjVOjItcvubmjqd3F67t/QN6yUxTbzMeTNWvllL2tnbWo922r98jsXfyLapSK8mlkyWvzed1llvcEub7qU+k3YekKt8UW8krY89q8OcIqezubY0lb2dzxi09a1rUmvNuUyVtyeSqsICAgILXNBVJrqmJe1lfXthJx2z6NJq6I4sd0j6ln2m9zbW2uOeHbHZPo/LirlxUyRpaGzZZqSzuqRzfu9wcOFx7Lj9l30Fez6d9Q4c+lb/48nl5T5p/CfvcnPsb04x71UuvQNEQEBAQEBAQEBAQEBAQEBAQEBAQEBAQEBAQEBAQEBAQEBAQEBAQEBAQEBAQEBAQEBAQEBAQEHLvHzKbm4yHLsziaXRZdcOFwB6LJ2hoeeYPa0daiXrPpPcVrmvjnnevDzx2erX1OQW8gLAqvZXhdOwPYRyoVnR1Dw+8XrS1s4Mm1K4wm3aIrbM6FzHMaKNbNTFrgMOLYd9NptEvKdX+nbXtOXBx14zXy+T8vU6xZ31le27biyuI7m3f5s0L2vYehzSQpeQyYrY58Noms908HsjG0DxA8T8kyzLrnLstnZfZvOx0LWQuD2Q8QoXyOFRVtcG7aqJl6LpHQ8uW8XyR4cccePb5I/Nw63YI4wNwFFV7286y8rq4AbQYuOAAxJJwAARbHR9BeFGkrjTml2tvW8GY38hurplMY+JoayM87Wtx5yVaHznr/AFCu53Hu/BSPDHl759PsbmpcQQEGLfZnZWLOK4kDSfNjGLndAWjveo4dtXXJbTujtnzR9oZsOC+SfdhrGY6ivryscNbaDkae2elw2dS8Vv8Ar+fce7T/AB08nxT55/L1y6+HZUpxn3p+5GNjAXGrjiG1Nl9Fk0QKUCAgICAgIKEhQlfBb3Fw7hibUb3bGjpKtWs25K3vWvNLWuVW8NHS+9k5/NHQFs0wxHPi1Mm4tblwhllxKy6sGgAShq8Lm/traoJ45d0bdvXyKl8kV87JTDa/mRVzmFzcmjjwx7o27OvlWtfLNm5TDWvneCouICAgICAo0SsdGCFjtSJTFmfl2e39jRhPf24/RvOIH2Xbl1Nh1rPtuE+/j7p7PNP2hr5tpTJx5WbRl+b2N+33L6SelC7B46t/UvbbDquDdR7k+98s8/t5nIzba+PnHDvZq6TXEBAQEBAQEBAQEBAQEBAQEBAQEBAQEBAQEBAQEBAQEBAQEBAQEBAQEBAQEBAQEHncXNvbQPuLmVkEEYrJLI4MY0cpc6gCLUpa06VjWZ7nN9Q+OmQWcjoMltpM2lFR39e5t68znAvd1NpzqNXp9n9LZrxrlmMcd3O35R6/Q0bMPGLxAvHEwTwZfGdjLeFrj+NN3qjV3sP05s6c4tfzz+WiN/8A6B4hF3F/HbivsxU8nBRNW1/2jZf/ALVfv/NJZd4weIFi8GeeHMYhtjuIWtNOZ0PdmvTVNWrm+ndnkjhE0nyT+eroemvFbS+qGOyjN4Bl9zdNMTra4cH28weKFjZaNFT6rgOaqnV5ze9A3G1n+XHPjrXjrHxR5dPy1aLrXwmzjIpZL3JGSZjlBJd3LAX3EA5HNGMjR6wx5RvUTDv9M+oMW4iK5ZimTv8A22/KfJ6u5o8V4x2BOIwI5Cod62OYXO7t4RWNYWwtkt5O8tZpLeT14XujPlaQi1pi0aWiJ8/F63N7ml03gu8wublnqTTySN8jnEIpTFjpxrWtfNEQx29zEKCgARknWWZlGV53ntz8Lk1nJeSVo9zBSNld75DRjesqWHcZ8W3r4storH3z5o5y7PoHwissimjzTN5GX+cM7ULWj3EDuVnFi5/2yMNwG1TEPEdW+obbiJx4o8GPt77efujyet0RS80ILJ54YIzLM9scbdrnGgWLNnpirNrzFax3rUpNp0iNZa3mOqpH8UWXt4W7PiHjH8Fp+leP6h9TWtrXbxpHzT+Efn6nVwdPiON/Ug3cckhklcXyOxc9xqT1rzM+K9ptaZtae2XQjSI0jkqAArxCFVKBAQEBAQECqJUaHyODI2lzjsAxURx5E6RxlJ2uTgUfdGp/VN+k/UtimD5mrk3PZVIt4WNDGANaNjRgFscuTWnjxkxKCyaaC3ZxTODRuG89AUWtFeaa1m08EVdZtPL2YR3UfL6R69y1b5pnlwbePbxHGeMsMNWLRn1VUoEFC4BRqnR7x2N5JEZWRktGzcT0BXjHaY10UnLWJ0mXhxY0OBG0FUX0VUoEBAQCKqJhKzhLXB7CWvaatcDQg8xCx+GYnWOEwnXslM5dqm4hpHfNM0ewTN88dI2OXoth9S5Mfu548dfmj4vT3+3ztHP0+tuNOE9zZra7trqIS28jZGHe3d0jcvZ7fdY81fFjtFo+3qcnJjtSdLRo9VnUEBAQEBAQEBAQEBAQEBAQEBAQEBAQEBAQEBAQEBAQEBAQEBAQEBAQEBAQEGiax8XdP5E6Szsv/dM1bVpghcO6jd/ay4gey2p5aKNXoOnfT2bcaWv/AI8ffPOfNH58HGtR6o1HqicS5vcl0DTxRWUfYt4+SjKmpHrOJPOoe22exwbWNMUcfmn4p9P4RwRThHE2pwoobcay2bI/DXW+cwtuLexFravFY5rx3c8QpUEMo6Sh3Hhop0cvdda2mCfDa3it3V4/fy+95ag0Jq3TsXxGY2gfZg0dd27u9ibU0HHgHM27XNATRfadV225nw0t73dPCf19CGbRwUN2eDwubZrmHBGSl9Hd/BjUd9nGlXwXz3S3OWTG1E7qlz4uFr4y4na4B3D1K0Pn/wBS7KmHca04VvHi07p5T+ab1B4faQz57psxy6N107bdREwy15S+MtLvwqqdGhtOr7nbxpS8+HunjHqn8Gl33gBlT31y7OLm2b6k7GTgdbe5KjR3MX1bkiPfx1t5pmPzRj/ADNg48Gewlu4utnA/JIVGjaj6tx9uKf8Azfoybf7vxqDd5+5w9JsNsGnqc6R/zKdGK/1d8uL12/RsuVeCuhrIh9xBNmUgoa3cpLaj7EfdsPWCmjmZ/qbd34RMUj+mPxnWW7WlnaWdu23tII7a3ZgyGJrWMb0NaAApcLJktefFaZtPfPF6ooEgCpwASZEHmWqLaAmK0AuJhhxfowenf1LzPUPqTHj1rh/yX7/2x+fo9boYOn2txt7sfe1u6ubu8l7y6kMjh5o2Nb0DYF4/c7jLuLeLLbxT90eaHVx0rjjSsaLQ0BUiuiZlVWQICAgICAgILS5RqnRm2uUzy0fMe6j5PSPVuWamGZ58GDJuIjhHGUrDDBbs4YWho3neekrZrWK8mpa02nWV+JUoDwsaXvIa0bXHAJyOfCEbc5yMWWox/WuHzD61r3z/ACtmm27bI1xfI4vkcXPO1xxK1548ZbUaRGkK0UgiFCQFCXpb21xcupE2oG15waOtWrSbclb3rXmlrXLLeCjn+9l5T5o6AtmmGK8+MtPJntblwhl8ZqsurDo8rixt7rz20k3SNwP8qrbHFua9MtqcuSFurY20vdmRsnO3d0jctS9PDOjex38Ua6aPJVWEBAQEFC0FVmqdVYJrm1l722kMUnKNh5iNhU4cuTDbx47TW32595etbxpaNYbFluqoX8MV8O6k2d8PMPT6q9b0/wCpqW0rnjw2+b9vp7vZ5nLz9PmONOMd3anmua5oc0hzTiCMQQvVVtFo1jjDnTGiqlAgICAgICAgICAgICAgICAgICAgICAgICAgICAgICAgICAgICAgICAg4V4uZ94mRXMtpfQfw7TkjiyKaycXsmaagCaejXAkegQ0HnVZ1e/+ntpsJrFqT483dbnH9tfx4+hz20ZEGgAAKHo8kyzABTBSwpfSWpLHT2cNvr3K48xjFOFzvzsJB8+Li7HF0joIRp9Q2V9zi8FbzSfunyT2/blLvmm9XZBqO1M+VXTZS2nfQO7E0ZO58ZxHTsO4qz55ven5ttbTJXTunsnzS0zxD8U8igy69yXK3tzG/uY320r2dqCISNLH8T9j3AHzW1x2qJl2+j9BzWvXLk9ylZif6p08nZ559DjkI4WgFVe1sufQiiIhsmlPEnNtK5e6wsrC2ngkldPI+QyNkc9wAxcCRgGgDsqdXM6h0XHu7+O9rROmnZo2aH7wbmgfF5Ca73Q3IP8ANdG351Orl2+kNfhy+uv6pKx+8Dpa5njtnZbmQupXcMcMUUcxc47mhknEepqatXL9I7isTbx4/DHbMzHth0qzuTc2sVwYZIO9aHdzMA2Rtdzmgmh5lLy+SnhtNdYnTtjk9kUEBBH5lnljYVY93eT7oWYnr3BcnqHWsG24TPiv8sc/T3NrBtL5OMcI72rZhm9/mBLZHd3BuhZgPwjtcvEb7qufdcLT4afLHL09/s8jr4dtTFy4z3sVrAFo1pozTK5ZECIEBAQEBAQES9rawubnFo4Y98jtnVyq1Mc2Y75q186WtrC2tsWjjk/WO29XItqmOKtO+W1/M9ySVdj0VDSU0NWHdZrbw1ZF72UcnmjpKxXzRHLjLPj29rcZ4QiZ7ie4dxTOrTY3YB0Ba1rTbm26UivJYAFVZVSgqiRjZJXhkbS952AJETPCCZiI1lJWuTtbR90eI/q2nDrO9bFMHzNXJueyqRHC1oa0BrRsaMAs7VKEolZPcQW7eKZ1K7GjEnoCra0V5ppSbckVdZrcTVbF7qI8nnHpK1r5pnlwhuU29a8Z4ywwKLEzTKqlAgICAgICC1zAVS1NVol72OZX2Xu/d31j2uhdiw9W7qWzsuoZ9rP+Ofd+WeX6ehjy4KZPijj3toyzUNlekRuPcXB/RP2E/ZdvXtundew7jSs+5k7p/Ce32+RyM+yvj486pRdtpiAgICAgICAgICAgICAgICAgICAgICAgICAgICAgICAgICAgIKPkZGxz5HBjGirnONAAN5JRMRMzpDWr/wATNB2EhiuM6t3PG0Ql09OnuRIo1dTF0TeZI1jHb08PbowR4yeHZdT+KOA5Tb3NP8tNWf8A/G978n+1X80plutdFZ8HWlpmdrdGUcBtZCGueHYcPdShrnV6FLUzdM3W3961LV07Y7PTDTtXeCWX3PeXmmpBYXRq42LyTbPPIw4uiPlbzBRo7fTvqe9dK548dfm/d6e/2uTZnYZtkt6bHN7V9ncjENkGDh6zHirXjnaVD1+DNjz08eO0Wr9ufc8g5jwoX0mFog4XFzHFjiC0lpIJadow3FE+PvVZbsYMBSiE31bDpvQOp9SMdNl8UcVm0lvxdw4sjLh6LeEPeT0Nop0c3e9WwbadLzM27o5/hDKufCLxDhcRHaQXI5Yrhg/zO7TRhp9Q7K3O1q+es/hqi7vQWvrWolyK5dTfDwTf5Tnpo28fVtnfllr6dY9ujP0v4S6sz6UPvoX5Nl4JD5blhEzqbRHCaO63UHSmjX331Bt9vGlJ/kv5OXpt+TtOlNBaZ0vDw5Zaj4lwpLfTUfcP6X0FB9loA5lbR4ff9Wz7qf8AJb3fljhWPR+fFsKOaIMe9v7Syj7y5kDAfNG1xPMBiVqbvfYtvXxZLae2fNDLiw2yTpWGsZjqW8uuKO1Bt4DhxfpCOn0epeL3/wBQ5s2tcX+Onf8Aun8vR63Ww7GlONven7kU2MDE7TtK4Vcbdmy8BZIhUUoEBAQEBAQCVCV0MM87+GFheRtpsHSVNYm3JW1orHFbI17HlkjS142tO1RPDhK0TExrDMtc4niAZKO9iGAPpAfSs1M8xwnjDBk20TxjhKVhmhuG8ULw4bxsI6QtmtotyadqzXmsuby2tcJDWTdG3E/yKt8kV5rUx2vy5Ii6zC5ueyT3cXqN39J3rWvlm3mbuPDWvlljhoCx6MmqqlAiVC7cMSdgUamjOtcomko+cmJnq+kfqWamCZ58GDJuIjhXilIooYGcELQ0b+U9JWzWIjk1LWm06yuxKlCjiyNhfI4NYNrjgk8OZGszpCOus4OLLUYfrXD5h9a175/lbWPbdtkaeJ7i95LnHa44la/Ns8uEK0UgiBAQVwAqTQDaSg8Td24NKk84Cr/JC/8AHZ6tLXt4mGoVonVSYmOatEFEBAoo0SsdGCsdscSmLJLLtQ31lSOWtxAPRce2BzO+tdjYdez7f3bf5KeXnHmn8J+5q5tlTJxj3ZbRYZpZXzOK3kq4edGcHt6QvbbLqWHcxrjnj2x2x6PtDkZtvfHPvQylvMIgICAgICAgICAgICAgICAgICAgICAgICAgICAgICAgILZZYoYnyyvbHFGC58jyGta0YkknAAImtZtOkcZcx1d43ZdaF9ppuJuY3QqHXr6i2Yfs0o6XqoOcqJl6rp/0xe/vZ58Ffl/d+nt8jk2c57qHPpDLnOYS3QJqIS7hhb7MTaMHkUPX7ba4dvGmKsV8vb6+aPEcDMKAKGzNpl6tjidsRWZlSSyjeNgKEZZhtOkvE3UemJmRXEj8yyjAPtJnFz428sL3Yinqns9G1Tq5PUOh4N1EzWIpk745T/dH483dHwaa1fkMMssMWY5XeMEkJeNlcKg4OY8bDShBVngYvn2eaYiZpkrwn7dsfc5Rq3wUzXL+O703I6/tRi6wlIFwwfYfg2ToND0quj1/T/qbHk93PHgt80fD6e72eZzwTSRTPgnY6GeIlssUgLXtcNoc00IKh6TwxMaxxiXtxtIRj0e+V6pz3T1z8VlN46BxNZIT2oZKbpIz2T07RuKKZ9jh3NfDkrr5e2PNLtnhp4lTavhlZPlc1pPbj3l2xpdZvIoCGSHEO+wa9KtEvC9b6LGzmJi8Wiez90eeO7y/c3lS4AgILZZYoo3SSvDI24uc40A8qpky1x1m1piKx2ymtZtOkc2u5lqvbFl7anZ8Q8YfgtO3rXkuofU/Ou3j/VP4R+fqdTB07tv6kA9000hlne6SR217jUryt5vkt4rzNrd8ulERWNIjSFQAFMQjVVWQICAgrwlRqaqhhUeJGq4RO5FHjR4lj5baP85NGz2nAfOVatb25RM+haK2nlEvB2Z5WDw/FRl3IHV+ZZY2uaeVLMkYMnyyybe6yIEOub5lNvdt4j5SAtnH0zNPG1ZYb0zftqkWak03GwMjuWsaNgDH/krZjZZY5V9jWnZZ5nWY9hNnemrlvBLdRu5CagjoNFW2xyzzqV22evGIlG3EmUxjiiv4XsJwBe0O8h2rTy7DNTj4ZmG1SMk86ypDJGXB8E7eLcWPFfkK1Zi1ecTCbRPKYXGF1STUk7SVXxI8SnAQramqhBU6pWk0TVLItbC5uaOA4Iv1jvoG9Xpjm3mY75q186WtrK2thVg4pN8jtvVyLapjirTvltfnyexJKuoqGpojVhXWbQRVbDSWTl9Ede9Yb5ojlxZ8e3meM8IRU089w/imcXHcNw6Ata1ptzblaxWOC0BQkUoEBBUCqDHfmFqHmJjxJKNrQfpUWtovXHMvCR8khq84bgNiwTaZZ61iOTylkihbxSOpyDeepIrM8k6sL469kkpaAspvH07llisV4yrPFMwXnux8VwseB2njBvy7EjJEyxWxTHJkYFoc0gtOIIxBV2NRAQEFCAVEwlaA+N4kjcWSN817SQR1hUiJrbxVmYtHbCeExpPJO5dqqSPhiv28bdnfsGI9pu/qXpun/U1q6V3Eax80c/TH5epz8/T4njT1NjguILiISwPbJGdjmmoXsMGemWvipMWr5HKvSazpMaS9FlVEBAQEBAQEBAQEBAQEBAQEBAQEBAQEBAQEBAQEBBpWsPFnTGnXPtWP/iWatwNlbuHYI/XSYtj6MXcyjV3enfT+fc+9PuY/mn8I7fZ5XGdS6y1LqqU/xK47uyqDHl0NWwNps4hteed3VRRq9tsum4NpH+OPe+aef6ehFMgawYBQ25vq2HSGg8y1XcyMt7mG0tYCO/meQ+QV9SEEOO3aaDnUxDndR6rTaVibRNrTyjs9f/jLrmUeEWhsvgayWxGYTU7dxdkyOJ5m4Mb1NU6PG7j6h3eSdYt4I7q8P1az4k+GWmsuyO4zvKh/DpbQNL7cOLoZQ5wbwgOJLH9rs8OG6m9Jh1ei9cz5MsYsnvxbt7Y/OPP63LIzVqq9ZZZcRhzSi1Jdw8G57W20RaW017CZ3SzyMt+8bxxsdK6jS2tRXzutWh4P6kpa27taKzppXjpz4faG/qXnWvar0HpzU0JGYW4bdgUiv4aMnZTZ2qdofZdUJo6Ww6rn2s+5Pu/LPL7eZxjUnhLrPJ7tkdhCc4tJnBkU9uA17Sdnescex7VS3nCro9vsvqDa5qzN5/jtHZP4T2+bm3DSHgdbRGO91TKLubBwy2IkQtPJI/AyU5BRvtBTo43Ufqi06128eGPmnn6I7Pb5nVLa1trWBlvbRMgt4hwxwxNDGNHI1raABS8je9rzNrTrM9svRFRBDZlqaztqx2/7zP8AZPYB53fQF57qH1Fhw+7j/wAl/J8Meefwj7m9g2Fr8be7H3tau729vpOO5kLgDVsYwY3oC8Zut3m3NtcttfJ2R5o+0utjxUxxpWHmGgLDFdFplVXQICCoaSo1NV3BRpc4hrRtJwAVfF2QjVhXGeZTb1Bm7149GIcXy7PlW5j2Ga/ZpHl4M9Nrkt2aedHTarecLe1A+1I6vyNp863adIj99vU2a7D5p9TBmz3OJf0/djkjAb8u1blOn4K/t187PXa447NWHLPdS/nZ5JPacStitKV+GsR6GataxyiFYrBz8XDgbz7Ss0ayi2aIZkdvFGKMbTlO9ZInRgteZ5ruAJ4kandtAqcANpTU1Y8twwYRCp9Y7FScvcy1pPaxnMLzVxqedY/HLLE6Kdy3kU+NPiesVxeQ/mp5GdDjTyVWO+PHb4qxPoUtSs84hlw6gzeLbKJRySNB+UUK1b9OwW7NPMw22mOezRnQaq4iG3FtQnDjjdh5HfWtS/R/kt62C+w04xLZcrutPSkF1w0zHZHN2ADzB2B8qxT03Jj42jXzcnLz0zRyjh5OKdc0kVGI3UVPE0Il58BUwtq8Lq9trYUeeKTdG3b18irfJFWTHitflyRF1f3Nzg48EX6tuzr5Vq3yTbzNzHirXzvANAVNGTVVSgQEFQKoLZJI4/OPa9UbVE2iE1rM8mJLcSSVb5rDtaN/SsVrzLPXHEI+4y2IAyRuERGNDg3+RTXJK0vBl/cNYWVDjuecSFeccI1eltZi497LJx8rQcevkUWvpwge8t5bWzeCIBxHot2DpKpFJnmnVjCG7vDxSHgi3cnUFfWK8kM2KWLLo+EPPDt4Ca16Aqxa0zwLViebLsszt7yoAMcg2tds6jsWVgtSYZRFEVUQEBBQtBVZqmJXW1xdWcneW0hjdvA809I2FW2+fLt7eLFaaz90+eO1F6VvGlo1bJluqbaYiK8At5dgf+jJ6T5vWvYdP+pceT3c3+O3f+2fy9PrcvP0+1eNPej704CCAQag4ghemiYmNYc4UggICAgICAgICAgICAgICAgICAgICAgICAghNUaz09pm17/NbkMe4VhtWdueT2I9vWcOUo39j03NuraY4889keeftLC0n4h6X1XEYrOXursgiXLrkNZNSmNG1c17edpPOo1Z+odH3G0nW0a1+avL9PS0/VvgPlk7n3ml3tsLg1c6wkJNu8/YOLoz5W8wTR2un/VeSvu7j36/NHxenv8Ab53Kswy/NclvTY5tayWdy30JBg4D0mOFWvHO0qr1uHNjz18eO0Wr9ufd6RsjXBCa6Kwz3lpcsu7GeS2uosY54nFjxXnG47wiLVres1vEWrPZLoeS+OWb22XyQ5vYNvr1jf3e5iIhDz/bNoQOlg6t6nV5zc/S2O14nFbwV7Ynj6v19bS9Rar1FqW5E2bXFYYyXQWkY4IY68jd5+04ko7ez2GDa10xxx7ZnnP27o4I3vGsFFDa8Oq03DDhVE+CXhLFbyGpAJ5UZK2mHnHcXtvI1lhcXEUzjwxst5JGuLjsDQw1J6EWtSlo9+KzHliPxdZ0JofxSunRXmeaizDK7Da2yMzpbl43VEnGyIdNTzBTo8f1XqnT6a1xYqZL/NppX7tJn2eV2GNnBG1nEXcIA4nGrjQUqTyqzxczrOq5ECDBzHObGwFJX8Up82FmLj9XWuZ1Dq2Dax7862+WOf6elsYNrfJy5d7V8xzu/v6sJ7m3P6Jh2j7TtpXid/1jPutY+DH8sfjPb7PI7GHa0x8edu9gtjAXNrSIZ5ler6IFKBBUNJUTJqpPPbWsfeXEjY27q7T0DaVOPHfJOlI1KVtadKxqhLvVJNW2MNP7WX6Gj6V1sPSe3JPoj829j2Pzz6kRc3V5durczOk5Gk0aOhowXTxYqY/giIbtKVp8MaPIMAWSbLarqAKuqF8cMkh7Io3e47FMVmVbWiGXFbxx4+c71j9CyxWIYbXmXoSrKLS4BExDybLNK7gtYJLmTZSJrngHnIBVJvEL+GI42mKx5SXJ9SyDifl1xw7gIz8yxTMymu4wRyvX1sKVs8DuC4ifC71ZGlh+UBQz1mLcYmJVa8FSTC5QgFXGjRUncEHu2yeW1c4B25v1rJGOWKcsMeSJzDwvFCqTrDLW2vJVkj2Yecz1T9CvXJME1iUjY53eWTeK1uXRtG2F3ab+KajyKclMWT4o/Nq5drW/xRr5UtFr6WVoiuYu4rgZ4sa9IOI6lydz0+3/AMU+iefrak9JiONZ18ksyEwzx97DI2Vh9Jpr5VxLVtSdLRpLDbWs6TGi4topiUaqKQQEBzmsbxPNBzpM6ERM8mNLeOcC2KrQfS39SxWydzNXF3oiSyuYXmaF5eTi6uLuvlUxeJ5snJe3MyI+0ysm4jYn8RqtZb3V2Q+V3DHu/kCmbRXkhkSMsbaIse0Gu7a4qkTaZGBHHLI5xt2uDcd+7krgsszEc0PS0dbRvpOwh4ODjsHUovEzyS9pswe93d2zSSfSpj1BVjH3mqkWXOc7vLl1SceGuPWUnJ3JiGUGsa3haA1o2ALFK0MuzfM6odUxgYE8qy45lhyxEedkLIwiAgICC1zAVjtTVaJZWX5tf5eQInccG+F+Ler1VvbHqmfa8KTrT5Z5eju+3BhzbemXnz720ZbntjfUY091PvhfgfwTsK9t0/rWDc8Inw3+Wfw7/b5HIz7S+PjzjvSK67VEBAQEBAQEBAQEBAQEBAQEBAQEBAQEGNmWZ5dllnJeZhcx2trGKvmlcGtHNjtJ3AIy4cF8torSJtaeyHItW+OFzcF1ppaIwx7HZncN7Z/uonYDpf8AiqNXsun/AEvWvvbidZ+WPxn8vW5hOZrm4ku7yZ9xdSnilnlcXvcedxxVXqqaVrFax4ax2QZflGaZrmMVpk1vLcX4IdH3OBYQcHl9QIwPWJCGbcY8NJtlmIp5e3yadvmfSOg8t1jl+TCHVGYx5hd4d1wNJfG2nmyTYd67n4esq0PmXVc+2yZddvSaV9vmjs9fqS2c5FlGd2TrLNbWO7tnY8Dxi0+sxwo5rudpqpae23WTBbx47TW329bj2rPBXNsvL7vTchv7Qdo2MpAuGgbeB2DZBzYO6VXR7Tp/1NjyaVzx4LfNHw+nu9nmc7E7mSPhmY6KaMlskTwWva4bQ5poQVD0k11jWOMS928LkUnUcMMERDefDu78MDH8Fn1q1uazdg3F/SS2dU4CMnsxH2gPaKmHB6xj3+viw2/xx2V4W9Pf6PU6HceEnh5cgn+FNjLsQ6GWaPyBrw35FOjzdPqHe1/fr54ifwRVz4EaKlr3Ut9bndwTBw/4jHpo26fVW6jnFLej8phP6R8O9M6Xbx2MBmviKPv7gh8xB2gGgDBzNA500c7qHWM+64XnSvyxy/X0tmUuWIPG7vLa0iMtxII2bq7TzAbStfdbvFgr4slorH25d7JjxWvOlY1azmOqLmesdkDBFsMp889G5q8Zv/qTLl93DHgr3/u/T2+Z1cOwrXjfjP3IcMqS5xJccS44knpXnopx1nm35leAskQqKUCAgvDQAXOIa0CrnHAAKuvZCNUJmOpWMJiy8B7thncOz+CN/WuttulzPvZeHk/NvYdlrxv6kFI6WeQyzPMkh2ucaldisVpGlY0hvxEVjSOEAaAo1NVVANa954WCpUxGqJmI5sqK0a3GTtHk3LJXH3sNsvc967hsWRjEHnNNHE2rjjuaNqrNohelZtyTmlNPRZlB/EswFbUuLbe2rQP4TQued4rhRY5tMtDf7ycU/wAdPi7Z/JuTHMhYIoWtjjbg1jAGtHQAocWYm06zxk793Kh4FJhBcxGG5jbNE7ayQBw+VE11rOtZ0loOr9MxZSY72yr8DM7gdETUxvIqACcS00US9D07fTm1pf44+9Dw2z3gF/Yb8qtWky3L5Ijky2MZGKMFOU71liIhgmZnmuqVKBwYWnjpw767Enyka68GBKIeP3RJbz/QsE6djZrrpxWUChZQtCamq6Ca4tZe9t5DG/eRsPSNhUZKVyRpaNYL1reNLRq2DLtRwTkRXoEMxwEg/Nu6fVXF3PTLU97H71e7t/Vzs2zmvGvGPvS7mELmxZpxKxWSY0NNu7pQRzzI5/va8XIdy15me1txEacHnNdQwDtGrtzBtU1rMkyxO8vLw0YOCLfuHWd6yaVqq9nWFrHCTK8g+vs8gVfHMzwNGGy4mj4mxPJZ0buWm5ZJrE8x62cVvK8mZ9X1804V696i8zHIZE+YQwjghAcRgKeaFSuOZ5mrxZa3Ny/vJzwg+WnMFabRXhBoo6G6s3GSI8bN5pu5wnii3M0ZNpeC6d3bGnvdpAxHl+tUnHMJ8URzSEVm0YyniPqjYrVx97FbL3MjdQYAbAsjEogIFQiRARAgEKNErHRgrHbHqtFkrl2pb21pHc1uIBhU/nAOn0utdzYfUObBpXL/AJKf7Uent9PraWfY0vxr7s/c2eyzC0vY+8t5A8Dzm7HN6QV7TZ7/AA7mvix219seeHJy4bY50tDIW4xCAgICAgICAgICAgICAgICAgIKOc1jS5xDWtFXOOAAG0komI1c31f41ZNlxfaZA1ua34PCZgT8LGRyvH5zoZh9pRMvTdO+mcuT3s3+Ond+6fR2en1OQ5znGeagvPjM5u33Mg/NsPZijHJHGOy35+VQ9nttti29fDir4Y++fPLHZbyOeyKCN0sryGxxsaXOc47A1oqSVDJN4iNZnSHQNKeCua5gW3WoZHZfZnFtnGQbh4IqOJ3abGPK7oU6PO7/AOpseP3cEeO3fPw/r7PO3TNNWaD8P7E5ZYQsN20VGXWtHSudTB08hrw9LzxcgKlw8HT931G/8l5nw/Nbl/pj8uDkWrdfao1Q7huZzZ2DTxR2NsXMZhsL3edIRTfhyAKJl7Hp/SdvtfhjxX+afw7vtxSulPGvPciMVnnYdm2XAholJ/e2Cu5xwl6HY/aTVqb/AOmcO41ti/x3/wBmfy9HDyO9Zbfw5hYQXsLJI4rhgexk0bopAD6zHgOCs+fZsU47zSdNY7p1j1whtV6C03qeL/3C34LtopFfQ0ZO3m4qHiHM4EJo3dh1bPtZ9yfd+WeX28zi+q/DPU+muO4a3+JZUzH4yAdpjf7WLFzab3CrecKuj3HT+t4N1pX4MndPb5p+0tUbexubWtQodecUsvJtMZ9qi5dbZPaGcNIE1w7swR19eQ4dQqeZSw7nfYdrXxZbad0ds+aPtDvvh1oi90plZtbrNp8we8A9w4/u0J20ga6rwMce1Q8gUxD551nqld3k8VaRTy/un+7s+3NtqlxxBR72MaXvcGsbi5xNABzkqt7xWNbTpEJiJmdIa/mWq421jsGiV2wzOrwDoG0rynUPqase7t48U/NPL0d/s87pYOnzPG/DyNemknuZTNcSGSQ+k7dzAbgvJ5cmTNbx5Jm1vL9uDp1itY0rGkAaAkVNVVZAgICBNNBbQOnndwRt2neTyAbymOlslvDWNZK1m06Rzarmeb3GYO4RWO1B7MQ387uUr0W12dcMa879/wCTrYNvXH5bMNrQFtTLNMrlAKB7xWZcA6Q0adgG0rJXH3sVsunCGS1rWN4WigWSI0YZnXmKQcWtHE40HKVE8ExGvJjS3jjhEKD1jtWOcncy1xd7ElrQk4k71jZ6uk6RP/1ax9l/+Y5WeY6h/wBRb0exIlGspVEvSGGSQ9kUb6x2KYrMq2tEIzXETY9P+se+jxPWssViIbHS7TOb0S0dhqFLvSvARV5S3MbMG9t3NsVLXiF645liSSSSGrz0DcFimZlnisRyUUJFKBARK1zAVMSmJSOVZ5NZEQz1ltNlNrmezzcy0t3sK5ferwv7fP8Am1s+1i/GOFva2dro5Y2yxOD43irXDYQvPzE1nw2jSYcuYmJ0nmtUiksUczC1+/AOGDh0FJiJTEzHJF/wJsTy8uM7K1AO3r5VW8z2MtbxPN4TZnGzsQDidsr6IVK49ebJK2OzuLh3eXLi0bhv8m5Wm8RyRoyHz2lo3gaBxeqNp6SqRWbDCbDLdSF7IxGw79jVk8UVBjn2ctZYga7D+SdiT70cJGfFcxTD3bqn1d/kWGazCzLitHnGQ8I9UbVeMfex2y9zJYyKJpbG0MBxNBSp51lYJmZ5iAgoXAKNU6Pa2srm5NWDhj3yO2dXKr0xzbkpfLWnPmlGZTZNiLHVe87ZK0I6FsRhro1J3F9dWBdZXcQVcz3sXKPOHSFhvhmOXGGxjz1tz4SxAarEzSqpQICBw1VZhLzfI+1rcslMLogXd6DSgHKsXivjtFsczW0dy2kWjS3GG/ZfcfE2Ftc1r38TJK7PPaD9K+r7a83xVtbnNYmfU81krEWmI73us6ggICAgICAgICAgICAgICAgINR8RdC3OrcsbbQZtPl74gSIGmttMTsE7BRzubHDkKiYdno3Va7PJ4ppW+vb+6P7Z+3ncEzrSufaXuRb5xaGFhPDDdN7UElPUkGHUaHmVX0Lbb/Duq+LFbXvjtjzx9oeMcrHDBF7Vl6slnhlZPbyPhnjIdHLG4se1w2Frm0IKlSaxMaWjWJbFd+J2ubnKW5a6+7umD72JvBcvbuaZAcPaaA7nTVzcfQ9pXJ/J4df6Z+H1fnwan3IbVzsXE1c44kk7SSVDseLVOaZ0LqXU0jTYQdzYVo/MJ6thFNvBvkPM3rIU6Ofvuq4NrHvzrf5Y5/p6XYtNeHOkNH27szu3MuLuAcUuaXvC1sdCMY2nsRY7/O51Ojxe96zud7b+OusVn9te3z9s+zyNZ1f44MBfZ6WiEz9hzOdp7sf3URoXdLqDmKaup076X5W3E6f0xz9M9no9cOYw6k1Ta5s7Oo81uf4m6gkuHPLuNoNQxzHVYWfZpQKr1Vtlt74/wCKaV8Hdp9/fr5ebrXh/wCNEWe38OS5tZuhzWXCKe1Y6SGSm0uaOJ8XSat5wrRLx/V/pqcFJy47a447LcJj8J9vklPZz4R6IzbNY8xmtHQSNdxXEFs7uoZ/7xjR8reEnfVNHP231DusOOaRbWOyZ4zXzfrq2uxsbKwtY7SygjtraIUjhiaGMaOYBS5GXLbJabXmbWntl7oxiCNzDO7e1BZEO/uB+jaaAH7Tlw+oddw4Na19/J3Ryjzz9pbWHaWvxnhVq1/e5nevrdE92PNibgwdW/pK8Vvd9n3U65J935Y+H7eWXYw4seOPd5/exmgBa1a6MsyvVkClAgICCr5IoYnzTO4IoxVzjyKK1m1orXjMkRNp0jm1HMsxmzG443dmFmEMXIOU85Xptrtq4K6R8U85+3Y7GHDGOunaxwKLNMsiqIEBBdHLJGeycN7TsSLTCJrE82VFcxyYHsO5Ds8qy1vEsNscwtlu2twj7R5dyi2TuTXFM82K5z3mrzUrHM6s0REchQl5y+aVK1XSNJH/AOrWPsv/AMxyPMdQ/wCot6PYkmse91GCpUxGrWmYjmyorRjcZO07k3LJFO9htkmeT3B3K7Ggdef/AAH+NH85U9jf6T/xvRLQu+jjb2jjuaNqpNoh6HwzLHluJJMPNbyD6Vim8yy1pEPIBVXVUoEBAQEBBQiqRKYlmZRmr8vm4H1daSH3jfVPrN+lau92kZq6x8ccvL5GHcYIyRrHxQ2s8Lmh7CHMcKtcNhB3rzkaxOk83I8krVZKocQg8pLO1kf3nAGzH9IBiotXVat5hF37MzY/u2R+6OyVuNek+iqRSI4yzRfxLLfL42dqU8b+Td/Kotk15LaMriAFBgFjS9GWrp20eAIzt4ht6Ar1rMqWyRDItbG0tQe5ZR52vOLvKszBNpl7EohRAJRKsUU07+CFhcd/IOkpETPJFrRWNZStrlEUdHznvX+r6I+tbNMMRz4tTJuZnhXgzicKDADYAszX0UAJQec97b2o946r90bcXfyKtskV5rUxWvyQt1ci4lMgjbHzN38551qXt4p10b9KeGNNdXkqrCC4Nqo1EdmOfWNkCwHvpx+jacAftO3K9MU28kImUFHBqHVFz8Paxl8YIDyKtgiB3vd/4PIt3bbK+afDjjXvnu88sd8taRraXZrC1FpY29qHcYt4mRB5wrwNDa06l9Ew4/BSK/LER6nBvbWZnve6yKiAgICAgICAgICAgICAgICAgIPG8srO9tpLW8gZcW0opJDK0PY4c7TUIvjy2x2i1Zmto7Ycn1d4HgF95pWXuztOVzuPAf7qU4t9l9RzhRo9f0/6o5V3Ea/1R+Mfl6nLrmK+y+7dZZlbyWl3H58EzSx1DsIrtB3EYKr1lLUyV8dJi1e+F7XtdsRWYVD3RyMlYGudG4ODXtD2Eg1o5rgWuHKChprExPa6XZeOboMm7mfKAcziaGQ9y4MtXAAipBq6MNw7Ir0hW1eWy/S3iy6xk9yeevxflPn4Oe6i1NqDUlz3+b3Rkja7iitGVbBH7Eddv2jU86h6TZ7LDtq6Yq6T39s+n7QiXSRx0aMXE0a0Ykk7AAobkRMt80p4O6gzrgus5Lsoy8mvdOH71IK7mHCPpfj9lTo8/wBQ+o8OD3cX+S/+zHp7fR63ZdOaT0/p21+HyizZbhwHey+dLIRvkkPad/4orPEbzqGbc28WS2vk7I80JdGmIMa8zG1tG1lf2j5sYxcepaG96lh20e/PHujnPo+0MuLBa/JAXuc3l1VrPcwn0WntHpcvGb7refccK+5TujnPnn8I+908W1rTjPGWE1gC5VaRDPMrwaLIqo5kbvOaCmiYmYeTrWI+aS35VHhhaMkrHWkg80h3yKPAtGSHk6ORvnNIVdJXiYlbUIle0VKrMolrupMw76cWUTvdQmstPSfyfgrudM23hr/JPxW5eb9XR2WHSPHPOfYimigXRmW3KqIEBAQECihIgKUCJectSKAVJ2AKFqunaMtSdMWPeYUa/sj+8cssY+HF5TqWT/7i2nk9icAa0cLRQcgV2hzESFzWCrzQJM6I0meTWfEG5cdOEx9n38Qrv3qlsnDSHV6Rj/z8fllzyPZU4k71ielsvUqiIEBAQEBAQEFrhUKYlMSndM5gTxZfKdgLrcnk2ub9IXI6rtv/AJY9P5tHe4f3x6U04UK5MS0YUUggrxbig8ZLSJxq0lnKBsVJxwyRlmFY7WJhqe27lP1KYpEItkmXqSrKKIFUSoOJzg1oLnHYBiSoOSRtMme+j7k8I/Vjb1ncs9cHzNbJuYjhVLEWtpbue8sgt4xxPe4hrWgb3E/StitdeFYaNrzM6yi7TWGi767FnZ59l1zeE0FtDdwSSEndwNeXLYvss9Y8VqWivfNZUjLE8pSk/cwsL5HBrRy/QtWbRHNlpradIQ91m8j6stwY2+ufOPRyLBfPM8m7j20RxtxYFCSSTUnaTtWFsaqqUKhpKjUeF7mFnYs4riQB3oxjFx6AprWbciZa5dZ5mmZzi0sIngvwbDCC6R3SRuW1iwazpWPFZS1tI1nhDZdPeGDnFlxnr6Db8DEf8yQfM3yr0uz6DM+9mn/TH4z+Xrc/LvuynrdAtLO1s4G29rEyCBmDY4wGtHUF6XHirSvhrGkOfa02nWXqrqiAgICAgICAgICAgICAgICAgICAgIIrUOl8i1DafC5taMuGNr3cnmyRk72PbRzeoo29nvs22t4sdtPZPnhxrVng9qDJjJd5K52bZc3HuQP3qNvsjCWnK3H7KrMPb9P+o8OfSuX/AB37/wBs/l6fW0aO6aSWuq1zTRzTgQRtBB2FQ700VknjaK1QispzSug9TapcH2UPwuXelmNwC2Mj+zHnSH2cOUhTo0N/1XBtOF58V/ljn6e77cHadH+Gem9NBk8UfxmZgdrMLgAvBO3u2+bGOjHlJU6PDdR63n3XCZ8OP5Y/Hv8AtwbapccQWTzwwRmSZ4YwbysOfcY8VfFeYrValJtOkIK+1DLJVlmCxu+Vw7R6BuXkd/8AUd7+7gjwx808/RHZ6fudHFsojjf1IqjnOL3kue7Fziaklec0m0za06zPbLc104QuAWSIQKQQEBBVEFUFHMjd5zQVExCYmYeF6IbSxmuqkGJpLRtBdsaPKpxYP5LxXvlfFM3vFe9obYpCS9x4nOJLjvJOJXqZrpwh6CbRyVLXDaFRGpVQlQuAQ0WGZo3otFVnxMfrBSnwSfEx+sEP45PiY/WCH8cnxMfrBQfxyfFR+sPKif45BcwkjidRu8jFETjlmCa1EdYnA12urUrYrEdjBNba8XTdHuDtMWRG9r/8xytPJ5bqMf57fbsSh5TgBvUNR4S3bRhGOI+tuWOb9zLXH3sYuc51XGpVObLpEckDr97W6axNP3iL6VEt/pMa5/8ATLnzLmOm0KHpJpK74mP1gpV/jk+Jj9YIfxyfEx+sEP45PiY/WCH8cnxMfrBD+OVfiWcoQ8ErhK0qETVeCCpV0VRAiVGSvgmjnjNHxODh1KZpF6zWeUk1i0TE9rdw9ksbJWeZI0Ob0EVXkvDNZms84cLSYnSVqlIgICAgIKFwCjVMQyrXLLiejn+6i5TtPQFlphm3khiyZ615cZS1vbW9s2kTaE7XnFx61s1pFeTTve1ubJixKi0sVnxN4+eJmttRarv8gzVsmWZRlly+O2yihYHcDi1s8p/Sue3tNPmgHs7ST9R6B03Bhw1yV9696/F+Ed321c7NaZni5d8PVtQV6GLQ1vG+k/uzeJOcZvJd6Ozu5kvXWsHxOU3Ezi+RkUZaySAvcSS0BwczkAI2UA+cfWvR6Y4ruccaaz4bR2eSfz7+HldbYZ5+F3KRlCvDVdmJWgVVhSWWGCMyzPEbBtc40URrPCDVruZarJrFYgtBw75w7R9lqz1xRHxK66szItAZ1m7xd5k91lbPNSZMZ3jmafN6XeRd7Z9Gy5dJt7lPv9XZ6fU1M27rThHvS6Pk2QZTk8HdWEDY6/nJT2pH+084n5l6na7PFgjSkae2fS5eTNa88ZSC2mMQEBAQEBAQEBAQEBAQEBAQEBAQEBAQEBAQanrDw003qdrppozaZnSjMwt6NfWmHeN82Qe1jyEKNHY6d1vPteET4qfLPL0dyA0j4I5Llcgus8lGcXbHVjiLeC2bQ4Exku4z7RpzJo6HUPqfLljw4o/jr/tevs9HHyulNa1rQ1oDWtFGtGAAG4KXmJnVVEBIAJJoBiSVEzERrIiL7UMMdY7Ud7Js4z5g+tea3/1HSmtcPv27/wBv6+zyt7FspnjbhCDmlnuZO8neXu3V2DoG5eSz5sme3iyT4p9nm7nQrWtY0rCgACiKmqqsCAgICAgICCo2qEIrVsxZlUcQ/TSgHoaC756Lf6VXXLM90Nvp9dckz3Q1ZmxdyXVldVQha8NpiFGiYTGndGzZu34qeR1vYA0BGL5CDQ8Ndg508LT3nUow+7Ea39jb7XSunrIARWUcrh+km944/j1CeFxr7/NfnaY83Bk/B5e3D4OAD+6Z9Shi/kvP7p9cnw2Xf6SD9kz6kPHf5p9cqfDZd/pIP2TPqTU8d/mn1yvjsLKQ9mzgpvcYmU+ZTETKLZbR+63rlktyvKwMbSBx5e6Z9Sy1rEMU58nzT65WSZTl9Kx2sFfVMTPqVbU7k13F+21vXLGNrZxuI+Eha7eO6YPoWONYll8dp/dPrllR3UUcQY2IMDfNYwAN8g2LJ/IxWxzM66vCSWSQ9o4bmjYsczMslaxC2iLKogcyKRvBLG2Rla8L2hwqOYoRMxxidFBa5d/pIP2TPqQ8d/mt65Phcu/0kH7Nn1IeO/zW9cnwuXf6SD9mz6kPHf5reuT4XLv9JB+zZ9SHjv8ANb1yfC5d/pIP2bPqQ8d/mt65Phcu/wBJB+zZ9SHjv81vXIbTLSKOs4COQxM+pD+TJ81vXLBvNKabvAeK0bA8/pIPdnyDs+UI2Me/z0/dr5+LStQ6au8kka/j7+ylNIp6UIO3heNx+dRo7mz3tc8acrR2fkjAahG1KqIWvGCmq0NqyCQyZPDXbGXM6gcF53qNfDnny6S5O7jTLLMWqwCAgIKEgKE6PW3tLi5Pum9ne84NCtWk25K3yVpzS9pllvBRx97KPSdsHQFsVx1r52lkz2t5IZha4qZyQwaqd2U/khPiY8+YW9ueAe8l9VuwdJWtn3Vax3yyUw2tx5Q0HUOSZFqiC5s89soryCcvAL2gvjLqjiiee0xw3EFfVNnaceGkV4e5X2Otl2tbUisxrpD5d1F4I+ImRSScNh/EbJsc0wurRwe0RQYuMgPCWu4cQ3fuqu3i3dLeR5fP07JSeWrL+7fcSM8YMoaw0bNFdxyDlb8LI752hcn6viJ6bfyTX/ehTacMkPr+cAOJOAG0lfIay9HWeCAzLU9rbh0dqBPKMOP9GPyupbFcMzxngmZYOWZFqPU83fMBFsDQ3UtWxNHIwDzvwesrqbLp2XP8EaV+aeX6sGXPWnPn3Oi6e0Rk2TcMwb8VfDbdSgEg/YbsZ8/OvWbLpOLBx+K/fP4dzl5t1a/DlDYV02sICAgICAgICAgICAgICAgICAgICAgICAgICAgICAgwb7OLS0qyveTD9G3d0ncuP1DrWHb+78V/lj8Z7Pb5Gxh21r8eUNfvMwvL0+9dwx7om4N6+VeM3vUc+6n350r8scv19Lp4sNcfLm8Q0BataaMkyqrIFIICAgICAgICCo2qEITWIPwlmdwkcD+Kun0j47eZvdO+K3ma63YuvLpSqiFkgPCi1XTtMTwT6csu4pSOMRyNG57MHV68VbseV31Jrntr2zqzHB1VDBCmKJUEfGaBtTzJpqnxaPZliwYvNT6u5XjFHapOaex7cJAoNm4K3hY9VOFyjROq18jIxVxx3DeomYhMVmeTEmuHS4UAaNnL5VitbVnpTR5qFlEFUBAQKFAoUChQKFAoUChQKFBc1rqoiZROuLi3i03LDKR3tw9jYG7y5rg4kdACS2+l0mc8THKNdXO2bFD0srkVWu2KYTDaNMxu/hPTK+nyLz/VZ/z/AOmHM3s/5PQkjE5aPia2qwtIU6ihKlJGyWZ/BE0vdyD6UiJnhCLTFY1lKWuTxso+5PG79WPNHSd62KYIjm1cm5meFUgCAA1ooBsAwCzTLWRWpM1msLWNlueGe4JAft4Wt2kc+K63ROn13OSZv8FOzvmeXobey28ZLTNuUNUF1mBcXm6m4jtPeO+texnb4YjTwU0/th1v46ctI9T1F9mnDw/FzcJwI43H6VinY7a3PHT/AMsK/wAWP5Y9S1t3eM2TOWC3Qtjb/wCKqZx1nsWsca1ricSt+aaRERyhZ7vzG1srd1zeXEdrbMxfNM9scbelzyAFWtZmdIYcs1rGs8Ice0D/AAG98e9RanyaOKXJcvt3cFza8RjmvLpjWPdV2FXEykluGFRtqub9W5/DsqYZn3r2j1V4/wDtcCta33Fpryj2/bV1GaXPtQ3ZtbOF0g2mKPCNo5ZHHDyrw+z2tsk+HHHit9vU6F71pGszo2/T3hnY2hZcZs4XtyMRAPzDTzg4v68OZes2fQqU0tl9+3d+39ftwc7NvZnhXhH3t1a1rGhrQGtaKNaMAANwXeiNOENFVSCAgICAgICAgICAgICAgICAgICAgICAgICAgICAg8Lu+tbRnFM8NJ81u1x6AtPeb/Dt665LaeTtnzQyY8VrzwhAXud3dzVkNYIeY9s9J3dS8bvuvZs/u0/x0/2p9PZ6PW6WLaVpxnjLAawBcatNGzMrlk0QEpqKcQTU0OIJqnQ4gmpocQTU0OIJqaHEE1RoqgKQQEFQoQjdUQ97kznjbA9r+o9k/wBJbvTb+HNp80aNnY20y6d8NTYahd6XXlcoQoRUIlkZZm2Y5TOZrKThDvzkTsWPp6w+namrHn29M0aXj820WviNauAbe2MjH73QkPB6ncJTVycnRrfstHpZzdbZCRVzLgcxjFf6SyVp3teel5v6fW9W68yBoo1k4H92PylmiawrPSc0/L6z/f2RerP+zH5Sawj/ALTm/p9Ydf5CBUicD+7H1p4qwR0jN/T63kfEbINgZcdPdj8pYrZY7F46Nm/p9byOvNOONXR3BPL3Y/KWLgvHSs8dtfWsdrrTgGDbkf4Y/KUaQtHS8/8AT60tY3MOYWMV7bB3cTAlnGOF2BLcRjyJo1MtJx3mlucPQgjaKKFdVESqiGNmmaWmVWXxl2HmHjaz3Y4jV2zCo5EZcGC2a3hrzRY8QNOkeZcfsx+Uo1bU9Iz/ANPr/RX/AH/p31Ln9mPyk1P+05/6fX+h/v8A076lz+zH5San/ac/9Pr/AEP9/wCnfUuf2Y/KTU/7Tn/p9f6H+/8ATvqXP7MflJqf9pz/ANPr/Q/3/p31Ln9mPyk1P+05/wCn1/of7/076lyebux+UmqP+05/6fX+jCu/EaMAjL7FxdukuHAD8VlfnTVnx9Gn99vU1W+v7/Mrk3N7KZZdjRsa0eq1uwBHXxYqYq+GkaQ8wKIsqiFzGcSjVaGt6y+8BkWiA7T9hYOzbO4GNdMS7u7aKWRzi6OQ043OY3hNG4Y0qCCsmz+lcu/v/Ne38eKZ0jttMR2x2cZ1593J5TqO/j+W2nHRpWW/e21Iy5rmun7Ge0JxbavmgkDfae6dpP4K7Gb6CwTX/HlvFvLpMfd4XOp1C2vF3fRmtdOa2yQZvkUrnRtd3dzbSjhmgkpXgkaCRs2EEg8q8H1HpubZZf48sceyY5THfH21dXBuIvHBO2drbzTcM8vd8jdhd17AtfHWLTxlmy3tWNYjVNMhigZwRMDG82/pW7FYjhDQm02nWTEokc+OJnHK4MYN5UW0iOJETM6Q13UT25i2I27CXQE0JwLg6laDqXQ6H1fHt8s1ycMd+3umOXodHZx/Hr4u1BMG3iwptruovd2rrxjlLftLXM21ZPFcmHLwwiOodI9vEK9BVZxeKNJmY83N09l0zx18eTWInlH5prT2tMmu+G2zWCOzu8A2enuXnnrXgPTgvJdY6X1Gmt8OXJkx/Lr70erTxejj5GtvukZae9imb17u2PzTmcW1lbt+IMrYi5tWxjHjww4QOVaPQ/qLLTTBlib620i2vGNZ7deftcjHudOEtM1XpG01xlbMpv5buzse8bJJ8NI1necOLQ8PZIHUOIX0Ct/457JNzhjNGk6xDWMi7jTFgMqyazhtrKGQulidxPfK+tHOlkqHOceGmFKbqLk5+i49xf8Akz2ve/n0iI7oiOUPQbb6c29aRGtvP9odx8MtY5ZqDLJ4LezZl15l7mturSPFhDx2JWmgJD+E7cajHlO9j29MVfDSNKvJda6Zfa5dJnxVtyn8G5q7jCAgICAgICAgICAgICAgICAgICAgICAgICAgICAgtlliiYXyuDGDa5xoFjy5qY6+K8xWsd6a1mZ0hB32oXOrHZNoNnfOH9Fp+leT3/1JM61wR/qn8I/P1Ohi2WnG/qRDuOR5kkcXvO1zjUrzNvFe3itM2tPbLejSI0hcBRWiECsCgZmWsjeJeNodQilRXlWxt4iddWDPMxpoy+5t/wBU3yBbHgr3Qw+K3edzb/qm+QJ4a9x4rd53Nv8Aqm+QJ4a9x4rd53Nv+qb5Anhr3Hit3nc2/wCqZ5Anhr3Hit3qiG3/AFTfIFMUr3QibW70VcAC5lAFAHGgC0L/ABS3KfDCxQsICAgudFHPDJBJjHK0sd0EUURaa2i0c4RFprMTHY0GWCS2uJLaXB8Ti089N/WvVVvF6xaOUvQVtFqxaO1VEFVAuZA9+OxvKVaKzKJtEPdkMbNgx5d6yxWIY5tMq8AUmp3bUPE8nysbgwcR5dypN+5aKz2vBzS81disczqyROindtUJ8R3bVJ4lkrBwotWXStIimlrD2X/5jlLy/Uf+ot6PYkiUaq0tadoUaJ1lTuhuKeFPiQOv4nf7apt9/F9KrNZdDpNv8/8Aplz5kdBiKKr0c2XcDURqd21SeI7tqHiO7ah4ju2oeJXgCGqoaERqqgIgRLNym1kvLyO3jwLsS47ABjUrW3eaMWObSx58kUxzZ8e6jyLU2U6hu7TUVrNBmz5XyTGZprK5zzxStdse1zq9puBX1TaZaZMVbYuNJrGnm04Pne4ras+9z8rzGVyOZxScMTeVx+hbUYrdvBq+OOxt/hJ4kReHWppLqQSXuU5gwW+ZW8eBDQ7iZMwHBz48aA7QSMK1XG+ouiY9/t/DW2mak61ns8sT5J/CG3tNzatuMcH2BDcWWYWNvmFhK24sbyNs9tOzzXxvHE1w6l8WtjtjtNLxpas6THlenxZNYe9tmVzb0a73sQ9F20dBWWmWa+WDJgrbySzJ86iDB3DC55HpYBv1rNbPHYwV2068ZRcss07+OVxcd3IOgLWtM25tutYrGkKDBUtXUljZvYOucuuTbAi87pxi4drnAVDetdfo3Wsm1vGO864Jnt/b5Y/GOTJhvEXiLfBrGvmckja9jnRytcyVpIkY8EODt4IO9fSZmJjWs6xPKYe8nSY1jk9HRtcErfRWLaMrL81urGVnFWe3YR7lxOAHqnd8y0Nz0zb5skZJrpes66xw18/f7Whu+mYc8+KY8N++Px72+RZplhgZc/FRMic0O7T2giuNCK1qti2urz99vl8U18MzPmc9v3Qy3tzLDXuZJXujqKGhJKyQ9Zgia0rFucRDefAiCmc57MNncWzPK+UqLPL/AFh8OL/V+Dsiq8OICAgICAgICAgICAgICAgICAgICAgICAgICAgbEEVfZ/bwkx24E0vKPMHXv6l53f8A1Fjxe7i9+/8Asx6e30etuYdna3G3CEFcXFzdP47h5eRsbsaOgLyG53OXcW8WS2vsjzQ6NKVpGlYWhoCpFU6qqwrRTogomgUTQZuVDCbpb9K2dtXmwbieTMLStjwsGpQp4U6qUUTAKAUCrdqtCJRFz/zUvtFc/J8U+du0+GFihYQEBBVpoVEolC6pyszRDMIBWWIUnaNrmDY78H5l0umbnwz/AB25Ty8/6t3Y5/DPgnlPJrkIdJ5o6TuXa8MunbgyY4GNxPad8ivFIhim8y9KqyhRBa+VjMNruQKs2iForMsd8r37TQcgWObTLJFYhaqpFIICDzl80otV0jSP/a1j7L/8xyl5jqH/AFFvR7EijWESqNqIQmvf+3P8eP6Unk3+k/8AH/0y0KM9lQ9BKpYw7lGhrK0xDcVHhT4lpjeOdRonxQtII2iiJFCRSgQEBBY91ArVhaIbdprLjZW5nlFLiYVIO1rNob9JXmOq7n+a/gr8MffLkb3N458MfDDh/wB6S+DbLTbRQXUs128SekIw2PiFeQucF9l6ZE4q+CvCIrWPU4nWqV0rEx3/AIODtc94q8lx5SardtMzzcCHjcRgtKvSUxOj6U+6pqm6zDTGbabuXF7cmlZPZEnEQ3RfxxjmbIzi/DXzX652Nceemev/AMkTFvPXTSfVOnodvp+SdNHZXjFeNh2FtFKSiIXBqiZEdd6ks7aQQwETTE0JB7Dek7+pZdvtIy5K1vwra0RKvCZiETm2WWecuMlx2Ls4NuW+cOQEekF9PwbfHt6RjxxpWPt63Y225vt+FeNe5pt/YzZfeOtZnNe5oBDmHAtdsPMs0Tq9Dgz1y08dXiQCpZdVvdNrWiJ8Q4UahEuheBL6ZhnrKbY7Z1egyj6VEvL/AFhHuYp8tv8A0uvKrwogICAgICAgICAgICAgICAgICAgICAgICAgIMO+zW0s+y93HLuibievkXL3/V8O24WnW/yxz9Pcz4tva/Lk1+9zO8vKtee7hOyJuzrO9eL33Vc+64Wnw0+WPx7/AGeR08WCmPlxljNYAtGtNGWZXK6BSKjaphEsEySVPbO071y/HbXnLY0g7yT1z5U8du+TSAyS+ufKnjt3yaQysuklAko920bzzqYy3jlafWxZqxw4MrvZv1jvKU/myfNPrYvDHcd7N+sd5Sn82T5p9Z4Y7nraSSOuAHOJFDgStnY5L2yxEzMxpKmWI8LNK7MtcUCrdqmCURc/81L7RWhk+KfO3KfDCxQsICAoBge9wawFzjsASImZ0gnSOb1cyWB1JG0r1gqMlJrzUiYtya3neWfCuN3bMpaONZGNGEZPN6vzL0HT+oxkjwX+Ls8v6unts3j923xe39Uc1wcKg1B3rqTDYmNBzmMFXGnIqTMQREy8H3D3YN7LflWObzLJFIh5UVFlVIICAgIPOXzSi1XSNI/9rWPsv/zHKXmOof8AUW9HsSKNYRKo</t>
    <phoneticPr fontId="1" type="noConversion"/>
  </si>
  <si>
    <t>data:image/png;base64,iVBORw0KGgoAAAANSUhEUgAAAOEAAACVCAMAAACZ3m2fAAABfVBMVEVHcEwibpHf7vFclK36+/t/rb9Qjqepy9dLiaORuchDhKAtdpZkma8vd5dxorY9gJ4mcZMpdJU0epqDr78tb38yeJdDhZUcao7///8xMTH+/v36/fv8/Pscao3L6u73+fj///4aXHcbaY4capAba43+//79/fwaa5AvLy8cZIPK3OSju8UpcpT39/b5+/q93+Pj8/fD5Om02d3W7/XN6u33/P02eprx9PXg6e0dkL4VaY/Nzcz9/v/r9/mCpK4bXnrK1dna5usaZonx+vuausYfbZCet8KqwcpMUFEyNDXr7u+vw8vT3uPc8PXtKE0/QUIdkbzN7fCMssAfaYmvtLghISG7zdJfZGQ2Ojre3t4pP0mFkJPCw8IkYXplma6Mmpxmbm95homkqqq+2993e3vIvzPf2Yivy9Cr0+SCrL8lSVjE1sfsQWPk4Jjhb4nxq7nrV3UymsH55+vvjaHGzaweVWtLpcf0xM720thZiZv33+O3kaPStsHu79Mpia7WmLUMAAAAF3RSTlMA+gtzBTeIFZwerehb3Uu/9u/SKkGzPbxI3HEAABKMSURBVHja1JuJVxpJHseDKCrIpZM0tjSQ7oJWCRCMDk5Ag8YW0MQOigKBDJcbzTGTPbKz+1525m/fqmqOBrvpwhRoviR4xPeST35n/erXDx6MT9PzDovTJnEcwzDojYPvXTH4m5zNaXEsTT/4ETU1Y7YuuiRRYdETEBjJZbeal6Z+PDxsPA4AxkAczzCiZHOaZ34gyKUFq01ieMQHgCAMJ0Q/w4mAk2zWhfkfxHwWu6kbeETieYYD8OdNdsv9N+SUw+qWiNFuoEpuq+NeM04tWF3QIjwHbkcIREa8z4zTDqtL5BkBhtYtbYgzD2K8n+VjZs4twohCpmC+U+65mfvHN2u2c4zAMVTES3bz7H1zUKeJF0U6fDCxCoLJea9cdd7i5lBhY6ghAoZzW+5PeXQ4b18gdCUCyem4JyXCbAMCMwZxwGa+D4Vjfs6kZFDKAsjvTXN376kzTon7rvo3hBC2tpLzruvGgl3gATNGCfaFOy0SMAQ5ZqyEKBin7zDHuPizs3G4qMpZz0TXneWbKYsL2k8cS55Rnx85l2XqrgCF8dqvq7tBnLKYeAGASQAC3nQHiMhFRRGozuk0NTiu4idvRZhkOEZ10BV+pqknA4cUAHjXpDPqgguoqwT/5GpvBG0b6BTW2IEI59yTrYsOG+D7Kv2TdX+ko6hK3p5CPbFdBbTkOdgH/I2jv22SffiMHTB90cI/We8CRvw9acFGtVlVChzs35hBAl5cnFwDN49OS31plFfZUAdQhaoC1LOhMHia5jlOcE6qDZ+ak270VtiGCSJCtQk92jpcA1rzAmluQgnVjCZqWoRkJlT76GiEnMs8oSAUYLOoR+inYEI9QoG3TyIUZ50iw3EkhMZRqE8o6kw2nOMfwU1bJC3/GU7oHc2EnoMXmnNJjhFM5glUQpEbQqhtQu9IUQhtqEcoCraZ8fsoN8SG2lHo9Y5mQj1CHIvWMfup2cQQEmpEYKezUTCDHk9ARQXrYLDz9eFjXpsQXcGN10+XFrWPuySEne/6o1uY0J8YkDfVteFj3btxjl9cmnia6REOA0xlfu3oACH6LzLHGbWOXwV7hGec7lRDsozxlDFjY25NGPqw/7ytX/0wzUDCAb1Seem+LiEHxphsNNo1PUKNVubD8y5hFHWkkRteGugRrg2ZvklzYzOiw302jLDHF9GohWpCP0qkKU+gv/GGhwoSQoYfmxGn5sQznohQqxb2E7KeIMumgiqxbHAlSETIjM2IMzYgCrqE/lEIYbH3/vZ+QH+yhITMmIw4PSfpzg75fsIe39aKcuxd8a6o4xCWv8jfBvWelJAfUzpdsuuPfiFhVMuEie1nyuTl2esoIhSf8wASJo7KyWoTMr3/TaU/g4SEQLCPpSaaJYaQsAvIXv+joz92ECF4Loprj9/Vs3IJSs4WK4W9reBKShle9DLNi7NhN66Al8bR2Mw6hwy4dQhD178oevPLHwnFS198fLu8irQMBT/kso1qxIMyTYhNpbqnJ44fQigAZhynKIeLJ7ShKstcv4FwWNiG4ouPueV+QchSPRkdOD3tG92auxxjyDNgVMKtQcL9f5dUZPB351O5sj0iIZijP1+zD7snVBMm1tPKK70e6SNc6xgQOWdJluXSsuKs8EMxORohY6c+d1sw8WSE0aNMuK1MQk24+7bNl5PrlWb4+DjcrF1mc+2IzFbZkQhN1EfgsJ8Rv4vwIqugwNRy2oq11bpo1kvK9+WCh1URGlxKcgLtvmZ+URx2kdYljPi92oR/KYDL2caH00wL6xMUfGsWcUCuylUPOSEDFudpZ1JAROiPahP+9RED5oq7p6eQMNaKrX/62tElNuNqtjwKIe1sapGGxoUR4Zt32IC5+gcIeHoQ3366E0kc/Yms+Onrp681GSPWE+RxyEgWuscKp8EyYYcwqk34BJeJ3CXiO83sbaW2XkLtbEL54rFWaxchruaaHUJeNN4ic1Id8S/ZeBLCiBbhG+Sj2IR1bMBWIrrzOr+J6aAUxlpJ7acH+8aEnG2Jbq0gs2FUm1DChTCLYvBgb2Wv5RsQRLzECbVCTghMDrpheHtC6KQozayWKhhwa/3gCpnOF2tttNWCn4VRru0YkYBQ4KgG4rRVJCJEvdpKj/AYEiL9nMN5BAGue9cPTq+w4Tb6dF1BP9SORBJCHlgpVsTZRYaYMBrp3cf7n+K63kCZUj68vt6Iv0zAQhHDARjv1xU2Yj1CSMgBcZHi+WLJbbC8phD2D7fhC7+ziSIiLLZi8c2d6LNu8LUzTeeLeKPnpkRxyNNMNQ4TR2DD3nQbX1UotxVeL1vG1a4Wi8WfeXfaZJsD8vnyhyid5qrkhDRTjVkaiVAZQCmM3pCnmkN5JhyL+56GXvt01cJuWlMIAWe8TwYoHvQtYBRC7JzdHRPW08Sl7iLm29x5ualP6KsjwssoOSHFZGoFBJmmN33q1xEOsOJGLB6H0TZEys8liAl5esl0yklAuNIhTIcHhG1TvNowkpJqtokJmYfT9IqF0aNaXI9wa/tiQG1CdKDYiLV0X7EKSkg4mRLakF65mLcbNokqG94YnGLb1Fs+A+UrSrlgiW1Ib5IxbzPKNGpC1SqbF49Ba9iGLdio9ZXAG4RKHKZDmJDgCZXntnmKBZ+ccCvxakA1nEuv4vEY+qX7imFvrqe9CiHB819uatcXj1w8uZdupQ/7FcYdZ+nUKNEobVujjAlJtqt51yNahD+ZmBHi8Cg9oLCMTkaVmIFO0SwjVxuB0PTT3RB6Ye1XXiHc2KzgvnS1GDdINDgM5UI5dDeE5NXC270x7OzOeHCqkTN5fTyYgjawkxarSi4legaAJuEI9fDm+pMniacwl3hioWvCGp7kVJJKxZ+4DW9D2F1/Uo5Pq6XDvB7hpi9/oZzxC0ncta1N2IaPbkOo2u8KNPEhv9jS99P4JZ4nXibTfmJCzkQtl864ecJ6qL2EyJaLyr9fN9ls1vD/ATQhCkNCQor1cMl2C0L1EmKkiQ/BuYoO4uZu+8+TySMPOSG9Qz7sS8kItZcQWQ9bvlRm3o2YhqPmN9sz72I1mY6SE1LsS2fthD2NilC9Zcl6EtWicm9Rv8r3pxgI2Goo10+5WtuEkJCoa6N3tphyMqNkms4zFbDrxiYMBgKpcqF9uZattfJ5X7dw5PPxZrF9r3guN8vRDiHJs/305vrTD4VRc6nqQRnWk/InjpLN7v1h7aobjvGNZrHUvuw+Pz+Xk0M32QdtSO8E/GBOGKFrS8BW9AK/0hd7eNd5+/j4+HC3kW3balkuNnZPYU++W6lnc5177nOkbNoTTZASMhTv8s2SMWGoY72jTPNbAR7tC9++FdIQMAAJM5lMc7dSzHV3E5ZLJbmUW+3c4y9ns+cKYrJZL5PakOKsbcFkcECEhJ0sAwl/P/n7f1f++fvJ50KahYSBFF6uTFerlWwbqb2M0d3FaFSrRQVRLq0Wy+E1w0c3ASPSvMqfcRPYsEf4v88QEQJ+uUqzaAmITUF5ouVksnApL68O7tPI9WYymWwjQvDVYm1NNHy4GAA3xf29eftIhHv/+Xzy+eTky8urdBARtrcsEWKy0MiiJZPOShRMPJeIDyHWIaCyj/L2saGTCoCjuXAy7RRHImS/nJyc/Mvvx4SBQOLVuqLjAlQT5hdZ2WuTs/VmVeErb0PErue+fYce8+eH2/AhzW0Mo/vDAcIVNWHQsxc+xK9w+HC3pqjSgKpUath+sJU5CrHbyUZvJeztOxhow/9Kuhf5RnfA2l4aaRP6e1Op9XS1oFYV4iXT27jQV/9f3fn/tG0FAbxO+JKGBEj4wZZjC8f2s5sVIkuVF6Q+E4qVIjLSSY1UDTrQNk2qhiqGQKjA+sfv7tlJ7JAYh9pJOFUlFKrko3t37+753t2vARMFLUbWt+hysjVDkF08zdMgIWHXRby7k4oitY/33vbkE67Ptl+31/h8GEKMdKe6nGyhcKYcm9DA3eLrLb26xN0C6BigX2RBIIIDl9PYOT5mh1THO+1tQ6AiEahChO0hRJMfWy2o6nLCBZg5TY9qsxMm/O/iOyzI7xcXf+0pI+81iYrIAgRJRGhWxU7gj3T8dxhR08YVlvO6mXB1YoGLdG1BwsaXXw4gTDv4An8djb+fxkgBixqSbduUwM7ZePv7EGJEaJN06d5GUTZjrVLJkBqOf0XEaWwqkYSKSF3H8sStULH9AFEb965q0qXeC3ktynsPCFlGKFUMCvqhlETgUYVS1+o4LqjQRlBXNB4i4puqI2/pJV2un22pcewwzh3YHiGlTsex60yJwAlfbTpKiyMjuORr2TdW4thhvAuU3golFUCqW503nliuDd8Pa/EV2OKo5DThmi9vmUbl+SMIH1chALmMr+NROoBYiWuL+eTvlBSiKk5GEEbjwRbpWLaDeKA813UQ0rItR0TEPwKEoEXv8mjomiWXQh+Ql+XHfWlsFULGUbFc1KC1SWlFNCqM1nE7LnrUzyfBBAv3xdAjWkgey2k0kIiKvn3CSawQVGgBoNS4B9drX11RQOxsOhYVxPaf56F7GbhQQ4RJl8/2YtOVxwgnsEKRggpxXV5dXN4Sun19+U2y0BQ7Nvzw7KZ6HtJiLUQop3QDEXxNN5JQkmKrUFBspkKH3l9+uLyvX0MmYsCi7diWSwkFwhDi4XnI2WhaPp0LiKulaB1OoEJBcC0bgQwDMq0LSCevG6IIyK7jUFI5q9aaIcSTcK+YUkrNeDJ5U44ijG+FIA4SWhVwM5gtf7i4gtjbQUKLKvW76v5+EPHVSVcPxTNpdXEZfyVhiFCMS2hAYINL9Os9gcXpoDcFwm0g5EOIJ10tWKGQWj+lzNj6NiAUJwEk4Epd1KFI0RLBCiVqEE+HRGkAoakjYs+jnte0fnsTlc+n14hntaTHIJTiEPp2KFI8V4Vk+RsF9/qmA3YIhD9XgUge2OJJtSkPtopSii2xMrk4hDGskBDYFpgvbeBpxz0iEtvzpURpI6Epy6jFk8PD305umgNCXk+1lxLsifKjhGIcQgrpBGzxlduvuEJvLz9c15G43rGBcKtaw87SoMVm9eYG+OD7QfFzuv1blloju3mGCIVY4sc02/9eb1OJfru+wpgGUiiRKDtb1SZDAi0yqTb3+xpMJ5wJRqdmV4smFOMRVkCJGJe6dXCoBt10vOzCBcJ33WqzyZSGWkQZPBPWymm3NCusP0YoxBTwNZhRYJK/CS60n1sQ5ahHiLYIjLX9QS1I+s0FWfePB4/1A4QxVSgohuMhYn7Y8fJDB7YPQpSfToEQI0SwRV3uduXegZTMa1No2bZRxraw+hhCKbYKBcGwIPru5fgdL8cXCRWVvVNYmPsPu/SbspZq+53+Oi2Z2ljC2CqEFFhk5zRu6JyGQvCmfBpDyGvTaYDJGg2NJRTiEypUdPEY0bbtOjtrYz0HgPDLGEI11fZCweKTfGuspxGFicQ/L+2w81I8HyZIeNBkhMMPKvhWflojIRbLwyf8fUJhYiG0YtsV2u/6QQzldRU3CDN0Bg12oU6xvefq8JVSn1ASJycUqPeIWBgQvh9BqGvaNFu0LmSHKr97OhSeREhDOhXJx1E6VNen2mYXW13r4S67BPLDUFukx4T6jxXhpSIMKMEa//EJA3w8zy1Nt1UybPwhLSKhJGFCG1fwdxkp9trrPUAVsIuLtDtEqMPWP7XurEGHGu4jrEykQPbQ0LA3N7cb7fbOu6Ojvb1Pvxy8fv9xd/fsbGuIUObN6bnRQAwe2jNaZ7uTy9nZ3d0dtu/e6p6iNKu+NId0qLXys5jkwRD1ftrW/3jx5Wbw8tRLkgJS8zNRSBNnBMgQ+x1dTBk/4ZME/htE2tUgH/5zTfb2XA1CmfysZrHgiJm+rezXniawOEGBp0H1VQOEYIOzHDazvNTbF3HsjTm5sKdKMiRInuyD9NF9Qn19aZbjuzLZEuQZuqbK/md9gvhPz31gNheLUeNrjZdLM56ItFAomqqa1jAdoC0WZj6cbHGtpcspEWqzH4aEWnyZWzf5VKaxqOu5+Ri9lskWsU1FggN1NA3nr+rF7NxMs1zMc3I3QUId5+xy+Xka87icLZoJ2iIkg/M343Ext56gAZrrczinM1NY40z1R8cjycwtc2uFuZwnu5wtt3hT7/4IoQm7K1eetwUaCFSBUTV/QIOmJrfK2bkeXr2RLXOy+uQlanJzzsf0WFgr8bKq4tn/JHEAGKBeWissv3gGklnNlTmIxruxgzmcO65z5dzq8xkg/7KQL3KaFleJmskVc89kdnwgXC3kyqXWIz0sZdY8r1QGvIUXz1CWV5fWVlqYGmPGh5mf7o9FZnkhO4ThVvLZ1VSN73/tEqQQHVW+8wAAAABJRU5ErkJggg==</t>
    <phoneticPr fontId="1" type="noConversion"/>
  </si>
  <si>
    <t>data:image/jpeg;base64,/9j/4AAQSkZJRgABAQAAAQABAAD/2wBDAAMCAgICAgMCAgIDAwMDBAYEBAQEBAgGBgUGCQgKCgkICQkKDA8MCgsOCwkJDRENDg8QEBEQCgwSExIQEw8QEBD/2wBDAQMDAwQDBAgEBAgQCwkLEBAQEBAQEBAQEBAQEBAQEBAQEBAQEBAQEBAQEBAQEBAQEBAQEBAQEBAQEBAQEBAQEBD/wAARCACrAOEDASIAAhEBAxEB/8QAHgAAAQQCAwEAAAAAAAAAAAAAAAECAwgHCQQFBgr/xABaEAABAwMBBAYDCAoLDgcAAAABAAIDBAURBgcSITEIE0FRYXEJIjIUUnKBkaGx0RUjMzRVgoOEwtIWJEJUkpOio6Sz0xcmJ0NFU2Jkc3SGssHDREZjZZSVlv/EABwBAAICAwEBAAAAAAAAAAAAAAAGBAUCAwcBCP/EADoRAAEDAgIGBgkDBAMAAAAAAAEAAgMEEQUhBhIxUWGBE0FxkaGxFBUiMlLB0eHwMzRCIyQ1clOy8f/aAAwDAQACEQMRAD8AlA7k8DuSAKRoTAkRDWqQNQ0J4CEIATgO9KBhOAQhAHelA7kob3p2EISBqXCdjvRhCEm6jATkIQkx4LJGk9ltr1Dp6kvNRdquF9QHlzGMYWt3XEcz5LHAHFZ72ZHOhbeCRymHHl90cplFGyWQh4vkoddI+KMFhtmvODZHpPt1TUHydCnDZJpDt1LVH8pD9S9aGM/CFk/+O360bjPwhZP4hv1qy9Gh+FQeml+M/nJeUGyXRvbqGrP5aL6lLFse0lMC6G7V8u7z3Jozj5Gr03Vs/f8AZP4hv1rsLY1rWS4nopOI+9mBoHngr0U0PwrF88rRcOP5yVddR0EFp1JdbPS75hoKo07HPdlzgGNdk8Bx9ZdeQu81wMa81IP/AHDP8zEulIVHKAHuA3lXMRuxpO4eSjLUhCk3SmkLBZqMjvTCFMRhMI7kIURamOapiO5MIQhQOCYQpnBMcEIW0lCEJfT2tWzQpGhI0KRoTAkRKB2p4GEgHangdqEIAwngJAO1OAyhCAMpwCVCEI5I5pQEqEJN1LhCEIQs8bLjnQ1AOHB0w/nHLA+Csr7OtdaZtdipLDcrg6mqWOlcXyROEI3nkgdZyBwe1TKF7WS3cepQq9jnxANF817j3JcPwfaf4J+pHuS4fg+0/IfqXZRyRzRtmhkbJG8Za9jg5rh4EcCoq+rZb6Gor5IZpWU8TpXMhZvyODRkhre04HJXOSqNc7LLhe5Lh+DrT8h+pcqiiqImvE9PSxZxjqM8fPgvFf3a9IkBzKC9uBGQRRt4/wAtNO2vS3Za72fzaMf9xavSIR/ILa6CdwtqLHGu2Odr/UTGNJLq5mABkkmCJcGTT9/ibvPsNywOHCjkPzBq6nXd4ZetfNvlHFUU8FdcYZI2y4a/AbC05DSRzae1XIobIyv6rqzM6WZxAa08ySeAVUI45XPe42F/qrUuljaxjG3JHlYKv9v2I6ruFup7k25WaBlTE2YRz1LmSMDhnDmlnquGeI7FDd9jWprTbZ7kbhaqvqGh3UUs7pJn8QMNbu8Txz5AqyV40VNaYga6KRokB3XCQOGe7I7VBa9AVl4p31NBA90bDu7zpQ3ePcM80BlLq6+vlvyWsR4j0vR6ue62aqRLprUMMT55rHXMjjaXPe6BwDQOZJxwXVkKzOu7ayg0/cow2Rr/AHLUNe154ghh4KtGOCwqImxWLDcFboJXyFweLEKMjtCYQpSMJhCjqQonBRuCmI7FG4IQtoiEIS+ntau2hSAJrQntCYEiJwCeAmgYTwMIQlAyU4BIAndiEI58AlASAJyEIQhKAhCQDKXHDijPBHNCEZCM8cpEIQuysuor3p6XrLNcpqYE5dGDmN3wmH1T8mVkSwbZ4n7sGpLcYnfvmkBc3zdGeI+InyWKULdHUSRe6clplp45feGa73WNBaKS8OqrBWQVFsr96en6p33J2fXiI5t3ScgED1XDuXRkJu60uDi0bw5HHFKtb3BziQLLYxpa0Am66W/ercrS7uqG/wDOxXqsNbJbzS1sIDnQuLgDyPE8FRTURxW2s904/wCZqvFbuNFH8f0lb4AHRuB2ZfNa5XFkjHN22PmF6LU2p33ylZTtpOpjjO+cu3iXYx3cuKh0/rOexUDqA0TZ2hxfGd/dLSeYPDiMqGmusdFSuidaaGpOS7fnjLneXPkuJcLu2ug6htot9N6wdvwQlrvLOeSwFOwt6HU9m+/8KmelSa/pHSe3bd4bl4zaTPJWWW41UxBfNBUvdgdpYSquY9UeStFrxudPVf8Au0/9WVV4ch5BbqoANYBx81XwEmR5PDyTDxTSOwqQjimOHaoalKNwUbh2qZ3eo3DihC2gIQhL6e1q+aFIB2JjexPamBIieOacBlNanjvQhORzR2ICEJRySoQhCAEvyI7EAFxAAJJOAAMklCEiFkql2FamqLQK6SupIaxzN9tE8Ozy4Nc/kHeGMDvWLqivt9JNJTVNxoopYnmN7HVUYLXA4IPrd4UWnraeqJELwbbVOqsNq6ENdURlodsv+eBzU6FwjfLI32r3bR51kX6yYdRadb7WobSPOvh/WUm4UPVO5dghdWdVaWb7WqLMPO4wfrJjtY6Pb7WrrEPO5wfrouEajty7dC6R2uNEN9rWmnx53Wn/AF06HWelK3rGWzUlquE0cZkdDR10M0m6CAXbrXE4GRxRrDejUduXZVenq29uhlpIqlxpX72YoHSDPAjOOXJZAotp22JmorTbZoHvoaqpiZUOZaHsDI3SAO9bJDeBJyvYdHTSwtmh49RSXGSqOoSZzDIzhTmJ748A5O9nGexZOfDOHODXU4bngC3jjxU+CP2Q4OIuq+WYPJAAIFx9fFdfNVVO48e6ZcYP7sry2tLpqOi09UVOn6iYVzXxiPdi644LgHeoefD5F7Sanm6p/r0nL/Nrg9TN2S0w/JqxL2uaQMlAbC4OBJusIyal2s1dNNS18VZUxzNLCDaw3DSMEcB4rx1Xb663PbDX0c1M9zd5rZYy0kcs4PkrQxwyB4MkkLm9zWAFY521aZpzaodXipkE0dRHbuoDRubpa9+9nnnPDuVdURWZrFxNt6nxTBjgCAL7lhw8kw8VIUxQVOTDxCjcpTzUZ7UIWz5CEJfT2tYDeae1Mant5JgSInt5JzeSaOScOSEJyUJEoQhKgISjmhCF6/ZTYnXzWtCHR70FCfdkxxwAZ7IPm/d+deQwScAEnOABzKsnsw0aNIaeaKqIC412Jqo9rTj1Y/xQflJVPjdcKOlIHvOyHzPLzsmLRnC3YlXNJHsMs48tg5nwuvYt4vb4uH0r519RMLdQXNjW+zWTjgP/AFHL6KY/urPhN+la+/Rt7CNje1m0bVK7abs1sWpqu2aqZT0stxpzI6GNzJS5reIwCRlLGAN1nPHZ809aVTCnjZI7YL/JaycP978yMO978y+gRvQz6KLeXR70P8dtB+kqVvQ76KreXR50H8doYfpTL0J3pH9cRfCV8+2Xd3zIyfD5F9BzeiH0WG8ujxs/+OyRH6QpG9Erott5dHfZ3/8An4D+ijoTvXnriP4SvntyfD5lnLofH/ChXjvsNWP5cRW6RnRU6MbPZ6PWzof8O036qpN0k9AaG2c9M202bQGjrLpu31OzaSpkpbVQx0sT5jVzAyFrAAXEMaM88NHcs4oy14PFYvxBlTG6MNtkVbzYOc7ItM+DKwf0l676+ff35Nv/AFXntgTs7IdO+Brh/SXL0N8+/vybf+qaqX3Akfrd/s7zK6yb7k7yXCXNl+5O8lwlMC8XNs338PgOXU7ZxnZ0fC705/m3rtrN9/D4Dl1e2UZ2dS+F1pj/ACHqLV/plej3mf7BYBTTzTk0qqVumO5pjuae5MPNCFs9QhCX09rWAOae1RtPJSNTAkRPbyThyTWpw5oQnJWpOxAQhOQOCFzbNaa2+3SmtFvj36iqkEbO4d7j4AZJ8AsXODGlzjYBZMY6RwYwXJyC95sZ0b9m7wdRV8WaG2PHVBw4S1HMeYb7R8d1Z7+Vddp6x0Wm7NS2Wgb9qpmbu8eb3c3PPiTkrsVzLFK84hUGT+IyHZ99q7dgWFNwmjbD/I5uPH6DYFFVVtNbaaS41cgZBTNM0jj2NbxP0Kl3orbzFbdG7cr3LA90dHqNta6JpG8WthqHloJ4Zw3CtDtWpL7dLBS2awUk1RNX18UUrIx/ixlx3jyDchuSeCqZ6NCGSl2edIyimAD4Lq9jwDnBFNWA/Qr7RyBlg8nNxtbgPrn3JS02qpCx8YbYMaDfqJPVyFu9WkoelhabpB7ptuzLVNVEDul8PVPaDgHBI7eIUx6UUA57JNYfxbfqVaNGwSy2pzmUnWgSY3vsJNWY9VvDfY4AfBx49q773PUD/wAE0f8AC9aPokXXpMCoGPLQzxd9V8+wY5iMsYeX7eDPos5VfSwtdDF19bsw1TTxAgF83Vsbk8hkjCyzoXV9JrzSdv1bQ0c1LBcGOe2GZwL2bri0glvA8lR7VDJW2h2/Cxg6xnEWespjz9/K4s+LGT2K2/R147GdN/7Kb+ueqjGsMpaOlbLC2xLrbTssd6t8ExOqq6x8M7rgNv1bbgdSyQte3TDglqOnFpiCFuXzbM5mNGcZPuuoWwlUP6UNmud66euiKW00jqmc7N6uTq2kbzmsqaknAPM+HMpW1msIc42F060jHPc5rBckHILLvRr1XTXTRo0kykmjqNPukdNK4tLJOvlc5u7jjwxg5WSbpbquqqutgjDm7gGS4DjxVWNL11/0TLWHT16lo3VrmicOp43klpOB6wOMbxWSNje2SimF4G1rUJjLHwigzRvbkev1n3JnH9xz+JX8NQyNgBvf84qjqYnR6z2C4vew257crb1lCaz3ARPJhHL34XB+xFf/AJpv8MKV+17YgWEfslzkfvWr/UXGO1vYkP8ALxP5nVn9BbxWx8e77qv6WX/id3fZc620FVTVQlmYGt3SM7wK8Vtp1JFBZotKGke59ZLHXCffG60RktLd3mSc81xNqe0GzVNPa3bOdSzQPD5TV9TEQXNIbuZ61nfvcvjWMrtfbtfZY5rtXPqXxNLGOcAN0E5I4Adq1T1LJGFovf8AOKnU0TpQ17xYbjtyXBKaeacUwqCrFNdzTDzTieKYe1CFs+QhCX09rV83kpAe1RNKe1MCRFKOacOajByng5QhPS8k0HsTkITgcrMWwKyQ7tw1DNEDJvClp3Eey0cX488tHxLDYOOJPBWT2X202nStspnN3ZJYDPJ8J53voI+RL+klQYaPUG1xty2lOGhVEKrETK4ZRtJ57B5k8l7NGUI8lz4FdZITovu0fw2/SFSX0bVFU11t6S1oo4usqJ9QPgiZkDee9lc1oyeAycK7UX3aP4bfpCpx6L+SOn1J0iute1jIdXxPc5xwGtD67JPgAEy6NuLZnEcEkacND6INOw/Zef1DpPWehJ2UGprRcrRI4Dd60OayQ4/cvad13xEpdL2XV2sLq2x6Z911le+N0jIG1e45zWjLsbzgDgccc8K8Nw2lbHbvRSW+6a20rW0kww+Coq4pI3DxachYhvmhNhlJeqXVuzXavY9M3ignbUwRGubPRueD7JaTvsaRkHBIwTwXaqfH5ZWFs0Ja/qOqS2/EbR4r5nqNHIoZA6CcOZfMawDrcDsJ7liyTYJt0nZ1c+k7jIwkHdkro3DPkZFa7Ynp+86W2Y2SwX+hdR19IyVs0LnBxaTK4jiCRyI7VPDte2YuhjdU7QNNxzOaDIxlxY5rXY4gHtGeRXpbReLTf6CO6WO5U1fRTZ6uoppA+N2Dg4I7iCEt4pidZWxBlRGGgG+QIztxKasJwqhoJnSU0hc4i2bgcrjcAuYqfbVvU9JBs0Pv9m9yb8k1UrgKn+147npGtlDvf7Prs35H1RSriP7WTsKetHf8lF2rt9uenaW2X2kvNJGI/sox5maOAMrCMux3kOGfEZ7VjXeIHtH5VmvbzYrjV0FDf4JA+kt+9FNFj1mGRww/PaMgN8MhYSUnApumoWXNyLg8jkO6yy0op/R8UlAbYGxHG4zPfdLvO98flRvO98flSJCcK3S+glIhCEJCUwpSU1yEJCeCjcnOKYShC2gIQhL6e1q7aVI09qhaVI08QB2pgSIpQU8HC8brbazs72dROOr9VUVFMBltI13W1LvKJmXfGQB4qu2vOnNM7rKPZvpVsY4gV92O87zbAw4H4zj5LVJMyP3ipUNHNUe43Lf1K3M9RBSU8lXVTxQQRDeklleGMYO8uOAPjWG9e9LjZHozrKW23GXUtezh1NsAMIP+lO71P4O8qQa12o6/2iVHX6w1TXXFoOWQPk3YI/gxNwxvxBeWUKStJyYFbwYO0ZzG/AKxty6bW0S46otldBbaG2WKkrYZ6q3Uzd+Wsp2vBkhfM/iN5uRlgbzW4rSV4tOobTa7/YKhs9suVHFV0UreT4JIw6Mj8UhfPRy4rbR6MLa6dd7G59ntyqusuehJ+ojDnZc63zlz4D+K/rY/ABiWcda+aISk31fmnnRd0NJK+BrQNYeX/quijKRLnvSonFOjx1sfw2/SqW+jf9TUfShh7G6kdw/GuIV0WH7Yz4TfpVLvR0eprfpURe91I/h+UuQTLo1+u7kkjTkf2P5wUGiKRtTbpnGxyV269g3m2+Co3fUHDMj2keQyF6P7Exn/AMnVH/0NMfonWPLVdW0NOGfYq1Vgfuneq6USubw5A54DwXMOo4gMu0xpzH+4Y/SX0TLDI55I/PFfJVPVwRxNa4Z/nBei1Nbo6eyzzN01NSEFn251mZAG+sP8Y2Z2M8vZOeStN0YTnY3aM/vir/rSqY1l8p6undTtsllpi7H22ngLJG4PYd8j5lczovkHY1acEH9s1fL/AGpS9pMxzKBod8Y8imPReVkuIudHs1D/ANhwCysqfbZzu+kV2On3+hrw356oq4Kp5tvO56RDYm73+jb235qpc2xH9rJ2Fdc0d/yUXaswbXK+nodA3Jk5G9VhlNEO97nA/MAT8Sras47erTW1NlorvFUONNQzFk0GOAMnBsnxEbv43msGkrHRqNraLWabkk34dVu7PmrDTSV78S1HCwa0AcRmb95I5JSU0o5o5JhSijkmkpScJpKEIJwEwntSkphKEJCVG49icSo3FCFtEQhCX09rR/rnphbNNMCSl0yyp1NWsyAaf7TSg+Mrxl34rSPFV4150qdrOtRLS0t3bp+3yZb7mtQMTi3udMSZD8RA8Fh5C3yVMknXZQYMPggzAud5T5ZpZ5HzTSOkkeS5z3ElzieZJPEpiELQpyEIQhCFYboH7ZBsb6RVgrLjVmGyakP2AuhJ9Rsc7miKQ9g3JhE4nsaHd6ryla4tcHAkEHII5ha5YxMwxu2FbIZXQyNkbtBuvo3wQcEYI4EeKFhroibYhtw2BaX1nVVIlu0FP9irxx9YV1OAx7j3F7dyX8osypDkjMTyx20LpEMrZoxI3YRdKw4e0/6Q+lU79Gvhu2TpPQkcBq+Ph+d3AK4jfab5hU79HCDHt46UcJ7NWRn+mXBX+jv6ruxKGmv7IHj8wrba32FbNddsdJcbBHQ1pGG1tuAp5R3bwA3X/jNPmsKno+bQNlGq6PWOj46bV1vopd6aj6trKiWA8HxmJ+WvJbnBac5AOFalC6DTYvVUzDFrazDkWnMW8xyK4pVYLR1TxNq6rwbhzcjfyPMFdVRWzTdwo4K6nsNCIqiNsrBJQRseARnDmluQRyIPIgrsaempqSMQ0tPFBGCSGRRhjQTz4Dgpc54k5SKuJJVqBZCp3t5O56QnYQ73+lr63+RUq4ipz0gzuekC6Pzvf6evrP5uo+tQcQ/aydh8ld6Om2JRdoWYNrdztlHoe40ldURiasjEVPFn1nybwIIHcMZJ8FW7mVnfbva6CXTNPeHxMFZTVLIY5QPWLH53mE9o4A+YWByQsdGWNbRazesm/bls5Ky01ke/EtV4Fg0W7MznzulykJwkJTScJhSglJ7ymk5SEpCUISE9iaSgnsTCUIQSo3FK5yjcUIW0lCEJfT2vlXQhCEIQhCEIQhCEIQhCEK9Xoq9sn7G9pF62N3Wr3aLV1P7utzHO4NuFM0lzWjvkg3/MxNW0wOXzz6C1lednetLHrrT0xiuVhr4LhTHJAL43hwacdhwWkdoJW/nQusbPtC0bZNdael37bf6CC403Hi1krA7dPi0ktPi0pXxqn1JRMNjvMJw0fqekiMB2t2dhXoGkZHmFTr0elTT0fSL6UsVTUQw51RGR1kjWZ/btf3lXDBwR5rQv0mw6LpF7TmAkf323Xt/1qRbMAdqyvPBRdLIPSKVsd7XK+hF14tDfau9APOrjH6SY7UFgb7V+tY866EfpL5pCcoymvpuC556lHx+H3X0ru1Rphvt6ls487hB+sonay0gz2tW2Jvnc6cfpr5rcnw+RLvHw+RHTcF76lHx+H3X0mP15odnt61083zu9MP01S/pSa/sNB019gmpLLcbfem0VnvbJGUVdFKA50coAc5hdu+1n4lqD3j3D5AsrdFh+Nvmks44zVA5f6tKvCWz/ANJ4yORW6Gidh7jUxv8AaaCRl12W0PWu0a+a3EUFdHDTUkDzIynhzjexjec48XHBI7BxPBeVJ703Jwm5HerWCCOmYI4hYBUVTVTVkhmncXOPWU4u7khKaXFNLltUdOJ70wuSE96aXIQlLlGSguTHOQhDnJhKCUwlCFtPQhCX09r5V0IQhCEIQhCEIQhCEIQhCFtN9Fdtj/ZLs0vWx261e9W6RqPd1ua48XW+ocS9o7xHPvH8s1aslZr0cd1uNt6WWlqahq3wxXKluNJVtbymh9ySSbjvDfjjd5tCgYlCJqZwPVn3Kxwmd0FWwjrNu9bmVq722+jr6ROv9sWttb2GDTAtl+v9dcaMz3hrJDDLM57C5u4d04IyOxbQ28QF47avfLrp7SE9ws9Y6mqA9rBI1rSQDzxkHHmlnDZpmTiOG13WGabMYigdTOmnvqsuctq1S6g9HFt90vTe6b5dNE0xcMxxG9l0knwWCPJ8+XivLDoT7YzzqtNt87i7+zV8KutrK+odWV1VLUTy8XyyvL3OPiTxUY5LokFBqs/rOueGQ+a5HU4058l6duq3jmeexUWHQj2wn/KGmB53CT+yTm9CDa6fau2lx+fSn/tK86QErf6HEo3rap4dyo6Og9tXPtXzSw/O5v7Je32NdFHaBs72l2LWl5vVgmo7ZLI+WOmnldI4Oiez1Q6MDm4cyFaokoXraWNpBCxfidQ9pabWPBOzwGSk3kiaTxUlVyUuSFyaThNKEJS5NLkhTEISlyYSg801yEIJ7k1KmkoQtqSEIS+ntf/Z</t>
    <phoneticPr fontId="1" type="noConversion"/>
  </si>
  <si>
    <t>https://lenovobeijing.sharepoint.com/:p:/r/sites/SSGSSCLogisticsHansonTeam/_layouts/15/Doc.aspx?sourcedoc=%7b8B4F3FE8-646E-443E-A84E-1030C1C80159%7d&amp;file=8.1%20Live%20Interception%20Platform.pptx&amp;action=edit&amp;mobileredirect=true</t>
    <phoneticPr fontId="1" type="noConversion"/>
  </si>
  <si>
    <t>https://jira.xpaas.lenovo.com/projects/LIP/issues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</si>
</sst>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_(&quot;$&quot;* #,##0.00_);_(&quot;$&quot;* \(#,##0.00\);_(&quot;$&quot;* &quot;-&quot;??_);_(@_)"/>
    <numFmt numFmtId="177" formatCode="_(* #,##0.00_);_(* \(#,##0.00\);_(* &quot;-&quot;??_);_(@_)"/>
    <numFmt numFmtId="178" formatCode="_(* #,##0_);_(* \(#,##0\);_(* &quot;-&quot;??_);_(@_)"/>
    <numFmt numFmtId="179" formatCode="_(&quot;$&quot;* #,##0_);_(&quot;$&quot;* \(#,##0\);_(&quot;$&quot;* &quot;-&quot;??_);_(@_)"/>
    <numFmt numFmtId="180" formatCode="yyyy\-mm\-dd;@"/>
    <numFmt numFmtId="181" formatCode="yyyy/mm/dd"/>
  </numFmts>
  <fonts count="56" x14ac:knownFonts="1">
    <font>
      <sz val="11"/>
      <color theme="1"/>
      <name val="等线"/>
      <family val="2"/>
      <charset val="134"/>
      <scheme val="minor"/>
    </font>
    <font>
      <sz val="9"/>
      <name val="等线"/>
      <family val="2"/>
      <charset val="134"/>
      <scheme val="minor"/>
    </font>
    <font>
      <sz val="11"/>
      <name val="等线"/>
      <family val="3"/>
      <charset val="134"/>
      <scheme val="minor"/>
    </font>
    <font>
      <b/>
      <sz val="11"/>
      <color theme="0"/>
      <name val="等线"/>
      <family val="2"/>
      <charset val="134"/>
      <scheme val="minor"/>
    </font>
    <font>
      <sz val="11"/>
      <color rgb="FFFF0000"/>
      <name val="等线"/>
      <family val="3"/>
      <charset val="134"/>
      <scheme val="minor"/>
    </font>
    <font>
      <sz val="11"/>
      <color rgb="FF000000"/>
      <name val="等线"/>
      <family val="3"/>
      <charset val="134"/>
    </font>
    <font>
      <sz val="11"/>
      <color rgb="FFFF0000"/>
      <name val="等线"/>
      <family val="2"/>
      <charset val="134"/>
      <scheme val="minor"/>
    </font>
    <font>
      <sz val="11"/>
      <color rgb="FF00B050"/>
      <name val="等线"/>
      <family val="2"/>
      <charset val="134"/>
      <scheme val="minor"/>
    </font>
    <font>
      <sz val="11"/>
      <color rgb="FF00B050"/>
      <name val="等线"/>
      <family val="3"/>
      <charset val="134"/>
      <scheme val="minor"/>
    </font>
    <font>
      <sz val="11"/>
      <color theme="1"/>
      <name val="等线"/>
      <family val="2"/>
      <charset val="134"/>
      <scheme val="minor"/>
    </font>
    <font>
      <b/>
      <sz val="11"/>
      <color theme="1"/>
      <name val="等线"/>
      <family val="3"/>
      <charset val="134"/>
      <scheme val="minor"/>
    </font>
    <font>
      <sz val="18"/>
      <name val="Arial"/>
      <family val="2"/>
    </font>
    <font>
      <sz val="9"/>
      <color rgb="FF000000"/>
      <name val="Arial"/>
      <family val="2"/>
    </font>
    <font>
      <b/>
      <sz val="10"/>
      <color rgb="FF000000"/>
      <name val="Arial"/>
      <family val="2"/>
    </font>
    <font>
      <b/>
      <sz val="10"/>
      <color rgb="FF000000"/>
      <name val="微软雅黑"/>
      <family val="2"/>
      <charset val="134"/>
    </font>
    <font>
      <b/>
      <sz val="10"/>
      <color rgb="FF000000"/>
      <name val="Arial"/>
      <family val="2"/>
      <charset val="134"/>
    </font>
    <font>
      <b/>
      <sz val="10"/>
      <color rgb="FF000000"/>
      <name val="等线"/>
      <family val="3"/>
      <charset val="134"/>
    </font>
    <font>
      <sz val="9"/>
      <color rgb="FF000000"/>
      <name val="微软雅黑"/>
      <family val="2"/>
      <charset val="134"/>
    </font>
    <font>
      <b/>
      <sz val="9"/>
      <color rgb="FF000000"/>
      <name val="Arial"/>
      <family val="2"/>
    </font>
    <font>
      <b/>
      <sz val="10"/>
      <color rgb="FF000000"/>
      <name val="宋体"/>
      <family val="2"/>
      <charset val="134"/>
    </font>
    <font>
      <sz val="18"/>
      <color rgb="FF000000"/>
      <name val="等线"/>
      <family val="3"/>
      <charset val="134"/>
    </font>
    <font>
      <b/>
      <sz val="8"/>
      <color rgb="FF000000"/>
      <name val="Arial"/>
      <family val="2"/>
    </font>
    <font>
      <b/>
      <sz val="9"/>
      <color rgb="FF000000"/>
      <name val="等线"/>
      <family val="3"/>
      <charset val="134"/>
    </font>
    <font>
      <b/>
      <sz val="10.5"/>
      <color rgb="FF000000"/>
      <name val="Arial"/>
      <family val="2"/>
    </font>
    <font>
      <sz val="10.5"/>
      <color rgb="FF000000"/>
      <name val="Arial"/>
      <family val="2"/>
    </font>
    <font>
      <b/>
      <sz val="10.5"/>
      <color rgb="FF000000"/>
      <name val="微软雅黑"/>
      <family val="2"/>
      <charset val="134"/>
    </font>
    <font>
      <sz val="8"/>
      <color rgb="FF000000"/>
      <name val="Arial"/>
      <family val="2"/>
    </font>
    <font>
      <sz val="8"/>
      <color rgb="FF000000"/>
      <name val="微软雅黑"/>
      <family val="2"/>
      <charset val="134"/>
    </font>
    <font>
      <sz val="7.5"/>
      <color rgb="FF000000"/>
      <name val="Arial"/>
      <family val="2"/>
    </font>
    <font>
      <sz val="9"/>
      <color rgb="FF000000"/>
      <name val="等线"/>
      <family val="2"/>
      <charset val="134"/>
    </font>
    <font>
      <sz val="9"/>
      <color theme="1"/>
      <name val="等线"/>
      <family val="2"/>
      <charset val="134"/>
      <scheme val="minor"/>
    </font>
    <font>
      <b/>
      <sz val="7"/>
      <color rgb="FF000000"/>
      <name val="Arial"/>
      <family val="2"/>
    </font>
    <font>
      <sz val="6"/>
      <color rgb="FF000000"/>
      <name val="Arial"/>
      <family val="2"/>
    </font>
    <font>
      <sz val="7"/>
      <color rgb="FF000000"/>
      <name val="Arial"/>
      <family val="2"/>
    </font>
    <font>
      <sz val="11"/>
      <color rgb="FF000000"/>
      <name val="Segoe UI"/>
      <family val="2"/>
    </font>
    <font>
      <sz val="11"/>
      <color theme="1"/>
      <name val="等线"/>
      <family val="3"/>
      <charset val="134"/>
      <scheme val="minor"/>
    </font>
    <font>
      <sz val="9"/>
      <color rgb="FF000000"/>
      <name val="Arial"/>
      <family val="2"/>
      <charset val="134"/>
    </font>
    <font>
      <sz val="11"/>
      <color theme="1"/>
      <name val="微软雅黑"/>
      <family val="2"/>
      <charset val="134"/>
    </font>
    <font>
      <strike/>
      <sz val="11"/>
      <color rgb="FFFF0000"/>
      <name val="等线"/>
      <family val="2"/>
      <charset val="134"/>
      <scheme val="minor"/>
    </font>
    <font>
      <sz val="10.5"/>
      <color theme="1"/>
      <name val="等线"/>
      <family val="3"/>
      <charset val="134"/>
      <scheme val="minor"/>
    </font>
    <font>
      <sz val="7"/>
      <name val="Arial"/>
      <family val="2"/>
    </font>
    <font>
      <sz val="12"/>
      <color rgb="FF2C2C36"/>
      <name val="等线"/>
      <family val="3"/>
      <charset val="134"/>
      <scheme val="minor"/>
    </font>
    <font>
      <sz val="12"/>
      <color theme="1"/>
      <name val="等线"/>
      <family val="3"/>
      <charset val="134"/>
      <scheme val="minor"/>
    </font>
    <font>
      <sz val="11"/>
      <name val="等线"/>
      <family val="2"/>
      <charset val="134"/>
      <scheme val="minor"/>
    </font>
    <font>
      <sz val="11"/>
      <name val="Segoe UI"/>
      <family val="2"/>
    </font>
    <font>
      <u/>
      <sz val="11"/>
      <color theme="10"/>
      <name val="等线"/>
      <family val="2"/>
      <charset val="134"/>
      <scheme val="minor"/>
    </font>
    <font>
      <sz val="7.5"/>
      <name val="Arial"/>
      <family val="2"/>
    </font>
    <font>
      <b/>
      <sz val="18"/>
      <color rgb="FF000000"/>
      <name val="等线"/>
      <family val="3"/>
      <charset val="134"/>
    </font>
    <font>
      <b/>
      <sz val="18"/>
      <color rgb="FF000000"/>
      <name val="Arial"/>
      <family val="2"/>
    </font>
    <font>
      <b/>
      <sz val="9"/>
      <color rgb="FFFF0000"/>
      <name val="Arial"/>
      <family val="2"/>
    </font>
    <font>
      <b/>
      <sz val="11"/>
      <color theme="1"/>
      <name val="等线"/>
      <family val="2"/>
      <scheme val="minor"/>
    </font>
    <font>
      <sz val="10"/>
      <color theme="1"/>
      <name val="Times New Roman"/>
      <family val="1"/>
    </font>
    <font>
      <sz val="10.5"/>
      <color theme="1"/>
      <name val="等线"/>
      <family val="3"/>
      <charset val="134"/>
    </font>
    <font>
      <b/>
      <sz val="11"/>
      <color rgb="FF000000"/>
      <name val="等线"/>
      <family val="3"/>
      <charset val="134"/>
    </font>
    <font>
      <sz val="11"/>
      <color theme="1"/>
      <name val="等线"/>
      <family val="3"/>
      <charset val="134"/>
    </font>
    <font>
      <sz val="11"/>
      <color rgb="FFFF0000"/>
      <name val="等线"/>
      <family val="3"/>
      <charset val="134"/>
    </font>
  </fonts>
  <fills count="18">
    <fill>
      <patternFill patternType="none"/>
    </fill>
    <fill>
      <patternFill patternType="gray125"/>
    </fill>
    <fill>
      <patternFill patternType="solid">
        <fgColor theme="1"/>
        <bgColor theme="1"/>
      </patternFill>
    </fill>
    <fill>
      <patternFill patternType="solid">
        <fgColor rgb="FFFFFF00"/>
        <bgColor indexed="64"/>
      </patternFill>
    </fill>
    <fill>
      <patternFill patternType="solid">
        <fgColor rgb="FFD9D9D9"/>
        <bgColor indexed="64"/>
      </patternFill>
    </fill>
    <fill>
      <patternFill patternType="solid">
        <fgColor rgb="FFFFFFFF"/>
        <bgColor indexed="64"/>
      </patternFill>
    </fill>
    <fill>
      <patternFill patternType="solid">
        <fgColor rgb="FFF2F2F2"/>
        <bgColor indexed="64"/>
      </patternFill>
    </fill>
    <fill>
      <patternFill patternType="solid">
        <fgColor theme="7" tint="0.79998168889431442"/>
        <bgColor indexed="64"/>
      </patternFill>
    </fill>
    <fill>
      <patternFill patternType="solid">
        <fgColor theme="9"/>
        <bgColor indexed="64"/>
      </patternFill>
    </fill>
    <fill>
      <patternFill patternType="solid">
        <fgColor theme="7"/>
        <bgColor indexed="64"/>
      </patternFill>
    </fill>
    <fill>
      <patternFill patternType="solid">
        <fgColor theme="6" tint="0.79998168889431442"/>
        <bgColor indexed="64"/>
      </patternFill>
    </fill>
    <fill>
      <patternFill patternType="solid">
        <fgColor rgb="FF70AD47"/>
        <bgColor indexed="64"/>
      </patternFill>
    </fill>
    <fill>
      <patternFill patternType="solid">
        <fgColor rgb="FFFFC000"/>
        <bgColor indexed="64"/>
      </patternFill>
    </fill>
    <fill>
      <patternFill patternType="solid">
        <fgColor rgb="FFEDEDED"/>
        <bgColor indexed="64"/>
      </patternFill>
    </fill>
    <fill>
      <patternFill patternType="solid">
        <fgColor theme="0" tint="-0.249977111117893"/>
        <bgColor indexed="64"/>
      </patternFill>
    </fill>
    <fill>
      <patternFill patternType="solid">
        <fgColor rgb="FF92D050"/>
        <bgColor indexed="64"/>
      </patternFill>
    </fill>
    <fill>
      <patternFill patternType="solid">
        <fgColor theme="9" tint="0.79998168889431442"/>
        <bgColor indexed="64"/>
      </patternFill>
    </fill>
    <fill>
      <patternFill patternType="solid">
        <fgColor theme="5"/>
        <bgColor theme="1"/>
      </patternFill>
    </fill>
  </fills>
  <borders count="8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style="medium">
        <color rgb="FF000000"/>
      </left>
      <right/>
      <top/>
      <bottom style="medium">
        <color rgb="FF000000"/>
      </bottom>
      <diagonal/>
    </border>
    <border>
      <left/>
      <right/>
      <top style="medium">
        <color rgb="FF000000"/>
      </top>
      <bottom style="medium">
        <color rgb="FF000000"/>
      </bottom>
      <diagonal/>
    </border>
    <border>
      <left/>
      <right/>
      <top style="medium">
        <color rgb="FF000000"/>
      </top>
      <bottom/>
      <diagonal/>
    </border>
    <border>
      <left/>
      <right/>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medium">
        <color rgb="FF000000"/>
      </bottom>
      <diagonal/>
    </border>
    <border>
      <left/>
      <right style="dotted">
        <color rgb="FF7F7F7F"/>
      </right>
      <top style="medium">
        <color rgb="FF000000"/>
      </top>
      <bottom style="dotted">
        <color rgb="FF7F7F7F"/>
      </bottom>
      <diagonal/>
    </border>
    <border>
      <left style="dotted">
        <color rgb="FF7F7F7F"/>
      </left>
      <right/>
      <top style="medium">
        <color rgb="FF000000"/>
      </top>
      <bottom style="dotted">
        <color rgb="FF7F7F7F"/>
      </bottom>
      <diagonal/>
    </border>
    <border>
      <left/>
      <right/>
      <top style="medium">
        <color rgb="FF000000"/>
      </top>
      <bottom style="dotted">
        <color rgb="FF7F7F7F"/>
      </bottom>
      <diagonal/>
    </border>
    <border>
      <left/>
      <right style="dotted">
        <color rgb="FF7F7F7F"/>
      </right>
      <top style="dotted">
        <color rgb="FF7F7F7F"/>
      </top>
      <bottom/>
      <diagonal/>
    </border>
    <border>
      <left style="dotted">
        <color rgb="FF7F7F7F"/>
      </left>
      <right/>
      <top style="dotted">
        <color rgb="FF7F7F7F"/>
      </top>
      <bottom/>
      <diagonal/>
    </border>
    <border>
      <left/>
      <right style="dotted">
        <color rgb="FF7F7F7F"/>
      </right>
      <top/>
      <bottom/>
      <diagonal/>
    </border>
    <border>
      <left style="dotted">
        <color rgb="FF7F7F7F"/>
      </left>
      <right/>
      <top/>
      <bottom/>
      <diagonal/>
    </border>
    <border>
      <left/>
      <right style="dotted">
        <color rgb="FF7F7F7F"/>
      </right>
      <top style="medium">
        <color rgb="FF000000"/>
      </top>
      <bottom/>
      <diagonal/>
    </border>
    <border>
      <left/>
      <right style="dotted">
        <color rgb="FF7F7F7F"/>
      </right>
      <top/>
      <bottom style="dotted">
        <color rgb="FF7F7F7F"/>
      </bottom>
      <diagonal/>
    </border>
    <border>
      <left style="dotted">
        <color rgb="FF7F7F7F"/>
      </left>
      <right/>
      <top style="medium">
        <color rgb="FF000000"/>
      </top>
      <bottom/>
      <diagonal/>
    </border>
    <border>
      <left style="dotted">
        <color rgb="FF7F7F7F"/>
      </left>
      <right/>
      <top/>
      <bottom style="dotted">
        <color rgb="FF7F7F7F"/>
      </bottom>
      <diagonal/>
    </border>
    <border>
      <left/>
      <right/>
      <top/>
      <bottom style="dotted">
        <color rgb="FF7F7F7F"/>
      </bottom>
      <diagonal/>
    </border>
    <border>
      <left/>
      <right style="dotted">
        <color rgb="FF7F7F7F"/>
      </right>
      <top/>
      <bottom style="dotted">
        <color rgb="FF000000"/>
      </bottom>
      <diagonal/>
    </border>
    <border>
      <left style="dotted">
        <color rgb="FF7F7F7F"/>
      </left>
      <right/>
      <top/>
      <bottom style="dotted">
        <color rgb="FF000000"/>
      </bottom>
      <diagonal/>
    </border>
    <border>
      <left/>
      <right style="dotted">
        <color rgb="FF7F7F7F"/>
      </right>
      <top style="dotted">
        <color rgb="FF000000"/>
      </top>
      <bottom/>
      <diagonal/>
    </border>
    <border>
      <left/>
      <right style="dotted">
        <color rgb="FF7F7F7F"/>
      </right>
      <top/>
      <bottom style="medium">
        <color rgb="FF000000"/>
      </bottom>
      <diagonal/>
    </border>
    <border>
      <left style="dotted">
        <color rgb="FF7F7F7F"/>
      </left>
      <right/>
      <top style="dotted">
        <color rgb="FF000000"/>
      </top>
      <bottom/>
      <diagonal/>
    </border>
    <border>
      <left style="dotted">
        <color rgb="FF7F7F7F"/>
      </left>
      <right/>
      <top/>
      <bottom style="medium">
        <color rgb="FF000000"/>
      </bottom>
      <diagonal/>
    </border>
    <border>
      <left/>
      <right/>
      <top style="dotted">
        <color rgb="FF000000"/>
      </top>
      <bottom/>
      <diagonal/>
    </border>
    <border>
      <left/>
      <right style="medium">
        <color indexed="64"/>
      </right>
      <top style="medium">
        <color rgb="FF000000"/>
      </top>
      <bottom/>
      <diagonal/>
    </border>
    <border>
      <left/>
      <right style="medium">
        <color indexed="64"/>
      </right>
      <top/>
      <bottom/>
      <diagonal/>
    </border>
    <border>
      <left/>
      <right style="medium">
        <color indexed="64"/>
      </right>
      <top/>
      <bottom style="medium">
        <color rgb="FF000000"/>
      </bottom>
      <diagonal/>
    </border>
    <border>
      <left style="medium">
        <color indexed="64"/>
      </left>
      <right/>
      <top style="medium">
        <color indexed="64"/>
      </top>
      <bottom/>
      <diagonal/>
    </border>
    <border>
      <left/>
      <right/>
      <top style="medium">
        <color indexed="64"/>
      </top>
      <bottom style="medium">
        <color rgb="FF000000"/>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style="medium">
        <color rgb="FF000000"/>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top style="medium">
        <color indexed="64"/>
      </top>
      <bottom style="thin">
        <color indexed="64"/>
      </bottom>
      <diagonal/>
    </border>
    <border>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style="thin">
        <color rgb="FF000000"/>
      </top>
      <bottom/>
      <diagonal/>
    </border>
    <border>
      <left/>
      <right/>
      <top/>
      <bottom style="thin">
        <color rgb="FF000000"/>
      </bottom>
      <diagonal/>
    </border>
    <border>
      <left style="thin">
        <color theme="0" tint="-0.34998626667073579"/>
      </left>
      <right style="thin">
        <color theme="0" tint="-0.34998626667073579"/>
      </right>
      <top/>
      <bottom style="thin">
        <color theme="0" tint="-0.34998626667073579"/>
      </bottom>
      <diagonal/>
    </border>
    <border>
      <left/>
      <right/>
      <top style="medium">
        <color rgb="FF000000"/>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rgb="FF000000"/>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rgb="FF000000"/>
      </top>
      <bottom/>
      <diagonal/>
    </border>
  </borders>
  <cellStyleXfs count="4">
    <xf numFmtId="0" fontId="0" fillId="0" borderId="0">
      <alignment vertical="center"/>
    </xf>
    <xf numFmtId="177" fontId="9" fillId="0" borderId="0" applyFont="0" applyFill="0" applyBorder="0" applyAlignment="0" applyProtection="0">
      <alignment vertical="center"/>
    </xf>
    <xf numFmtId="176" fontId="9" fillId="0" borderId="0" applyFont="0" applyFill="0" applyBorder="0" applyAlignment="0" applyProtection="0">
      <alignment vertical="center"/>
    </xf>
    <xf numFmtId="0" fontId="45" fillId="0" borderId="0" applyNumberFormat="0" applyFill="0" applyBorder="0" applyAlignment="0" applyProtection="0">
      <alignment vertical="center"/>
    </xf>
  </cellStyleXfs>
  <cellXfs count="442">
    <xf numFmtId="0" fontId="0" fillId="0" borderId="0" xfId="0">
      <alignment vertical="center"/>
    </xf>
    <xf numFmtId="0" fontId="0" fillId="0" borderId="1" xfId="0" applyBorder="1">
      <alignment vertical="center"/>
    </xf>
    <xf numFmtId="0" fontId="0" fillId="0" borderId="1" xfId="0" applyBorder="1" applyAlignment="1">
      <alignment vertical="center" wrapText="1"/>
    </xf>
    <xf numFmtId="0" fontId="0" fillId="0" borderId="0" xfId="0" applyAlignment="1">
      <alignment horizontal="left"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0" xfId="0" pivotButton="1">
      <alignment vertical="center"/>
    </xf>
    <xf numFmtId="0" fontId="3" fillId="2" borderId="1" xfId="0" applyFont="1" applyFill="1" applyBorder="1" applyAlignment="1">
      <alignment vertical="center" wrapText="1"/>
    </xf>
    <xf numFmtId="0" fontId="0" fillId="0" borderId="0" xfId="0" applyAlignment="1">
      <alignment vertical="center" wrapText="1"/>
    </xf>
    <xf numFmtId="0" fontId="3" fillId="2" borderId="1" xfId="0" applyFont="1" applyFill="1" applyBorder="1" applyAlignment="1">
      <alignment horizontal="center" vertical="center" wrapText="1"/>
    </xf>
    <xf numFmtId="0" fontId="0" fillId="0" borderId="0" xfId="0" applyAlignment="1">
      <alignment horizontal="center" vertical="center" wrapText="1"/>
    </xf>
    <xf numFmtId="0" fontId="3" fillId="2" borderId="2" xfId="0" applyFont="1" applyFill="1" applyBorder="1" applyAlignment="1">
      <alignment horizontal="center" vertical="center" wrapText="1"/>
    </xf>
    <xf numFmtId="0" fontId="0" fillId="0" borderId="1" xfId="0" applyBorder="1" applyAlignment="1">
      <alignment horizontal="left" vertical="center"/>
    </xf>
    <xf numFmtId="0" fontId="6" fillId="0" borderId="0" xfId="0" applyFont="1">
      <alignment vertical="center"/>
    </xf>
    <xf numFmtId="0" fontId="7" fillId="0" borderId="1" xfId="0" applyFont="1" applyBorder="1">
      <alignment vertical="center"/>
    </xf>
    <xf numFmtId="0" fontId="8" fillId="0" borderId="1" xfId="0" applyFont="1" applyBorder="1">
      <alignment vertical="center"/>
    </xf>
    <xf numFmtId="0" fontId="0" fillId="0" borderId="0" xfId="0" applyAlignment="1">
      <alignment horizontal="right" vertical="center"/>
    </xf>
    <xf numFmtId="0" fontId="12" fillId="5" borderId="6" xfId="0" applyFont="1" applyFill="1" applyBorder="1" applyAlignment="1">
      <alignment horizontal="center" vertical="center" wrapText="1" readingOrder="1"/>
    </xf>
    <xf numFmtId="0" fontId="11" fillId="5" borderId="3" xfId="0" applyFont="1" applyFill="1" applyBorder="1" applyAlignment="1">
      <alignment horizontal="center" vertical="center" wrapText="1"/>
    </xf>
    <xf numFmtId="0" fontId="11" fillId="5" borderId="6" xfId="0" applyFont="1" applyFill="1" applyBorder="1" applyAlignment="1">
      <alignment horizontal="center" vertical="center" wrapText="1"/>
    </xf>
    <xf numFmtId="178" fontId="11" fillId="5" borderId="6" xfId="1" applyNumberFormat="1" applyFont="1" applyFill="1" applyBorder="1" applyAlignment="1">
      <alignment horizontal="left" vertical="center" wrapText="1"/>
    </xf>
    <xf numFmtId="178" fontId="11" fillId="5" borderId="9" xfId="1" applyNumberFormat="1" applyFont="1" applyFill="1" applyBorder="1" applyAlignment="1">
      <alignment horizontal="left" vertical="center" wrapText="1"/>
    </xf>
    <xf numFmtId="38" fontId="11" fillId="5" borderId="6" xfId="1" applyNumberFormat="1" applyFont="1" applyFill="1" applyBorder="1" applyAlignment="1">
      <alignment horizontal="center" vertical="center" wrapText="1"/>
    </xf>
    <xf numFmtId="38" fontId="11" fillId="5" borderId="9" xfId="1" applyNumberFormat="1" applyFont="1" applyFill="1" applyBorder="1" applyAlignment="1">
      <alignment horizontal="center" vertical="center" wrapText="1"/>
    </xf>
    <xf numFmtId="0" fontId="13" fillId="4" borderId="6"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0" fontId="16" fillId="4" borderId="6" xfId="0" applyFont="1" applyFill="1" applyBorder="1" applyAlignment="1">
      <alignment horizontal="center" vertical="center" wrapText="1" readingOrder="1"/>
    </xf>
    <xf numFmtId="0" fontId="17" fillId="5" borderId="6" xfId="0" applyFont="1" applyFill="1" applyBorder="1" applyAlignment="1">
      <alignment horizontal="center" vertical="center" wrapText="1" readingOrder="1"/>
    </xf>
    <xf numFmtId="3" fontId="18" fillId="0" borderId="8" xfId="0" applyNumberFormat="1" applyFont="1" applyBorder="1" applyAlignment="1">
      <alignment horizontal="center" vertical="center" wrapText="1" readingOrder="1"/>
    </xf>
    <xf numFmtId="0" fontId="11" fillId="0" borderId="14" xfId="0" applyFont="1" applyBorder="1" applyAlignment="1">
      <alignment horizontal="center" vertical="center" wrapText="1"/>
    </xf>
    <xf numFmtId="0" fontId="18" fillId="0" borderId="16" xfId="0" applyFont="1" applyBorder="1" applyAlignment="1">
      <alignment horizontal="center" vertical="center" wrapText="1" readingOrder="1"/>
    </xf>
    <xf numFmtId="0" fontId="18" fillId="0" borderId="17" xfId="0" applyFont="1" applyBorder="1" applyAlignment="1">
      <alignment horizontal="center" vertical="center" wrapText="1" readingOrder="1"/>
    </xf>
    <xf numFmtId="3" fontId="12" fillId="0" borderId="18" xfId="0" applyNumberFormat="1" applyFont="1" applyBorder="1" applyAlignment="1">
      <alignment horizontal="center" vertical="center" wrapText="1" readingOrder="1"/>
    </xf>
    <xf numFmtId="0" fontId="11" fillId="0" borderId="17" xfId="0" applyFont="1" applyBorder="1" applyAlignment="1">
      <alignment horizontal="center" vertical="center" wrapText="1"/>
    </xf>
    <xf numFmtId="3" fontId="18" fillId="0" borderId="18" xfId="0" applyNumberFormat="1" applyFont="1" applyBorder="1" applyAlignment="1">
      <alignment horizontal="center" vertical="center" wrapText="1" readingOrder="1"/>
    </xf>
    <xf numFmtId="0" fontId="18" fillId="0" borderId="19" xfId="0" applyFont="1" applyBorder="1" applyAlignment="1">
      <alignment horizontal="center" vertical="center" wrapText="1" readingOrder="1"/>
    </xf>
    <xf numFmtId="3" fontId="12" fillId="0" borderId="20" xfId="0" applyNumberFormat="1" applyFont="1" applyBorder="1" applyAlignment="1">
      <alignment horizontal="center" vertical="center" wrapText="1" readingOrder="1"/>
    </xf>
    <xf numFmtId="3" fontId="12" fillId="0" borderId="19" xfId="0" applyNumberFormat="1" applyFont="1" applyBorder="1" applyAlignment="1">
      <alignment horizontal="center" vertical="center" wrapText="1" readingOrder="1"/>
    </xf>
    <xf numFmtId="0" fontId="15" fillId="4" borderId="6" xfId="0" applyFont="1" applyFill="1" applyBorder="1" applyAlignment="1">
      <alignment horizontal="center" vertical="center" wrapText="1" readingOrder="1"/>
    </xf>
    <xf numFmtId="0" fontId="11" fillId="0" borderId="7" xfId="0" applyFont="1" applyBorder="1" applyAlignment="1">
      <alignment horizontal="center" vertical="center" wrapText="1"/>
    </xf>
    <xf numFmtId="0" fontId="11" fillId="0" borderId="0" xfId="0" applyFont="1" applyAlignment="1">
      <alignment horizontal="center" vertical="center" wrapText="1"/>
    </xf>
    <xf numFmtId="0" fontId="11" fillId="0" borderId="8" xfId="0" applyFont="1" applyBorder="1" applyAlignment="1">
      <alignment horizontal="center" vertical="center" wrapText="1"/>
    </xf>
    <xf numFmtId="0" fontId="18" fillId="6" borderId="23" xfId="0" applyFont="1" applyFill="1" applyBorder="1" applyAlignment="1">
      <alignment horizontal="center" vertical="center" wrapText="1" readingOrder="1"/>
    </xf>
    <xf numFmtId="0" fontId="18" fillId="6" borderId="24" xfId="0" applyFont="1" applyFill="1" applyBorder="1" applyAlignment="1">
      <alignment horizontal="center" vertical="center" wrapText="1" readingOrder="1"/>
    </xf>
    <xf numFmtId="0" fontId="20" fillId="0" borderId="17" xfId="0" applyFont="1" applyBorder="1" applyAlignment="1">
      <alignment horizontal="center" vertical="center" wrapText="1" readingOrder="1"/>
    </xf>
    <xf numFmtId="3" fontId="18" fillId="6" borderId="18" xfId="0" applyNumberFormat="1" applyFont="1" applyFill="1" applyBorder="1" applyAlignment="1">
      <alignment horizontal="center" vertical="center" wrapText="1" readingOrder="1"/>
    </xf>
    <xf numFmtId="0" fontId="18" fillId="6" borderId="26" xfId="0" applyFont="1" applyFill="1" applyBorder="1" applyAlignment="1">
      <alignment horizontal="center" vertical="center" wrapText="1" readingOrder="1"/>
    </xf>
    <xf numFmtId="3" fontId="18" fillId="6" borderId="27" xfId="0" applyNumberFormat="1" applyFont="1" applyFill="1" applyBorder="1" applyAlignment="1">
      <alignment horizontal="center" vertical="center" wrapText="1" readingOrder="1"/>
    </xf>
    <xf numFmtId="3" fontId="18" fillId="6" borderId="26" xfId="0" applyNumberFormat="1" applyFont="1" applyFill="1" applyBorder="1" applyAlignment="1">
      <alignment horizontal="center" vertical="center" wrapText="1" readingOrder="1"/>
    </xf>
    <xf numFmtId="0" fontId="21" fillId="0" borderId="28" xfId="0" applyFont="1" applyBorder="1" applyAlignment="1">
      <alignment horizontal="center" vertical="center" wrapText="1" readingOrder="1"/>
    </xf>
    <xf numFmtId="0" fontId="21" fillId="0" borderId="29" xfId="0" applyFont="1" applyBorder="1" applyAlignment="1">
      <alignment horizontal="center" vertical="center" wrapText="1" readingOrder="1"/>
    </xf>
    <xf numFmtId="0" fontId="12" fillId="5" borderId="5" xfId="0" applyFont="1" applyFill="1" applyBorder="1" applyAlignment="1">
      <alignment horizontal="center" vertical="center" wrapText="1" readingOrder="1"/>
    </xf>
    <xf numFmtId="38" fontId="12" fillId="5" borderId="13" xfId="1" applyNumberFormat="1" applyFont="1" applyFill="1" applyBorder="1" applyAlignment="1">
      <alignment horizontal="center" vertical="center" wrapText="1" readingOrder="1"/>
    </xf>
    <xf numFmtId="38" fontId="12" fillId="5" borderId="8" xfId="1" applyNumberFormat="1" applyFont="1" applyFill="1" applyBorder="1" applyAlignment="1">
      <alignment horizontal="center" vertical="center" wrapText="1" readingOrder="1"/>
    </xf>
    <xf numFmtId="0" fontId="0" fillId="0" borderId="1" xfId="0" applyBorder="1" applyAlignment="1">
      <alignment horizontal="center" vertical="center" wrapText="1"/>
    </xf>
    <xf numFmtId="0" fontId="23" fillId="0" borderId="7" xfId="0" applyFont="1" applyBorder="1" applyAlignment="1">
      <alignment horizontal="center" vertical="center" wrapText="1" readingOrder="1"/>
    </xf>
    <xf numFmtId="0" fontId="23" fillId="0" borderId="0" xfId="0" applyFont="1" applyAlignment="1">
      <alignment horizontal="center" vertical="center" wrapText="1" readingOrder="1"/>
    </xf>
    <xf numFmtId="3" fontId="24" fillId="0" borderId="0" xfId="0" applyNumberFormat="1" applyFont="1" applyAlignment="1">
      <alignment horizontal="center" vertical="center" wrapText="1" readingOrder="1"/>
    </xf>
    <xf numFmtId="3" fontId="23" fillId="0" borderId="8" xfId="0" applyNumberFormat="1" applyFont="1" applyBorder="1" applyAlignment="1">
      <alignment horizontal="center" vertical="center" wrapText="1" readingOrder="1"/>
    </xf>
    <xf numFmtId="38" fontId="0" fillId="0" borderId="0" xfId="0" applyNumberFormat="1">
      <alignment vertical="center"/>
    </xf>
    <xf numFmtId="0" fontId="25" fillId="0" borderId="7" xfId="0" applyFont="1" applyBorder="1" applyAlignment="1">
      <alignment horizontal="center" vertical="center" wrapText="1" readingOrder="1"/>
    </xf>
    <xf numFmtId="0" fontId="11" fillId="5" borderId="4" xfId="0" applyFont="1" applyFill="1" applyBorder="1" applyAlignment="1">
      <alignment horizontal="center" vertical="center" wrapText="1"/>
    </xf>
    <xf numFmtId="0" fontId="11" fillId="5" borderId="7" xfId="0" applyFont="1" applyFill="1" applyBorder="1" applyAlignment="1">
      <alignment horizontal="center" vertical="center" wrapText="1"/>
    </xf>
    <xf numFmtId="178" fontId="11" fillId="5" borderId="7" xfId="1" applyNumberFormat="1" applyFont="1" applyFill="1" applyBorder="1" applyAlignment="1">
      <alignment horizontal="left" vertical="center" wrapText="1"/>
    </xf>
    <xf numFmtId="178" fontId="11" fillId="5" borderId="11" xfId="1" applyNumberFormat="1" applyFont="1" applyFill="1" applyBorder="1" applyAlignment="1">
      <alignment horizontal="left" vertical="center" wrapText="1"/>
    </xf>
    <xf numFmtId="0" fontId="12" fillId="5" borderId="37" xfId="0" applyFont="1" applyFill="1" applyBorder="1" applyAlignment="1">
      <alignment horizontal="center" vertical="center" wrapText="1" readingOrder="1"/>
    </xf>
    <xf numFmtId="0" fontId="11" fillId="5" borderId="37" xfId="0" applyFont="1" applyFill="1" applyBorder="1" applyAlignment="1">
      <alignment horizontal="center" vertical="center" wrapText="1"/>
    </xf>
    <xf numFmtId="0" fontId="12" fillId="5" borderId="42" xfId="0" applyFont="1" applyFill="1" applyBorder="1" applyAlignment="1">
      <alignment horizontal="center" vertical="center" wrapText="1" readingOrder="1"/>
    </xf>
    <xf numFmtId="0" fontId="11" fillId="5" borderId="42" xfId="0" applyFont="1" applyFill="1" applyBorder="1" applyAlignment="1">
      <alignment horizontal="center" vertical="center" wrapText="1"/>
    </xf>
    <xf numFmtId="179" fontId="0" fillId="0" borderId="1" xfId="2" applyNumberFormat="1" applyFont="1" applyBorder="1">
      <alignment vertical="center"/>
    </xf>
    <xf numFmtId="179" fontId="0" fillId="7" borderId="1" xfId="2" applyNumberFormat="1" applyFont="1" applyFill="1" applyBorder="1">
      <alignment vertical="center"/>
    </xf>
    <xf numFmtId="0" fontId="0" fillId="7" borderId="1" xfId="0" applyFill="1" applyBorder="1" applyAlignment="1">
      <alignment horizontal="center" vertical="center"/>
    </xf>
    <xf numFmtId="38" fontId="12" fillId="5" borderId="0" xfId="1" applyNumberFormat="1" applyFont="1" applyFill="1" applyBorder="1" applyAlignment="1">
      <alignment horizontal="center" vertical="center" wrapText="1" readingOrder="1"/>
    </xf>
    <xf numFmtId="178" fontId="12" fillId="5" borderId="0" xfId="1" applyNumberFormat="1" applyFont="1" applyFill="1" applyBorder="1" applyAlignment="1">
      <alignment horizontal="center" vertical="center" wrapText="1" readingOrder="1"/>
    </xf>
    <xf numFmtId="0" fontId="26" fillId="0" borderId="46" xfId="0" applyFont="1" applyBorder="1" applyAlignment="1">
      <alignment horizontal="center" vertical="center" wrapText="1" readingOrder="1"/>
    </xf>
    <xf numFmtId="0" fontId="26" fillId="0" borderId="45" xfId="0" applyFont="1" applyBorder="1" applyAlignment="1">
      <alignment horizontal="center" vertical="center" wrapText="1" readingOrder="1"/>
    </xf>
    <xf numFmtId="0" fontId="26" fillId="0" borderId="47" xfId="0" applyFont="1" applyBorder="1" applyAlignment="1">
      <alignment horizontal="center" vertical="center" wrapText="1" readingOrder="1"/>
    </xf>
    <xf numFmtId="0" fontId="26" fillId="0" borderId="50" xfId="0" applyFont="1" applyBorder="1" applyAlignment="1">
      <alignment horizontal="center" vertical="center" wrapText="1" readingOrder="1"/>
    </xf>
    <xf numFmtId="0" fontId="26" fillId="0" borderId="43" xfId="0" applyFont="1" applyBorder="1" applyAlignment="1">
      <alignment horizontal="center" vertical="center" wrapText="1" readingOrder="1"/>
    </xf>
    <xf numFmtId="3" fontId="26" fillId="0" borderId="46" xfId="0" applyNumberFormat="1" applyFont="1" applyBorder="1" applyAlignment="1">
      <alignment horizontal="center" vertical="center" readingOrder="1"/>
    </xf>
    <xf numFmtId="3" fontId="26" fillId="0" borderId="47" xfId="0" applyNumberFormat="1" applyFont="1" applyBorder="1" applyAlignment="1">
      <alignment horizontal="center" vertical="center" readingOrder="1"/>
    </xf>
    <xf numFmtId="3" fontId="26" fillId="0" borderId="43" xfId="0" applyNumberFormat="1" applyFont="1" applyBorder="1" applyAlignment="1">
      <alignment horizontal="center" vertical="center" readingOrder="1"/>
    </xf>
    <xf numFmtId="3" fontId="26" fillId="0" borderId="50" xfId="0" applyNumberFormat="1" applyFont="1" applyBorder="1" applyAlignment="1">
      <alignment horizontal="center" vertical="center" readingOrder="1"/>
    </xf>
    <xf numFmtId="0" fontId="13" fillId="4" borderId="39" xfId="0" applyFont="1" applyFill="1" applyBorder="1" applyAlignment="1">
      <alignment horizontal="center" vertical="center" wrapText="1" readingOrder="1"/>
    </xf>
    <xf numFmtId="3" fontId="28" fillId="0" borderId="46" xfId="0" applyNumberFormat="1" applyFont="1" applyBorder="1" applyAlignment="1">
      <alignment vertical="center" readingOrder="1"/>
    </xf>
    <xf numFmtId="3" fontId="28" fillId="0" borderId="47" xfId="0" applyNumberFormat="1" applyFont="1" applyBorder="1" applyAlignment="1">
      <alignment vertical="center" readingOrder="1"/>
    </xf>
    <xf numFmtId="3" fontId="28" fillId="0" borderId="50" xfId="0" applyNumberFormat="1" applyFont="1" applyBorder="1" applyAlignment="1">
      <alignment vertical="center" readingOrder="1"/>
    </xf>
    <xf numFmtId="0" fontId="12" fillId="5" borderId="0" xfId="0" applyFont="1" applyFill="1" applyAlignment="1">
      <alignment horizontal="center" vertical="center" wrapText="1" readingOrder="1"/>
    </xf>
    <xf numFmtId="0" fontId="30" fillId="0" borderId="0" xfId="0" applyFont="1">
      <alignment vertical="center"/>
    </xf>
    <xf numFmtId="0" fontId="29" fillId="5" borderId="42" xfId="0" applyFont="1" applyFill="1" applyBorder="1" applyAlignment="1">
      <alignment horizontal="center" vertical="center" wrapText="1" readingOrder="1"/>
    </xf>
    <xf numFmtId="38" fontId="11" fillId="5" borderId="0" xfId="1" applyNumberFormat="1" applyFont="1" applyFill="1" applyBorder="1" applyAlignment="1">
      <alignment horizontal="center" vertical="center" wrapText="1"/>
    </xf>
    <xf numFmtId="178" fontId="11" fillId="5" borderId="0" xfId="1" applyNumberFormat="1" applyFont="1" applyFill="1" applyBorder="1" applyAlignment="1">
      <alignment horizontal="left" vertical="center" wrapText="1"/>
    </xf>
    <xf numFmtId="0" fontId="15" fillId="0" borderId="0" xfId="0" applyFont="1" applyAlignment="1">
      <alignment horizontal="center" vertical="center" wrapText="1" readingOrder="1"/>
    </xf>
    <xf numFmtId="0" fontId="13" fillId="4" borderId="36" xfId="0" applyFont="1" applyFill="1" applyBorder="1" applyAlignment="1">
      <alignment horizontal="center" vertical="center" wrapText="1" readingOrder="1"/>
    </xf>
    <xf numFmtId="0" fontId="13" fillId="4" borderId="38" xfId="0" applyFont="1" applyFill="1" applyBorder="1" applyAlignment="1">
      <alignment horizontal="center" vertical="center" wrapText="1" readingOrder="1"/>
    </xf>
    <xf numFmtId="0" fontId="28" fillId="0" borderId="0" xfId="0" applyFont="1" applyAlignment="1">
      <alignment horizontal="center" vertical="center" wrapText="1" readingOrder="1"/>
    </xf>
    <xf numFmtId="0" fontId="32" fillId="0" borderId="8" xfId="0" applyFont="1" applyBorder="1" applyAlignment="1">
      <alignment horizontal="center" vertical="center" wrapText="1" readingOrder="1"/>
    </xf>
    <xf numFmtId="0" fontId="21" fillId="4" borderId="3" xfId="0" applyFont="1" applyFill="1" applyBorder="1" applyAlignment="1">
      <alignment horizontal="center" vertical="center" wrapText="1" readingOrder="1"/>
    </xf>
    <xf numFmtId="0" fontId="21" fillId="4" borderId="6" xfId="0" applyFont="1" applyFill="1" applyBorder="1" applyAlignment="1">
      <alignment horizontal="center" vertical="center" wrapText="1" readingOrder="1"/>
    </xf>
    <xf numFmtId="0" fontId="33" fillId="0" borderId="53" xfId="0" applyFont="1" applyBorder="1" applyAlignment="1">
      <alignment horizontal="center" vertical="center" wrapText="1" readingOrder="1"/>
    </xf>
    <xf numFmtId="0" fontId="33" fillId="6" borderId="53" xfId="0" applyFont="1" applyFill="1" applyBorder="1" applyAlignment="1">
      <alignment horizontal="center" vertical="center" wrapText="1" readingOrder="1"/>
    </xf>
    <xf numFmtId="0" fontId="33" fillId="0" borderId="53" xfId="0" applyFont="1" applyBorder="1" applyAlignment="1">
      <alignment horizontal="left" vertical="center" wrapText="1" readingOrder="1"/>
    </xf>
    <xf numFmtId="0" fontId="33" fillId="11" borderId="53" xfId="0" applyFont="1" applyFill="1" applyBorder="1" applyAlignment="1">
      <alignment horizontal="center" vertical="center" wrapText="1" readingOrder="1"/>
    </xf>
    <xf numFmtId="3" fontId="28" fillId="0" borderId="0" xfId="0" applyNumberFormat="1" applyFont="1" applyAlignment="1">
      <alignment horizontal="center" vertical="center" wrapText="1" readingOrder="1"/>
    </xf>
    <xf numFmtId="0" fontId="32" fillId="0" borderId="0" xfId="0" applyFont="1" applyAlignment="1">
      <alignment horizontal="center" vertical="center" wrapText="1" readingOrder="1"/>
    </xf>
    <xf numFmtId="3" fontId="28" fillId="0" borderId="7" xfId="0" applyNumberFormat="1" applyFont="1" applyBorder="1" applyAlignment="1">
      <alignment horizontal="center" vertical="center" wrapText="1" readingOrder="1"/>
    </xf>
    <xf numFmtId="0" fontId="0" fillId="0" borderId="8" xfId="0" applyBorder="1" applyAlignment="1">
      <alignment horizontal="center" vertical="center" wrapText="1"/>
    </xf>
    <xf numFmtId="0" fontId="33" fillId="0" borderId="55" xfId="0" applyFont="1" applyBorder="1" applyAlignment="1">
      <alignment horizontal="center" vertical="center" wrapText="1" readingOrder="1"/>
    </xf>
    <xf numFmtId="0" fontId="33" fillId="6" borderId="55" xfId="0" applyFont="1" applyFill="1" applyBorder="1" applyAlignment="1">
      <alignment horizontal="center" vertical="center" wrapText="1" readingOrder="1"/>
    </xf>
    <xf numFmtId="0" fontId="33" fillId="0" borderId="55" xfId="0" applyFont="1" applyBorder="1" applyAlignment="1">
      <alignment horizontal="left" vertical="center" wrapText="1" readingOrder="1"/>
    </xf>
    <xf numFmtId="0" fontId="33" fillId="12" borderId="55" xfId="0" applyFont="1" applyFill="1" applyBorder="1" applyAlignment="1">
      <alignment horizontal="center" vertical="center" wrapText="1" readingOrder="1"/>
    </xf>
    <xf numFmtId="0" fontId="33" fillId="13" borderId="55" xfId="0" applyFont="1" applyFill="1" applyBorder="1" applyAlignment="1">
      <alignment horizontal="center" vertical="center" wrapText="1" readingOrder="1"/>
    </xf>
    <xf numFmtId="0" fontId="33" fillId="0" borderId="57" xfId="0" applyFont="1" applyBorder="1" applyAlignment="1">
      <alignment horizontal="center" vertical="center" wrapText="1" readingOrder="1"/>
    </xf>
    <xf numFmtId="0" fontId="33" fillId="6" borderId="57" xfId="0" applyFont="1" applyFill="1" applyBorder="1" applyAlignment="1">
      <alignment horizontal="center" vertical="center" wrapText="1" readingOrder="1"/>
    </xf>
    <xf numFmtId="0" fontId="33" fillId="0" borderId="57" xfId="0" applyFont="1" applyBorder="1" applyAlignment="1">
      <alignment horizontal="left" vertical="center" wrapText="1" readingOrder="1"/>
    </xf>
    <xf numFmtId="0" fontId="33" fillId="13" borderId="57" xfId="0" applyFont="1" applyFill="1" applyBorder="1" applyAlignment="1">
      <alignment horizontal="center" vertical="center" wrapText="1" readingOrder="1"/>
    </xf>
    <xf numFmtId="0" fontId="33" fillId="0" borderId="59" xfId="0" applyFont="1" applyBorder="1" applyAlignment="1">
      <alignment horizontal="center" vertical="center" wrapText="1" readingOrder="1"/>
    </xf>
    <xf numFmtId="0" fontId="33" fillId="0" borderId="60" xfId="0" applyFont="1" applyBorder="1" applyAlignment="1">
      <alignment horizontal="center" vertical="center" wrapText="1" readingOrder="1"/>
    </xf>
    <xf numFmtId="0" fontId="30" fillId="0" borderId="0" xfId="0" applyFont="1" applyAlignment="1">
      <alignment horizontal="left" vertical="center"/>
    </xf>
    <xf numFmtId="0" fontId="18" fillId="0" borderId="15" xfId="0" applyFont="1" applyBorder="1" applyAlignment="1">
      <alignment horizontal="left" vertical="center" wrapText="1" readingOrder="1"/>
    </xf>
    <xf numFmtId="3" fontId="12" fillId="0" borderId="18" xfId="0" applyNumberFormat="1" applyFont="1" applyBorder="1" applyAlignment="1">
      <alignment horizontal="left" vertical="center" wrapText="1" readingOrder="1"/>
    </xf>
    <xf numFmtId="3" fontId="18" fillId="0" borderId="8" xfId="0" applyNumberFormat="1" applyFont="1" applyBorder="1" applyAlignment="1">
      <alignment horizontal="left" vertical="center" wrapText="1" readingOrder="1"/>
    </xf>
    <xf numFmtId="0" fontId="21" fillId="4" borderId="9" xfId="0" applyFont="1" applyFill="1" applyBorder="1" applyAlignment="1">
      <alignment horizontal="left" vertical="center" wrapText="1" readingOrder="1"/>
    </xf>
    <xf numFmtId="0" fontId="34" fillId="0" borderId="0" xfId="0" applyFont="1">
      <alignment vertical="center"/>
    </xf>
    <xf numFmtId="0" fontId="36" fillId="5" borderId="6" xfId="0" applyFont="1" applyFill="1" applyBorder="1" applyAlignment="1">
      <alignment horizontal="center" vertical="center" wrapText="1" readingOrder="1"/>
    </xf>
    <xf numFmtId="14" fontId="0" fillId="0" borderId="0" xfId="0" applyNumberFormat="1" applyAlignment="1">
      <alignment vertical="center" wrapText="1"/>
    </xf>
    <xf numFmtId="3" fontId="26" fillId="0" borderId="45" xfId="0" applyNumberFormat="1" applyFont="1" applyBorder="1" applyAlignment="1">
      <alignment horizontal="center" vertical="center" wrapText="1" readingOrder="1"/>
    </xf>
    <xf numFmtId="0" fontId="26" fillId="10" borderId="49" xfId="0" applyFont="1" applyFill="1" applyBorder="1" applyAlignment="1">
      <alignment horizontal="center" vertical="center" readingOrder="1"/>
    </xf>
    <xf numFmtId="0" fontId="26" fillId="10" borderId="44" xfId="0" applyFont="1" applyFill="1" applyBorder="1" applyAlignment="1">
      <alignment horizontal="center" vertical="center" readingOrder="1"/>
    </xf>
    <xf numFmtId="0" fontId="26" fillId="10" borderId="51" xfId="0" applyFont="1" applyFill="1" applyBorder="1" applyAlignment="1">
      <alignment horizontal="center" vertical="center" readingOrder="1"/>
    </xf>
    <xf numFmtId="0" fontId="26" fillId="0" borderId="48" xfId="0" applyFont="1" applyBorder="1" applyAlignment="1">
      <alignment horizontal="center" vertical="center" readingOrder="1"/>
    </xf>
    <xf numFmtId="0" fontId="26" fillId="0" borderId="49" xfId="0" applyFont="1" applyBorder="1" applyAlignment="1">
      <alignment horizontal="center" vertical="center" readingOrder="1"/>
    </xf>
    <xf numFmtId="0" fontId="26" fillId="0" borderId="51" xfId="0" applyFont="1" applyBorder="1" applyAlignment="1">
      <alignment horizontal="center" vertical="center" readingOrder="1"/>
    </xf>
    <xf numFmtId="0" fontId="37" fillId="0" borderId="61" xfId="0" applyFont="1" applyBorder="1" applyAlignment="1">
      <alignment horizontal="center" vertical="center"/>
    </xf>
    <xf numFmtId="179" fontId="0" fillId="9" borderId="0" xfId="0" applyNumberFormat="1" applyFill="1">
      <alignment vertical="center"/>
    </xf>
    <xf numFmtId="0" fontId="6" fillId="0" borderId="1" xfId="0" applyFont="1" applyBorder="1" applyAlignment="1">
      <alignment horizontal="center" vertical="center" wrapText="1"/>
    </xf>
    <xf numFmtId="179" fontId="4" fillId="0" borderId="1" xfId="2" applyNumberFormat="1" applyFont="1" applyBorder="1">
      <alignment vertical="center"/>
    </xf>
    <xf numFmtId="0" fontId="6" fillId="0" borderId="1" xfId="0" applyFont="1" applyBorder="1">
      <alignment vertical="center"/>
    </xf>
    <xf numFmtId="0" fontId="33" fillId="0" borderId="59" xfId="0" applyFont="1" applyBorder="1" applyAlignment="1">
      <alignment horizontal="left" vertical="center" wrapText="1" readingOrder="1"/>
    </xf>
    <xf numFmtId="0" fontId="33" fillId="13" borderId="59" xfId="0" applyFont="1" applyFill="1" applyBorder="1" applyAlignment="1">
      <alignment horizontal="center" vertical="center" wrapText="1" readingOrder="1"/>
    </xf>
    <xf numFmtId="0" fontId="26" fillId="0" borderId="62" xfId="0" applyFont="1" applyBorder="1" applyAlignment="1">
      <alignment horizontal="center" vertical="center" readingOrder="1"/>
    </xf>
    <xf numFmtId="0" fontId="26" fillId="0" borderId="47" xfId="0" applyFont="1" applyBorder="1" applyAlignment="1">
      <alignment horizontal="center" vertical="center" readingOrder="1"/>
    </xf>
    <xf numFmtId="0" fontId="26" fillId="0" borderId="50" xfId="0" applyFont="1" applyBorder="1" applyAlignment="1">
      <alignment horizontal="center" vertical="center" readingOrder="1"/>
    </xf>
    <xf numFmtId="0" fontId="33" fillId="0" borderId="54" xfId="0" applyFont="1" applyBorder="1" applyAlignment="1">
      <alignment horizontal="center" vertical="center" wrapText="1" readingOrder="1"/>
    </xf>
    <xf numFmtId="0" fontId="33" fillId="0" borderId="56" xfId="0" applyFont="1" applyBorder="1" applyAlignment="1">
      <alignment horizontal="center" vertical="center" wrapText="1" readingOrder="1"/>
    </xf>
    <xf numFmtId="0" fontId="33" fillId="0" borderId="58" xfId="0" applyFont="1" applyBorder="1" applyAlignment="1">
      <alignment horizontal="center" vertical="center" wrapText="1" readingOrder="1"/>
    </xf>
    <xf numFmtId="0" fontId="33" fillId="8" borderId="55" xfId="0" applyFont="1" applyFill="1" applyBorder="1" applyAlignment="1">
      <alignment horizontal="center" vertical="center" wrapText="1" readingOrder="1"/>
    </xf>
    <xf numFmtId="0" fontId="4" fillId="0" borderId="0" xfId="0" applyFont="1">
      <alignment vertical="center"/>
    </xf>
    <xf numFmtId="179" fontId="0" fillId="0" borderId="0" xfId="0" applyNumberFormat="1">
      <alignment vertical="center"/>
    </xf>
    <xf numFmtId="176" fontId="0" fillId="0" borderId="0" xfId="0" applyNumberFormat="1">
      <alignment vertical="center"/>
    </xf>
    <xf numFmtId="0" fontId="38" fillId="0" borderId="0" xfId="0" applyFont="1" applyAlignment="1">
      <alignment vertical="center" wrapText="1"/>
    </xf>
    <xf numFmtId="14" fontId="38" fillId="0" borderId="0" xfId="0" applyNumberFormat="1" applyFont="1" applyAlignment="1">
      <alignment vertical="center" wrapText="1"/>
    </xf>
    <xf numFmtId="0" fontId="2" fillId="0" borderId="1" xfId="0" applyFont="1" applyBorder="1" applyAlignment="1">
      <alignment horizontal="center" vertical="center"/>
    </xf>
    <xf numFmtId="179" fontId="2" fillId="0" borderId="1" xfId="2" applyNumberFormat="1" applyFont="1" applyBorder="1">
      <alignment vertical="center"/>
    </xf>
    <xf numFmtId="0" fontId="2" fillId="0" borderId="1" xfId="0" applyFont="1" applyBorder="1">
      <alignment vertical="center"/>
    </xf>
    <xf numFmtId="0" fontId="6" fillId="0" borderId="1" xfId="0" applyFont="1" applyBorder="1" applyAlignment="1">
      <alignment horizontal="center" vertical="center"/>
    </xf>
    <xf numFmtId="0" fontId="4" fillId="0" borderId="1" xfId="0" applyFont="1" applyBorder="1">
      <alignment vertical="center"/>
    </xf>
    <xf numFmtId="14" fontId="0" fillId="0" borderId="0" xfId="0" applyNumberFormat="1">
      <alignment vertical="center"/>
    </xf>
    <xf numFmtId="14" fontId="39" fillId="0" borderId="0" xfId="0" applyNumberFormat="1" applyFont="1">
      <alignment vertical="center"/>
    </xf>
    <xf numFmtId="0" fontId="10" fillId="0" borderId="0" xfId="0" applyFont="1" applyAlignment="1">
      <alignment vertical="center" wrapText="1"/>
    </xf>
    <xf numFmtId="0" fontId="40" fillId="11" borderId="55" xfId="0" applyFont="1" applyFill="1" applyBorder="1" applyAlignment="1">
      <alignment horizontal="center" vertical="center" wrapText="1" readingOrder="1"/>
    </xf>
    <xf numFmtId="14" fontId="0" fillId="0" borderId="1" xfId="0" applyNumberFormat="1" applyBorder="1">
      <alignment vertical="center"/>
    </xf>
    <xf numFmtId="0" fontId="0" fillId="14" borderId="1" xfId="0" applyFill="1" applyBorder="1" applyAlignment="1">
      <alignment horizontal="center" vertical="center"/>
    </xf>
    <xf numFmtId="0" fontId="0" fillId="14" borderId="1" xfId="0" applyFill="1" applyBorder="1">
      <alignment vertical="center"/>
    </xf>
    <xf numFmtId="14" fontId="0" fillId="14" borderId="1" xfId="0" applyNumberFormat="1" applyFill="1" applyBorder="1">
      <alignment vertical="center"/>
    </xf>
    <xf numFmtId="179" fontId="0" fillId="14" borderId="1" xfId="2" applyNumberFormat="1" applyFont="1" applyFill="1" applyBorder="1">
      <alignment vertical="center"/>
    </xf>
    <xf numFmtId="176" fontId="0" fillId="9" borderId="0" xfId="0" applyNumberFormat="1" applyFill="1">
      <alignment vertical="center"/>
    </xf>
    <xf numFmtId="3" fontId="0" fillId="0" borderId="0" xfId="0" applyNumberFormat="1">
      <alignment vertical="center"/>
    </xf>
    <xf numFmtId="0" fontId="37" fillId="0" borderId="0" xfId="0" applyFont="1" applyAlignment="1">
      <alignment horizontal="center" vertical="center"/>
    </xf>
    <xf numFmtId="0" fontId="36" fillId="15" borderId="6" xfId="0" applyFont="1" applyFill="1" applyBorder="1" applyAlignment="1">
      <alignment horizontal="center" vertical="center" wrapText="1" readingOrder="1"/>
    </xf>
    <xf numFmtId="0" fontId="17" fillId="15" borderId="6" xfId="0" applyFont="1" applyFill="1" applyBorder="1" applyAlignment="1">
      <alignment horizontal="center" vertical="center" wrapText="1" readingOrder="1"/>
    </xf>
    <xf numFmtId="0" fontId="26" fillId="15" borderId="46" xfId="0" applyFont="1" applyFill="1" applyBorder="1" applyAlignment="1">
      <alignment horizontal="center" vertical="center" wrapText="1" readingOrder="1"/>
    </xf>
    <xf numFmtId="0" fontId="26" fillId="15" borderId="45" xfId="0" applyFont="1" applyFill="1" applyBorder="1" applyAlignment="1">
      <alignment horizontal="center" vertical="center" wrapText="1" readingOrder="1"/>
    </xf>
    <xf numFmtId="0" fontId="26" fillId="15" borderId="47" xfId="0" applyFont="1" applyFill="1" applyBorder="1" applyAlignment="1">
      <alignment horizontal="center" vertical="center" wrapText="1" readingOrder="1"/>
    </xf>
    <xf numFmtId="9" fontId="26" fillId="15" borderId="48" xfId="0" applyNumberFormat="1" applyFont="1" applyFill="1" applyBorder="1" applyAlignment="1">
      <alignment horizontal="center" vertical="center" wrapText="1" readingOrder="1"/>
    </xf>
    <xf numFmtId="0" fontId="26" fillId="15" borderId="52" xfId="0" applyFont="1" applyFill="1" applyBorder="1" applyAlignment="1">
      <alignment horizontal="center" vertical="center" wrapText="1" readingOrder="1"/>
    </xf>
    <xf numFmtId="0" fontId="27" fillId="0" borderId="47" xfId="0" applyFont="1" applyBorder="1" applyAlignment="1">
      <alignment horizontal="center" vertical="center" wrapText="1" readingOrder="1"/>
    </xf>
    <xf numFmtId="180" fontId="0" fillId="0" borderId="63" xfId="0" applyNumberFormat="1" applyBorder="1">
      <alignment vertical="center"/>
    </xf>
    <xf numFmtId="180" fontId="0" fillId="0" borderId="1" xfId="0" applyNumberFormat="1" applyBorder="1">
      <alignment vertical="center"/>
    </xf>
    <xf numFmtId="180" fontId="0" fillId="0" borderId="0" xfId="0" applyNumberFormat="1">
      <alignment vertical="center"/>
    </xf>
    <xf numFmtId="3" fontId="26" fillId="0" borderId="45" xfId="0" applyNumberFormat="1" applyFont="1" applyBorder="1" applyAlignment="1">
      <alignment horizontal="center" vertical="center" readingOrder="1"/>
    </xf>
    <xf numFmtId="0" fontId="26" fillId="10" borderId="52" xfId="0" applyFont="1" applyFill="1" applyBorder="1" applyAlignment="1">
      <alignment horizontal="center" vertical="center" readingOrder="1"/>
    </xf>
    <xf numFmtId="14" fontId="26" fillId="0" borderId="46" xfId="0" applyNumberFormat="1" applyFont="1" applyBorder="1" applyAlignment="1">
      <alignment horizontal="center" vertical="center" wrapText="1" readingOrder="1"/>
    </xf>
    <xf numFmtId="14" fontId="26" fillId="0" borderId="47" xfId="0" applyNumberFormat="1" applyFont="1" applyBorder="1" applyAlignment="1">
      <alignment horizontal="center" vertical="center" wrapText="1" readingOrder="1"/>
    </xf>
    <xf numFmtId="0" fontId="26" fillId="10" borderId="49" xfId="0" applyFont="1" applyFill="1" applyBorder="1" applyAlignment="1">
      <alignment horizontal="center" vertical="center" wrapText="1" readingOrder="1"/>
    </xf>
    <xf numFmtId="14" fontId="26" fillId="0" borderId="45" xfId="0" applyNumberFormat="1" applyFont="1" applyBorder="1" applyAlignment="1">
      <alignment horizontal="center" vertical="center" wrapText="1" readingOrder="1"/>
    </xf>
    <xf numFmtId="14" fontId="26" fillId="0" borderId="46" xfId="0" applyNumberFormat="1" applyFont="1" applyBorder="1" applyAlignment="1">
      <alignment horizontal="center" vertical="center" readingOrder="1"/>
    </xf>
    <xf numFmtId="14" fontId="26" fillId="0" borderId="47" xfId="0" applyNumberFormat="1" applyFont="1" applyBorder="1" applyAlignment="1">
      <alignment horizontal="center" vertical="center" readingOrder="1"/>
    </xf>
    <xf numFmtId="14" fontId="26" fillId="0" borderId="45" xfId="0" applyNumberFormat="1" applyFont="1" applyBorder="1" applyAlignment="1">
      <alignment horizontal="center" vertical="center" readingOrder="1"/>
    </xf>
    <xf numFmtId="14" fontId="26" fillId="0" borderId="43" xfId="0" applyNumberFormat="1" applyFont="1" applyBorder="1" applyAlignment="1">
      <alignment horizontal="center" vertical="center" readingOrder="1"/>
    </xf>
    <xf numFmtId="14" fontId="26" fillId="0" borderId="50" xfId="0" applyNumberFormat="1" applyFont="1" applyBorder="1" applyAlignment="1">
      <alignment horizontal="center" vertical="center" readingOrder="1"/>
    </xf>
    <xf numFmtId="0" fontId="41" fillId="0" borderId="1" xfId="0" applyFont="1" applyBorder="1" applyAlignment="1">
      <alignment horizontal="justify" vertical="center" wrapText="1"/>
    </xf>
    <xf numFmtId="0" fontId="0" fillId="0" borderId="64" xfId="0" applyBorder="1" applyAlignment="1">
      <alignment vertical="center" wrapText="1"/>
    </xf>
    <xf numFmtId="0" fontId="0" fillId="0" borderId="64" xfId="0" applyBorder="1">
      <alignment vertical="center"/>
    </xf>
    <xf numFmtId="0" fontId="0" fillId="0" borderId="63" xfId="0" applyBorder="1">
      <alignment vertical="center"/>
    </xf>
    <xf numFmtId="0" fontId="0" fillId="0" borderId="64" xfId="0" applyBorder="1" applyAlignment="1">
      <alignment horizontal="center" vertical="center"/>
    </xf>
    <xf numFmtId="0" fontId="0" fillId="0" borderId="64" xfId="0" applyBorder="1" applyAlignment="1">
      <alignment horizontal="left" vertical="center"/>
    </xf>
    <xf numFmtId="180" fontId="0" fillId="0" borderId="64" xfId="0" applyNumberFormat="1" applyBorder="1">
      <alignment vertical="center"/>
    </xf>
    <xf numFmtId="181" fontId="0" fillId="0" borderId="0" xfId="0" applyNumberFormat="1">
      <alignment vertical="center"/>
    </xf>
    <xf numFmtId="0" fontId="0" fillId="0" borderId="1" xfId="0" applyBorder="1" applyAlignment="1">
      <alignment horizontal="left" vertical="center" wrapText="1"/>
    </xf>
    <xf numFmtId="0" fontId="43" fillId="0" borderId="0" xfId="0" applyFont="1">
      <alignment vertical="center"/>
    </xf>
    <xf numFmtId="0" fontId="43" fillId="0" borderId="0" xfId="0" applyFont="1" applyAlignment="1">
      <alignment horizontal="left" vertical="center"/>
    </xf>
    <xf numFmtId="0" fontId="44" fillId="0" borderId="0" xfId="0" applyFont="1">
      <alignment vertical="center"/>
    </xf>
    <xf numFmtId="0" fontId="0" fillId="0" borderId="0" xfId="0" applyAlignment="1">
      <alignment horizontal="left" vertical="center" wrapText="1"/>
    </xf>
    <xf numFmtId="0" fontId="10" fillId="0" borderId="0" xfId="0" applyFont="1">
      <alignment vertical="center"/>
    </xf>
    <xf numFmtId="0" fontId="0" fillId="0" borderId="47" xfId="0" applyBorder="1" applyAlignment="1">
      <alignment vertical="center" wrapText="1"/>
    </xf>
    <xf numFmtId="0" fontId="3" fillId="2" borderId="45" xfId="0" applyFont="1" applyFill="1" applyBorder="1" applyAlignment="1">
      <alignment vertical="center" wrapText="1"/>
    </xf>
    <xf numFmtId="0" fontId="3" fillId="2" borderId="65" xfId="0" applyFont="1" applyFill="1" applyBorder="1" applyAlignment="1">
      <alignment vertical="center" wrapText="1"/>
    </xf>
    <xf numFmtId="0" fontId="45" fillId="0" borderId="0" xfId="3">
      <alignment vertical="center"/>
    </xf>
    <xf numFmtId="180" fontId="0" fillId="0" borderId="2" xfId="0" applyNumberFormat="1" applyBorder="1">
      <alignment vertical="center"/>
    </xf>
    <xf numFmtId="0" fontId="0" fillId="0" borderId="63" xfId="0" applyBorder="1" applyAlignment="1">
      <alignment horizontal="center" vertical="center"/>
    </xf>
    <xf numFmtId="0" fontId="0" fillId="0" borderId="63" xfId="0" applyBorder="1" applyAlignment="1">
      <alignment vertical="center" wrapText="1"/>
    </xf>
    <xf numFmtId="0" fontId="0" fillId="0" borderId="63" xfId="0" applyBorder="1" applyAlignment="1">
      <alignment horizontal="left" vertical="center"/>
    </xf>
    <xf numFmtId="181" fontId="0" fillId="0" borderId="1" xfId="0" applyNumberFormat="1" applyBorder="1">
      <alignment vertical="center"/>
    </xf>
    <xf numFmtId="0" fontId="35" fillId="0" borderId="1" xfId="0" applyFont="1" applyBorder="1" applyAlignment="1">
      <alignment horizontal="left" vertical="center" wrapText="1"/>
    </xf>
    <xf numFmtId="0" fontId="26" fillId="9" borderId="48" xfId="0" applyFont="1" applyFill="1" applyBorder="1" applyAlignment="1">
      <alignment horizontal="center" vertical="center" readingOrder="1"/>
    </xf>
    <xf numFmtId="0" fontId="26" fillId="9" borderId="46" xfId="0" applyFont="1" applyFill="1" applyBorder="1" applyAlignment="1">
      <alignment horizontal="center" vertical="center" wrapText="1" readingOrder="1"/>
    </xf>
    <xf numFmtId="0" fontId="26" fillId="9" borderId="47" xfId="0" applyFont="1" applyFill="1" applyBorder="1" applyAlignment="1">
      <alignment horizontal="center" vertical="center" wrapText="1" readingOrder="1"/>
    </xf>
    <xf numFmtId="0" fontId="26" fillId="9" borderId="49" xfId="0" applyFont="1" applyFill="1" applyBorder="1" applyAlignment="1">
      <alignment horizontal="center" vertical="center" readingOrder="1"/>
    </xf>
    <xf numFmtId="0" fontId="3" fillId="2" borderId="2" xfId="0" applyFont="1" applyFill="1" applyBorder="1" applyAlignment="1">
      <alignment vertical="center" wrapText="1"/>
    </xf>
    <xf numFmtId="0" fontId="3" fillId="2" borderId="2" xfId="0" applyFont="1" applyFill="1" applyBorder="1" applyAlignment="1">
      <alignment horizontal="left" vertical="center"/>
    </xf>
    <xf numFmtId="0" fontId="3" fillId="2" borderId="67" xfId="0" applyFont="1" applyFill="1" applyBorder="1" applyAlignment="1">
      <alignment horizontal="center" vertical="center" wrapText="1"/>
    </xf>
    <xf numFmtId="0" fontId="0" fillId="0" borderId="68" xfId="0" applyBorder="1" applyAlignment="1">
      <alignment horizontal="center" vertical="center"/>
    </xf>
    <xf numFmtId="0" fontId="0" fillId="0" borderId="69" xfId="0" applyBorder="1">
      <alignment vertical="center"/>
    </xf>
    <xf numFmtId="0" fontId="0" fillId="0" borderId="65" xfId="0" applyBorder="1" applyAlignment="1">
      <alignment horizontal="center" vertical="center"/>
    </xf>
    <xf numFmtId="0" fontId="0" fillId="0" borderId="66" xfId="0" applyBorder="1" applyAlignment="1">
      <alignment horizontal="center" vertical="center"/>
    </xf>
    <xf numFmtId="0" fontId="0" fillId="0" borderId="70" xfId="0" applyBorder="1">
      <alignment vertical="center"/>
    </xf>
    <xf numFmtId="0" fontId="21" fillId="0" borderId="36" xfId="0" applyFont="1" applyBorder="1" applyAlignment="1">
      <alignment vertical="center" wrapText="1" readingOrder="1"/>
    </xf>
    <xf numFmtId="0" fontId="21" fillId="0" borderId="40" xfId="0" applyFont="1" applyBorder="1" applyAlignment="1">
      <alignment vertical="center" wrapText="1" readingOrder="1"/>
    </xf>
    <xf numFmtId="0" fontId="21" fillId="0" borderId="41" xfId="0" applyFont="1" applyBorder="1" applyAlignment="1">
      <alignment vertical="center" wrapText="1" readingOrder="1"/>
    </xf>
    <xf numFmtId="0" fontId="0" fillId="3" borderId="1" xfId="0" applyFill="1" applyBorder="1">
      <alignment vertical="center"/>
    </xf>
    <xf numFmtId="0" fontId="28" fillId="0" borderId="11" xfId="0" applyFont="1" applyBorder="1" applyAlignment="1">
      <alignment horizontal="center" vertical="center" wrapText="1" readingOrder="1"/>
    </xf>
    <xf numFmtId="0" fontId="28" fillId="0" borderId="12" xfId="0" applyFont="1" applyBorder="1" applyAlignment="1">
      <alignment horizontal="center" vertical="center" wrapText="1" readingOrder="1"/>
    </xf>
    <xf numFmtId="0" fontId="28" fillId="0" borderId="13" xfId="0" applyFont="1" applyBorder="1" applyAlignment="1">
      <alignment horizontal="center" vertical="center" wrapText="1" readingOrder="1"/>
    </xf>
    <xf numFmtId="0" fontId="0" fillId="3" borderId="63" xfId="0" applyFill="1" applyBorder="1">
      <alignment vertical="center"/>
    </xf>
    <xf numFmtId="0" fontId="31" fillId="0" borderId="4" xfId="0" applyFont="1" applyBorder="1" applyAlignment="1">
      <alignment vertical="center" wrapText="1" readingOrder="1"/>
    </xf>
    <xf numFmtId="0" fontId="31" fillId="0" borderId="10" xfId="0" applyFont="1" applyBorder="1" applyAlignment="1">
      <alignment vertical="center" wrapText="1" readingOrder="1"/>
    </xf>
    <xf numFmtId="0" fontId="31" fillId="0" borderId="5" xfId="0" applyFont="1" applyBorder="1" applyAlignment="1">
      <alignment vertical="center" wrapText="1" readingOrder="1"/>
    </xf>
    <xf numFmtId="0" fontId="26" fillId="9" borderId="45" xfId="0" applyFont="1" applyFill="1" applyBorder="1" applyAlignment="1">
      <alignment horizontal="center" vertical="center" wrapText="1" readingOrder="1"/>
    </xf>
    <xf numFmtId="0" fontId="33" fillId="6" borderId="0" xfId="0" applyFont="1" applyFill="1" applyAlignment="1">
      <alignment horizontal="center" vertical="center" wrapText="1" readingOrder="1"/>
    </xf>
    <xf numFmtId="0" fontId="28" fillId="0" borderId="47" xfId="0" applyFont="1" applyBorder="1" applyAlignment="1">
      <alignment horizontal="center" vertical="center" readingOrder="1"/>
    </xf>
    <xf numFmtId="3" fontId="28" fillId="0" borderId="47" xfId="0" applyNumberFormat="1" applyFont="1" applyBorder="1" applyAlignment="1">
      <alignment horizontal="center" vertical="center" readingOrder="1"/>
    </xf>
    <xf numFmtId="3" fontId="28" fillId="0" borderId="50" xfId="0" applyNumberFormat="1" applyFont="1" applyBorder="1" applyAlignment="1">
      <alignment horizontal="center" vertical="center" readingOrder="1"/>
    </xf>
    <xf numFmtId="3" fontId="28" fillId="0" borderId="46" xfId="0" applyNumberFormat="1" applyFont="1" applyBorder="1" applyAlignment="1">
      <alignment horizontal="center" vertical="center" readingOrder="1"/>
    </xf>
    <xf numFmtId="0" fontId="26" fillId="15" borderId="43" xfId="0" applyFont="1" applyFill="1" applyBorder="1" applyAlignment="1">
      <alignment horizontal="center" vertical="center" wrapText="1" readingOrder="1"/>
    </xf>
    <xf numFmtId="0" fontId="26" fillId="9" borderId="52" xfId="0" applyFont="1" applyFill="1" applyBorder="1" applyAlignment="1">
      <alignment horizontal="center" vertical="center" wrapText="1" readingOrder="1"/>
    </xf>
    <xf numFmtId="0" fontId="26" fillId="15" borderId="44" xfId="0" applyFont="1" applyFill="1" applyBorder="1" applyAlignment="1">
      <alignment horizontal="center" vertical="center" wrapText="1" readingOrder="1"/>
    </xf>
    <xf numFmtId="0" fontId="28" fillId="0" borderId="46" xfId="0" applyFont="1" applyBorder="1" applyAlignment="1">
      <alignment horizontal="center" vertical="center" readingOrder="1"/>
    </xf>
    <xf numFmtId="3" fontId="28" fillId="0" borderId="43" xfId="0" applyNumberFormat="1" applyFont="1" applyBorder="1" applyAlignment="1">
      <alignment horizontal="center" vertical="center" readingOrder="1"/>
    </xf>
    <xf numFmtId="0" fontId="28" fillId="0" borderId="46" xfId="0" applyFont="1" applyBorder="1" applyAlignment="1">
      <alignment horizontal="center" vertical="center" wrapText="1" readingOrder="1"/>
    </xf>
    <xf numFmtId="0" fontId="28" fillId="0" borderId="47" xfId="0" applyFont="1" applyBorder="1" applyAlignment="1">
      <alignment horizontal="center" vertical="center" wrapText="1" readingOrder="1"/>
    </xf>
    <xf numFmtId="0" fontId="28" fillId="0" borderId="45" xfId="0" applyFont="1" applyBorder="1" applyAlignment="1">
      <alignment horizontal="center" vertical="center" wrapText="1" readingOrder="1"/>
    </xf>
    <xf numFmtId="0" fontId="28" fillId="0" borderId="43" xfId="0" applyFont="1" applyBorder="1" applyAlignment="1">
      <alignment horizontal="center" vertical="center" wrapText="1" readingOrder="1"/>
    </xf>
    <xf numFmtId="0" fontId="28" fillId="0" borderId="45" xfId="0" applyFont="1" applyBorder="1" applyAlignment="1">
      <alignment horizontal="center" vertical="center" readingOrder="1"/>
    </xf>
    <xf numFmtId="0" fontId="46" fillId="0" borderId="11" xfId="0" applyFont="1" applyBorder="1" applyAlignment="1">
      <alignment horizontal="center" vertical="center"/>
    </xf>
    <xf numFmtId="0" fontId="46" fillId="0" borderId="12" xfId="0" applyFont="1" applyBorder="1" applyAlignment="1">
      <alignment horizontal="center" vertical="center"/>
    </xf>
    <xf numFmtId="0" fontId="46" fillId="0" borderId="13" xfId="0" applyFont="1" applyBorder="1" applyAlignment="1">
      <alignment horizontal="center" vertical="center"/>
    </xf>
    <xf numFmtId="0" fontId="46" fillId="0" borderId="11" xfId="0" applyFont="1" applyBorder="1" applyAlignment="1">
      <alignment horizontal="center" vertical="center" wrapText="1"/>
    </xf>
    <xf numFmtId="0" fontId="46" fillId="0" borderId="12" xfId="0" applyFont="1" applyBorder="1" applyAlignment="1">
      <alignment horizontal="center" vertical="center" wrapText="1"/>
    </xf>
    <xf numFmtId="0" fontId="46" fillId="0" borderId="13" xfId="0" applyFont="1" applyBorder="1" applyAlignment="1">
      <alignment horizontal="center" vertical="center" wrapText="1"/>
    </xf>
    <xf numFmtId="0" fontId="33" fillId="0" borderId="0" xfId="0" applyFont="1" applyAlignment="1">
      <alignment horizontal="center" vertical="center" wrapText="1" readingOrder="1"/>
    </xf>
    <xf numFmtId="0" fontId="33" fillId="13" borderId="0" xfId="0" applyFont="1" applyFill="1" applyAlignment="1">
      <alignment horizontal="center" vertical="center" wrapText="1" readingOrder="1"/>
    </xf>
    <xf numFmtId="0" fontId="33" fillId="0" borderId="62" xfId="0" applyFont="1" applyBorder="1" applyAlignment="1">
      <alignment horizontal="center" vertical="center" wrapText="1" readingOrder="1"/>
    </xf>
    <xf numFmtId="0" fontId="33" fillId="6" borderId="62" xfId="0" applyFont="1" applyFill="1" applyBorder="1" applyAlignment="1">
      <alignment horizontal="center" vertical="center" wrapText="1" readingOrder="1"/>
    </xf>
    <xf numFmtId="0" fontId="33" fillId="13" borderId="62" xfId="0" applyFont="1" applyFill="1" applyBorder="1" applyAlignment="1">
      <alignment horizontal="center" vertical="center" wrapText="1" readingOrder="1"/>
    </xf>
    <xf numFmtId="0" fontId="33" fillId="0" borderId="62" xfId="0" applyFont="1" applyBorder="1" applyAlignment="1">
      <alignment horizontal="left" vertical="center" wrapText="1" readingOrder="1"/>
    </xf>
    <xf numFmtId="0" fontId="33" fillId="0" borderId="0" xfId="0" applyFont="1" applyAlignment="1">
      <alignment horizontal="left" vertical="center" wrapText="1" readingOrder="1"/>
    </xf>
    <xf numFmtId="0" fontId="18" fillId="16" borderId="23" xfId="0" applyFont="1" applyFill="1" applyBorder="1" applyAlignment="1">
      <alignment horizontal="center" vertical="center" wrapText="1" readingOrder="1"/>
    </xf>
    <xf numFmtId="0" fontId="18" fillId="16" borderId="24" xfId="0" applyFont="1" applyFill="1" applyBorder="1" applyAlignment="1">
      <alignment horizontal="center" vertical="center" wrapText="1" readingOrder="1"/>
    </xf>
    <xf numFmtId="0" fontId="18" fillId="16" borderId="17" xfId="0" applyFont="1" applyFill="1" applyBorder="1" applyAlignment="1">
      <alignment horizontal="center" vertical="center" wrapText="1" readingOrder="1"/>
    </xf>
    <xf numFmtId="3" fontId="12" fillId="16" borderId="18" xfId="0" applyNumberFormat="1" applyFont="1" applyFill="1" applyBorder="1" applyAlignment="1">
      <alignment horizontal="center" vertical="center" wrapText="1" readingOrder="1"/>
    </xf>
    <xf numFmtId="0" fontId="20" fillId="16" borderId="17" xfId="0" applyFont="1" applyFill="1" applyBorder="1" applyAlignment="1">
      <alignment horizontal="center" vertical="center" wrapText="1" readingOrder="1"/>
    </xf>
    <xf numFmtId="3" fontId="18" fillId="16" borderId="18" xfId="0" applyNumberFormat="1" applyFont="1" applyFill="1" applyBorder="1" applyAlignment="1">
      <alignment horizontal="center" vertical="center" wrapText="1" readingOrder="1"/>
    </xf>
    <xf numFmtId="0" fontId="18" fillId="16" borderId="19" xfId="0" applyFont="1" applyFill="1" applyBorder="1" applyAlignment="1">
      <alignment horizontal="center" vertical="center" wrapText="1" readingOrder="1"/>
    </xf>
    <xf numFmtId="3" fontId="12" fillId="16" borderId="20" xfId="0" applyNumberFormat="1" applyFont="1" applyFill="1" applyBorder="1" applyAlignment="1">
      <alignment horizontal="center" vertical="center" wrapText="1" readingOrder="1"/>
    </xf>
    <xf numFmtId="3" fontId="12" fillId="16" borderId="19" xfId="0" applyNumberFormat="1" applyFont="1" applyFill="1" applyBorder="1" applyAlignment="1">
      <alignment horizontal="center" vertical="center" wrapText="1" readingOrder="1"/>
    </xf>
    <xf numFmtId="0" fontId="18" fillId="16" borderId="26" xfId="0" applyFont="1" applyFill="1" applyBorder="1" applyAlignment="1">
      <alignment horizontal="center" vertical="center" wrapText="1" readingOrder="1"/>
    </xf>
    <xf numFmtId="3" fontId="18" fillId="16" borderId="27" xfId="0" applyNumberFormat="1" applyFont="1" applyFill="1" applyBorder="1" applyAlignment="1">
      <alignment horizontal="center" vertical="center" wrapText="1" readingOrder="1"/>
    </xf>
    <xf numFmtId="3" fontId="18" fillId="16" borderId="26" xfId="0" applyNumberFormat="1" applyFont="1" applyFill="1" applyBorder="1" applyAlignment="1">
      <alignment horizontal="center" vertical="center" wrapText="1" readingOrder="1"/>
    </xf>
    <xf numFmtId="0" fontId="21" fillId="16" borderId="28" xfId="0" applyFont="1" applyFill="1" applyBorder="1" applyAlignment="1">
      <alignment horizontal="center" vertical="center" wrapText="1" readingOrder="1"/>
    </xf>
    <xf numFmtId="0" fontId="21" fillId="16" borderId="29" xfId="0" applyFont="1" applyFill="1" applyBorder="1" applyAlignment="1">
      <alignment horizontal="center" vertical="center" wrapText="1" readingOrder="1"/>
    </xf>
    <xf numFmtId="0" fontId="18" fillId="7" borderId="23" xfId="0" applyFont="1" applyFill="1" applyBorder="1" applyAlignment="1">
      <alignment horizontal="center" vertical="center" wrapText="1" readingOrder="1"/>
    </xf>
    <xf numFmtId="0" fontId="18" fillId="7" borderId="24" xfId="0" applyFont="1" applyFill="1" applyBorder="1" applyAlignment="1">
      <alignment horizontal="center" vertical="center" wrapText="1" readingOrder="1"/>
    </xf>
    <xf numFmtId="0" fontId="18" fillId="7" borderId="17" xfId="0" applyFont="1" applyFill="1" applyBorder="1" applyAlignment="1">
      <alignment horizontal="center" vertical="center" wrapText="1" readingOrder="1"/>
    </xf>
    <xf numFmtId="3" fontId="12" fillId="7" borderId="18" xfId="0" applyNumberFormat="1" applyFont="1" applyFill="1" applyBorder="1" applyAlignment="1">
      <alignment horizontal="center" vertical="center" wrapText="1" readingOrder="1"/>
    </xf>
    <xf numFmtId="0" fontId="18" fillId="7" borderId="19" xfId="0" applyFont="1" applyFill="1" applyBorder="1" applyAlignment="1">
      <alignment horizontal="center" vertical="center" wrapText="1" readingOrder="1"/>
    </xf>
    <xf numFmtId="0" fontId="18" fillId="7" borderId="26" xfId="0" applyFont="1" applyFill="1" applyBorder="1" applyAlignment="1">
      <alignment horizontal="center" vertical="center" wrapText="1" readingOrder="1"/>
    </xf>
    <xf numFmtId="3" fontId="18" fillId="7" borderId="27" xfId="0" applyNumberFormat="1" applyFont="1" applyFill="1" applyBorder="1" applyAlignment="1">
      <alignment horizontal="center" vertical="center" wrapText="1" readingOrder="1"/>
    </xf>
    <xf numFmtId="3" fontId="18" fillId="7" borderId="26" xfId="0" applyNumberFormat="1" applyFont="1" applyFill="1" applyBorder="1" applyAlignment="1">
      <alignment horizontal="center" vertical="center" wrapText="1" readingOrder="1"/>
    </xf>
    <xf numFmtId="0" fontId="21" fillId="7" borderId="28" xfId="0" applyFont="1" applyFill="1" applyBorder="1" applyAlignment="1">
      <alignment horizontal="center" vertical="center" wrapText="1" readingOrder="1"/>
    </xf>
    <xf numFmtId="0" fontId="21" fillId="7" borderId="29" xfId="0" applyFont="1" applyFill="1" applyBorder="1" applyAlignment="1">
      <alignment horizontal="center" vertical="center" wrapText="1" readingOrder="1"/>
    </xf>
    <xf numFmtId="3" fontId="49" fillId="7" borderId="27" xfId="0" applyNumberFormat="1" applyFont="1" applyFill="1" applyBorder="1" applyAlignment="1">
      <alignment horizontal="center" vertical="center" wrapText="1" readingOrder="1"/>
    </xf>
    <xf numFmtId="3" fontId="49" fillId="7" borderId="18" xfId="0" applyNumberFormat="1" applyFont="1" applyFill="1" applyBorder="1" applyAlignment="1">
      <alignment horizontal="center" vertical="center" wrapText="1" readingOrder="1"/>
    </xf>
    <xf numFmtId="0" fontId="33" fillId="9" borderId="53" xfId="0" applyFont="1" applyFill="1" applyBorder="1" applyAlignment="1">
      <alignment horizontal="center" vertical="center" wrapText="1" readingOrder="1"/>
    </xf>
    <xf numFmtId="0" fontId="33" fillId="9" borderId="55" xfId="0" applyFont="1" applyFill="1" applyBorder="1" applyAlignment="1">
      <alignment horizontal="center" vertical="center" wrapText="1" readingOrder="1"/>
    </xf>
    <xf numFmtId="0" fontId="33" fillId="9" borderId="59" xfId="0" applyFont="1" applyFill="1" applyBorder="1" applyAlignment="1">
      <alignment horizontal="center" vertical="center" wrapText="1" readingOrder="1"/>
    </xf>
    <xf numFmtId="0" fontId="43" fillId="0" borderId="0" xfId="0" applyFont="1" applyAlignment="1">
      <alignment horizontal="center" vertical="center"/>
    </xf>
    <xf numFmtId="0" fontId="3" fillId="17" borderId="2" xfId="0" applyFont="1" applyFill="1" applyBorder="1" applyAlignment="1">
      <alignment horizontal="center" vertical="center" wrapText="1"/>
    </xf>
    <xf numFmtId="0" fontId="3" fillId="17" borderId="2" xfId="0" applyFont="1" applyFill="1" applyBorder="1" applyAlignment="1">
      <alignment vertical="center" wrapText="1"/>
    </xf>
    <xf numFmtId="0" fontId="3" fillId="17" borderId="45" xfId="0" applyFont="1" applyFill="1" applyBorder="1" applyAlignment="1">
      <alignment vertical="center" wrapText="1"/>
    </xf>
    <xf numFmtId="2" fontId="0" fillId="0" borderId="0" xfId="0" applyNumberFormat="1">
      <alignment vertical="center"/>
    </xf>
    <xf numFmtId="0" fontId="4" fillId="0" borderId="1" xfId="0" applyFont="1" applyBorder="1" applyAlignment="1">
      <alignment vertical="center" wrapText="1"/>
    </xf>
    <xf numFmtId="181" fontId="0" fillId="0" borderId="64" xfId="0" applyNumberFormat="1" applyBorder="1">
      <alignment vertical="center"/>
    </xf>
    <xf numFmtId="0" fontId="0" fillId="0" borderId="69" xfId="0" applyBorder="1" applyAlignment="1">
      <alignment horizontal="center" vertical="center"/>
    </xf>
    <xf numFmtId="0" fontId="50" fillId="0" borderId="0" xfId="0" applyFont="1">
      <alignment vertical="center"/>
    </xf>
    <xf numFmtId="181" fontId="0" fillId="0" borderId="63" xfId="0" applyNumberFormat="1" applyBorder="1">
      <alignment vertical="center"/>
    </xf>
    <xf numFmtId="0" fontId="35" fillId="0" borderId="1" xfId="0" applyFont="1" applyBorder="1" applyAlignment="1">
      <alignment vertical="center" wrapText="1"/>
    </xf>
    <xf numFmtId="0" fontId="35" fillId="0" borderId="64" xfId="0" applyFont="1" applyBorder="1" applyAlignment="1">
      <alignment horizontal="left" vertical="center" wrapText="1"/>
    </xf>
    <xf numFmtId="0" fontId="0" fillId="0" borderId="2" xfId="0" applyBorder="1">
      <alignment vertical="center"/>
    </xf>
    <xf numFmtId="0" fontId="51" fillId="0" borderId="0" xfId="0" applyFont="1" applyAlignment="1">
      <alignment vertical="center" wrapText="1"/>
    </xf>
    <xf numFmtId="0" fontId="5" fillId="0" borderId="44" xfId="0" applyFont="1" applyBorder="1" applyAlignment="1">
      <alignment horizontal="center" vertical="center" wrapText="1"/>
    </xf>
    <xf numFmtId="0" fontId="5" fillId="0" borderId="44" xfId="0" applyFont="1" applyBorder="1" applyAlignment="1">
      <alignment horizontal="center" vertical="center"/>
    </xf>
    <xf numFmtId="0" fontId="52" fillId="0" borderId="0" xfId="0" applyFont="1">
      <alignment vertical="center"/>
    </xf>
    <xf numFmtId="0" fontId="53" fillId="0" borderId="34" xfId="0" applyFont="1" applyBorder="1" applyAlignment="1">
      <alignment horizontal="center" vertical="center"/>
    </xf>
    <xf numFmtId="0" fontId="0" fillId="0" borderId="34" xfId="0" applyBorder="1">
      <alignment vertical="center"/>
    </xf>
    <xf numFmtId="0" fontId="0" fillId="0" borderId="35" xfId="0" applyBorder="1">
      <alignment vertical="center"/>
    </xf>
    <xf numFmtId="0" fontId="55" fillId="0" borderId="44" xfId="0" applyFont="1" applyBorder="1" applyAlignment="1">
      <alignment horizontal="center" vertical="center"/>
    </xf>
    <xf numFmtId="0" fontId="55" fillId="0" borderId="44" xfId="0" applyFont="1" applyBorder="1" applyAlignment="1">
      <alignment horizontal="right" vertical="center"/>
    </xf>
    <xf numFmtId="0" fontId="55" fillId="5" borderId="44" xfId="0" applyFont="1" applyFill="1" applyBorder="1" applyAlignment="1">
      <alignment horizontal="center" vertical="center"/>
    </xf>
    <xf numFmtId="0" fontId="52" fillId="0" borderId="0" xfId="0" applyFont="1" applyAlignment="1">
      <alignment horizontal="justify" vertical="center"/>
    </xf>
    <xf numFmtId="0" fontId="4" fillId="0" borderId="63" xfId="0" applyFont="1" applyBorder="1" applyAlignment="1">
      <alignment vertical="center" wrapText="1"/>
    </xf>
    <xf numFmtId="0" fontId="5" fillId="0" borderId="1" xfId="0" applyFont="1" applyBorder="1">
      <alignment vertical="center"/>
    </xf>
    <xf numFmtId="0" fontId="2" fillId="0" borderId="64" xfId="0" applyFont="1" applyBorder="1" applyAlignment="1">
      <alignment vertical="center" wrapText="1"/>
    </xf>
    <xf numFmtId="0" fontId="35" fillId="0" borderId="63" xfId="0" applyFont="1" applyBorder="1" applyAlignment="1">
      <alignment horizontal="left" vertical="center" wrapText="1"/>
    </xf>
    <xf numFmtId="0" fontId="0" fillId="0" borderId="64" xfId="0" applyBorder="1" applyAlignment="1">
      <alignment horizontal="left" vertical="center" wrapText="1"/>
    </xf>
    <xf numFmtId="0" fontId="0" fillId="3" borderId="0" xfId="0" applyFill="1" applyAlignment="1">
      <alignment horizontal="center" vertical="center"/>
    </xf>
    <xf numFmtId="0" fontId="0" fillId="3" borderId="64" xfId="0" applyFill="1" applyBorder="1">
      <alignment vertical="center"/>
    </xf>
    <xf numFmtId="14" fontId="0" fillId="0" borderId="64" xfId="0" applyNumberFormat="1" applyBorder="1">
      <alignment vertical="center"/>
    </xf>
    <xf numFmtId="0" fontId="43" fillId="0" borderId="63" xfId="0" applyFont="1" applyBorder="1" applyAlignment="1">
      <alignment vertical="center" wrapText="1"/>
    </xf>
    <xf numFmtId="0" fontId="43" fillId="0" borderId="1" xfId="0" applyFont="1" applyBorder="1" applyAlignment="1">
      <alignment vertical="center" wrapText="1"/>
    </xf>
    <xf numFmtId="0" fontId="43" fillId="0" borderId="64" xfId="0" applyFont="1" applyBorder="1">
      <alignment vertical="center"/>
    </xf>
    <xf numFmtId="0" fontId="43" fillId="0" borderId="1" xfId="0" applyFont="1" applyBorder="1">
      <alignment vertical="center"/>
    </xf>
    <xf numFmtId="0" fontId="5" fillId="0" borderId="73" xfId="0" applyFont="1" applyBorder="1" applyAlignment="1">
      <alignment horizontal="center" vertical="center"/>
    </xf>
    <xf numFmtId="0" fontId="5" fillId="0" borderId="74" xfId="0" applyFont="1" applyBorder="1" applyAlignment="1">
      <alignment horizontal="center" vertical="center"/>
    </xf>
    <xf numFmtId="0" fontId="5" fillId="0" borderId="39" xfId="0" applyFont="1" applyBorder="1" applyAlignment="1">
      <alignment horizontal="center" vertical="center"/>
    </xf>
    <xf numFmtId="0" fontId="5" fillId="0" borderId="75" xfId="0" applyFont="1" applyBorder="1" applyAlignment="1">
      <alignment horizontal="center" vertical="center"/>
    </xf>
    <xf numFmtId="0" fontId="5" fillId="0" borderId="44" xfId="0" applyFont="1" applyBorder="1" applyAlignment="1">
      <alignment horizontal="left" vertical="center"/>
    </xf>
    <xf numFmtId="0" fontId="5" fillId="0" borderId="76" xfId="0" applyFont="1" applyBorder="1" applyAlignment="1">
      <alignment horizontal="center" vertical="center"/>
    </xf>
    <xf numFmtId="0" fontId="5" fillId="0" borderId="44" xfId="0" applyFont="1" applyBorder="1" applyAlignment="1">
      <alignment horizontal="left" vertical="center" wrapText="1"/>
    </xf>
    <xf numFmtId="0" fontId="5" fillId="5" borderId="44" xfId="0" applyFont="1" applyFill="1" applyBorder="1" applyAlignment="1">
      <alignment horizontal="left" vertical="center"/>
    </xf>
    <xf numFmtId="0" fontId="5" fillId="5" borderId="44" xfId="0" applyFont="1" applyFill="1" applyBorder="1" applyAlignment="1">
      <alignment horizontal="left" vertical="center" wrapText="1"/>
    </xf>
    <xf numFmtId="0" fontId="10" fillId="0" borderId="0" xfId="0" applyFont="1" applyAlignment="1">
      <alignment vertical="center" wrapText="1"/>
    </xf>
    <xf numFmtId="0" fontId="10" fillId="0" borderId="0" xfId="0" applyFont="1" applyAlignment="1">
      <alignment horizontal="center" vertical="center" wrapText="1"/>
    </xf>
    <xf numFmtId="0" fontId="12" fillId="5" borderId="10" xfId="0" applyFont="1" applyFill="1" applyBorder="1" applyAlignment="1">
      <alignment horizontal="center" vertical="center" wrapText="1" readingOrder="1"/>
    </xf>
    <xf numFmtId="0" fontId="12" fillId="5" borderId="5" xfId="0" applyFont="1" applyFill="1" applyBorder="1" applyAlignment="1">
      <alignment horizontal="center" vertical="center" wrapText="1" readingOrder="1"/>
    </xf>
    <xf numFmtId="178" fontId="12" fillId="5" borderId="0" xfId="1" applyNumberFormat="1" applyFont="1" applyFill="1" applyBorder="1" applyAlignment="1">
      <alignment horizontal="center" vertical="center" wrapText="1" readingOrder="1"/>
    </xf>
    <xf numFmtId="178" fontId="12" fillId="5" borderId="12" xfId="1" applyNumberFormat="1" applyFont="1" applyFill="1" applyBorder="1" applyAlignment="1">
      <alignment horizontal="center" vertical="center" wrapText="1" readingOrder="1"/>
    </xf>
    <xf numFmtId="178" fontId="12" fillId="5" borderId="8" xfId="1" applyNumberFormat="1" applyFont="1" applyFill="1" applyBorder="1" applyAlignment="1">
      <alignment horizontal="center" vertical="center" wrapText="1" readingOrder="1"/>
    </xf>
    <xf numFmtId="178" fontId="12" fillId="5" borderId="13" xfId="1" applyNumberFormat="1" applyFont="1" applyFill="1" applyBorder="1" applyAlignment="1">
      <alignment horizontal="center" vertical="center" wrapText="1" readingOrder="1"/>
    </xf>
    <xf numFmtId="3" fontId="18" fillId="6" borderId="32" xfId="0" applyNumberFormat="1" applyFont="1" applyFill="1" applyBorder="1" applyAlignment="1">
      <alignment horizontal="center" vertical="center" wrapText="1" readingOrder="1"/>
    </xf>
    <xf numFmtId="3" fontId="18" fillId="6" borderId="8" xfId="0" applyNumberFormat="1" applyFont="1" applyFill="1" applyBorder="1" applyAlignment="1">
      <alignment horizontal="center" vertical="center" wrapText="1" readingOrder="1"/>
    </xf>
    <xf numFmtId="0" fontId="47" fillId="6" borderId="21" xfId="0" applyFont="1" applyFill="1" applyBorder="1" applyAlignment="1">
      <alignment horizontal="center" vertical="center" wrapText="1" readingOrder="1"/>
    </xf>
    <xf numFmtId="0" fontId="47" fillId="6" borderId="22" xfId="0" applyFont="1" applyFill="1" applyBorder="1" applyAlignment="1">
      <alignment horizontal="center" vertical="center" wrapText="1" readingOrder="1"/>
    </xf>
    <xf numFmtId="0" fontId="18" fillId="6" borderId="7" xfId="0" applyFont="1" applyFill="1" applyBorder="1" applyAlignment="1">
      <alignment horizontal="center" vertical="center" wrapText="1" readingOrder="1"/>
    </xf>
    <xf numFmtId="0" fontId="18" fillId="6" borderId="25" xfId="0" applyFont="1" applyFill="1" applyBorder="1" applyAlignment="1">
      <alignment horizontal="center" vertical="center" wrapText="1" readingOrder="1"/>
    </xf>
    <xf numFmtId="3" fontId="18" fillId="0" borderId="32" xfId="0" applyNumberFormat="1" applyFont="1" applyBorder="1" applyAlignment="1">
      <alignment horizontal="center" vertical="center" wrapText="1" readingOrder="1"/>
    </xf>
    <xf numFmtId="3" fontId="18" fillId="0" borderId="8" xfId="0" applyNumberFormat="1" applyFont="1" applyBorder="1" applyAlignment="1">
      <alignment horizontal="center" vertical="center" wrapText="1" readingOrder="1"/>
    </xf>
    <xf numFmtId="0" fontId="16" fillId="4" borderId="6" xfId="0" applyFont="1" applyFill="1" applyBorder="1" applyAlignment="1">
      <alignment horizontal="center" vertical="center" wrapText="1" readingOrder="1"/>
    </xf>
    <xf numFmtId="0" fontId="16" fillId="4" borderId="9" xfId="0" applyFont="1" applyFill="1" applyBorder="1" applyAlignment="1">
      <alignment horizontal="center" vertical="center" wrapText="1" readingOrder="1"/>
    </xf>
    <xf numFmtId="0" fontId="16" fillId="4" borderId="7" xfId="0" applyFont="1" applyFill="1" applyBorder="1" applyAlignment="1">
      <alignment horizontal="center" vertical="center" wrapText="1" readingOrder="1"/>
    </xf>
    <xf numFmtId="0" fontId="16" fillId="4" borderId="8" xfId="0" applyFont="1" applyFill="1" applyBorder="1" applyAlignment="1">
      <alignment horizontal="center" vertical="center" wrapText="1" readingOrder="1"/>
    </xf>
    <xf numFmtId="0" fontId="16" fillId="4" borderId="11" xfId="0" applyFont="1" applyFill="1" applyBorder="1" applyAlignment="1">
      <alignment horizontal="center" vertical="center" wrapText="1" readingOrder="1"/>
    </xf>
    <xf numFmtId="0" fontId="16" fillId="4" borderId="13" xfId="0" applyFont="1" applyFill="1" applyBorder="1" applyAlignment="1">
      <alignment horizontal="center" vertical="center" wrapText="1" readingOrder="1"/>
    </xf>
    <xf numFmtId="38" fontId="12" fillId="5" borderId="7" xfId="1" applyNumberFormat="1" applyFont="1" applyFill="1" applyBorder="1" applyAlignment="1">
      <alignment horizontal="center" vertical="center" wrapText="1" readingOrder="1"/>
    </xf>
    <xf numFmtId="38" fontId="12" fillId="5" borderId="0" xfId="1" applyNumberFormat="1" applyFont="1" applyFill="1" applyBorder="1" applyAlignment="1">
      <alignment horizontal="center" vertical="center" wrapText="1" readingOrder="1"/>
    </xf>
    <xf numFmtId="38" fontId="12" fillId="5" borderId="8" xfId="1" applyNumberFormat="1" applyFont="1" applyFill="1" applyBorder="1" applyAlignment="1">
      <alignment horizontal="center" vertical="center" wrapText="1" readingOrder="1"/>
    </xf>
    <xf numFmtId="38" fontId="12" fillId="5" borderId="11" xfId="1" applyNumberFormat="1" applyFont="1" applyFill="1" applyBorder="1" applyAlignment="1">
      <alignment horizontal="center" vertical="center" wrapText="1" readingOrder="1"/>
    </xf>
    <xf numFmtId="38" fontId="12" fillId="5" borderId="12" xfId="1" applyNumberFormat="1" applyFont="1" applyFill="1" applyBorder="1" applyAlignment="1">
      <alignment horizontal="center" vertical="center" wrapText="1" readingOrder="1"/>
    </xf>
    <xf numFmtId="38" fontId="12" fillId="5" borderId="13" xfId="1" applyNumberFormat="1" applyFont="1" applyFill="1" applyBorder="1" applyAlignment="1">
      <alignment horizontal="center" vertical="center" wrapText="1" readingOrder="1"/>
    </xf>
    <xf numFmtId="0" fontId="18" fillId="16" borderId="7" xfId="0" applyFont="1" applyFill="1" applyBorder="1" applyAlignment="1">
      <alignment horizontal="center" vertical="center" wrapText="1" readingOrder="1"/>
    </xf>
    <xf numFmtId="0" fontId="18" fillId="16" borderId="25" xfId="0" applyFont="1" applyFill="1" applyBorder="1" applyAlignment="1">
      <alignment horizontal="center" vertical="center" wrapText="1" readingOrder="1"/>
    </xf>
    <xf numFmtId="3" fontId="18" fillId="16" borderId="32" xfId="0" applyNumberFormat="1" applyFont="1" applyFill="1" applyBorder="1" applyAlignment="1">
      <alignment horizontal="center" vertical="center" wrapText="1" readingOrder="1"/>
    </xf>
    <xf numFmtId="3" fontId="18" fillId="16" borderId="8" xfId="0" applyNumberFormat="1" applyFont="1" applyFill="1" applyBorder="1" applyAlignment="1">
      <alignment horizontal="center" vertical="center" wrapText="1" readingOrder="1"/>
    </xf>
    <xf numFmtId="38" fontId="12" fillId="5" borderId="33" xfId="1" applyNumberFormat="1" applyFont="1" applyFill="1" applyBorder="1" applyAlignment="1">
      <alignment horizontal="center" vertical="center" wrapText="1" readingOrder="1"/>
    </xf>
    <xf numFmtId="38" fontId="12" fillId="5" borderId="34" xfId="1" applyNumberFormat="1" applyFont="1" applyFill="1" applyBorder="1" applyAlignment="1">
      <alignment horizontal="center" vertical="center" wrapText="1" readingOrder="1"/>
    </xf>
    <xf numFmtId="38" fontId="12" fillId="5" borderId="35" xfId="1" applyNumberFormat="1" applyFont="1" applyFill="1" applyBorder="1" applyAlignment="1">
      <alignment horizontal="center" vertical="center" wrapText="1" readingOrder="1"/>
    </xf>
    <xf numFmtId="0" fontId="11" fillId="0" borderId="0" xfId="0" applyFont="1" applyAlignment="1">
      <alignment horizontal="center" vertical="center" wrapText="1"/>
    </xf>
    <xf numFmtId="3" fontId="24" fillId="0" borderId="0" xfId="0" applyNumberFormat="1" applyFont="1" applyAlignment="1">
      <alignment horizontal="center" vertical="center" wrapText="1" readingOrder="1"/>
    </xf>
    <xf numFmtId="0" fontId="12" fillId="5" borderId="4" xfId="0" applyFont="1" applyFill="1" applyBorder="1" applyAlignment="1">
      <alignment horizontal="center" vertical="center" wrapText="1" readingOrder="1"/>
    </xf>
    <xf numFmtId="40" fontId="12" fillId="5" borderId="7" xfId="1" applyNumberFormat="1" applyFont="1" applyFill="1" applyBorder="1" applyAlignment="1">
      <alignment horizontal="center" vertical="center" wrapText="1" readingOrder="1"/>
    </xf>
    <xf numFmtId="40" fontId="12" fillId="5" borderId="0" xfId="1" applyNumberFormat="1" applyFont="1" applyFill="1" applyBorder="1" applyAlignment="1">
      <alignment horizontal="center" vertical="center" wrapText="1" readingOrder="1"/>
    </xf>
    <xf numFmtId="40" fontId="12" fillId="5" borderId="8" xfId="1" applyNumberFormat="1" applyFont="1" applyFill="1" applyBorder="1" applyAlignment="1">
      <alignment horizontal="center" vertical="center" wrapText="1" readingOrder="1"/>
    </xf>
    <xf numFmtId="0" fontId="12" fillId="5" borderId="36" xfId="0" applyFont="1" applyFill="1" applyBorder="1" applyAlignment="1">
      <alignment horizontal="center" vertical="center" wrapText="1" readingOrder="1"/>
    </xf>
    <xf numFmtId="0" fontId="12" fillId="5" borderId="40" xfId="0" applyFont="1" applyFill="1" applyBorder="1" applyAlignment="1">
      <alignment horizontal="center" vertical="center" wrapText="1" readingOrder="1"/>
    </xf>
    <xf numFmtId="0" fontId="12" fillId="5" borderId="41" xfId="0" applyFont="1" applyFill="1" applyBorder="1" applyAlignment="1">
      <alignment horizontal="center" vertical="center" wrapText="1" readingOrder="1"/>
    </xf>
    <xf numFmtId="0" fontId="22" fillId="0" borderId="30" xfId="0" applyFont="1" applyBorder="1" applyAlignment="1">
      <alignment horizontal="center" vertical="center" wrapText="1" readingOrder="1"/>
    </xf>
    <xf numFmtId="0" fontId="22" fillId="0" borderId="31" xfId="0" applyFont="1" applyBorder="1" applyAlignment="1">
      <alignment horizontal="center" vertical="center" wrapText="1" readingOrder="1"/>
    </xf>
    <xf numFmtId="178" fontId="12" fillId="5" borderId="38" xfId="1" applyNumberFormat="1" applyFont="1" applyFill="1" applyBorder="1" applyAlignment="1">
      <alignment horizontal="center" vertical="center" wrapText="1" readingOrder="1"/>
    </xf>
    <xf numFmtId="178" fontId="12" fillId="5" borderId="39" xfId="1" applyNumberFormat="1" applyFont="1" applyFill="1" applyBorder="1" applyAlignment="1">
      <alignment horizontal="center" vertical="center" wrapText="1" readingOrder="1"/>
    </xf>
    <xf numFmtId="178" fontId="12" fillId="5" borderId="34" xfId="1" applyNumberFormat="1" applyFont="1" applyFill="1" applyBorder="1" applyAlignment="1">
      <alignment horizontal="center" vertical="center" wrapText="1" readingOrder="1"/>
    </xf>
    <xf numFmtId="178" fontId="12" fillId="5" borderId="43" xfId="1" applyNumberFormat="1" applyFont="1" applyFill="1" applyBorder="1" applyAlignment="1">
      <alignment horizontal="center" vertical="center" wrapText="1" readingOrder="1"/>
    </xf>
    <xf numFmtId="178" fontId="12" fillId="5" borderId="44" xfId="1" applyNumberFormat="1" applyFont="1" applyFill="1" applyBorder="1" applyAlignment="1">
      <alignment horizontal="center" vertical="center" wrapText="1" readingOrder="1"/>
    </xf>
    <xf numFmtId="0" fontId="16" fillId="4" borderId="4" xfId="0" applyFont="1" applyFill="1" applyBorder="1" applyAlignment="1">
      <alignment horizontal="center" vertical="center" wrapText="1" readingOrder="1"/>
    </xf>
    <xf numFmtId="0" fontId="16" fillId="4" borderId="10" xfId="0" applyFont="1" applyFill="1" applyBorder="1" applyAlignment="1">
      <alignment horizontal="center" vertical="center" wrapText="1" readingOrder="1"/>
    </xf>
    <xf numFmtId="0" fontId="16" fillId="4" borderId="5" xfId="0" applyFont="1" applyFill="1" applyBorder="1" applyAlignment="1">
      <alignment horizontal="center" vertical="center" wrapText="1" readingOrder="1"/>
    </xf>
    <xf numFmtId="0" fontId="16" fillId="4" borderId="0" xfId="0" applyFont="1" applyFill="1" applyAlignment="1">
      <alignment horizontal="center" vertical="center" wrapText="1" readingOrder="1"/>
    </xf>
    <xf numFmtId="0" fontId="48" fillId="16" borderId="21" xfId="0" applyFont="1" applyFill="1" applyBorder="1" applyAlignment="1">
      <alignment horizontal="center" vertical="center" wrapText="1" readingOrder="1"/>
    </xf>
    <xf numFmtId="0" fontId="48" fillId="16" borderId="22" xfId="0" applyFont="1" applyFill="1" applyBorder="1" applyAlignment="1">
      <alignment horizontal="center" vertical="center" wrapText="1" readingOrder="1"/>
    </xf>
    <xf numFmtId="0" fontId="22" fillId="16" borderId="30" xfId="0" applyFont="1" applyFill="1" applyBorder="1" applyAlignment="1">
      <alignment horizontal="center" vertical="center" wrapText="1" readingOrder="1"/>
    </xf>
    <xf numFmtId="0" fontId="22" fillId="16" borderId="31" xfId="0" applyFont="1" applyFill="1" applyBorder="1" applyAlignment="1">
      <alignment horizontal="center" vertical="center" wrapText="1" readingOrder="1"/>
    </xf>
    <xf numFmtId="0" fontId="15" fillId="4" borderId="6"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0" fontId="13" fillId="4" borderId="4" xfId="0" applyFont="1" applyFill="1" applyBorder="1" applyAlignment="1">
      <alignment horizontal="center" vertical="center" wrapText="1" readingOrder="1"/>
    </xf>
    <xf numFmtId="0" fontId="13" fillId="4" borderId="5" xfId="0" applyFont="1" applyFill="1" applyBorder="1" applyAlignment="1">
      <alignment horizontal="center" vertical="center" wrapText="1" readingOrder="1"/>
    </xf>
    <xf numFmtId="0" fontId="13" fillId="4" borderId="7" xfId="0" applyFont="1" applyFill="1" applyBorder="1" applyAlignment="1">
      <alignment horizontal="center" vertical="center" wrapText="1" readingOrder="1"/>
    </xf>
    <xf numFmtId="0" fontId="13" fillId="4" borderId="8" xfId="0" applyFont="1" applyFill="1" applyBorder="1" applyAlignment="1">
      <alignment horizontal="center" vertical="center" wrapText="1" readingOrder="1"/>
    </xf>
    <xf numFmtId="0" fontId="14" fillId="4" borderId="7" xfId="0" applyFont="1" applyFill="1" applyBorder="1" applyAlignment="1">
      <alignment horizontal="center" vertical="center" wrapText="1" readingOrder="1"/>
    </xf>
    <xf numFmtId="0" fontId="14" fillId="4" borderId="8" xfId="0" applyFont="1" applyFill="1" applyBorder="1" applyAlignment="1">
      <alignment horizontal="center" vertical="center" wrapText="1" readingOrder="1"/>
    </xf>
    <xf numFmtId="0" fontId="48" fillId="7" borderId="21" xfId="0" applyFont="1" applyFill="1" applyBorder="1" applyAlignment="1">
      <alignment horizontal="center" vertical="center" wrapText="1" readingOrder="1"/>
    </xf>
    <xf numFmtId="0" fontId="48" fillId="7" borderId="22" xfId="0" applyFont="1" applyFill="1" applyBorder="1" applyAlignment="1">
      <alignment horizontal="center" vertical="center" wrapText="1" readingOrder="1"/>
    </xf>
    <xf numFmtId="0" fontId="18" fillId="7" borderId="7" xfId="0" applyFont="1" applyFill="1" applyBorder="1" applyAlignment="1">
      <alignment horizontal="center" vertical="center" wrapText="1" readingOrder="1"/>
    </xf>
    <xf numFmtId="0" fontId="18" fillId="7" borderId="25" xfId="0" applyFont="1" applyFill="1" applyBorder="1" applyAlignment="1">
      <alignment horizontal="center" vertical="center" wrapText="1" readingOrder="1"/>
    </xf>
    <xf numFmtId="0" fontId="22" fillId="7" borderId="30" xfId="0" applyFont="1" applyFill="1" applyBorder="1" applyAlignment="1">
      <alignment horizontal="center" vertical="center" wrapText="1" readingOrder="1"/>
    </xf>
    <xf numFmtId="0" fontId="22" fillId="7" borderId="31" xfId="0" applyFont="1" applyFill="1" applyBorder="1" applyAlignment="1">
      <alignment horizontal="center" vertical="center" wrapText="1" readingOrder="1"/>
    </xf>
    <xf numFmtId="3" fontId="18" fillId="7" borderId="32" xfId="0" applyNumberFormat="1" applyFont="1" applyFill="1" applyBorder="1" applyAlignment="1">
      <alignment horizontal="center" vertical="center" wrapText="1" readingOrder="1"/>
    </xf>
    <xf numFmtId="3" fontId="18" fillId="7" borderId="8" xfId="0" applyNumberFormat="1" applyFont="1" applyFill="1" applyBorder="1" applyAlignment="1">
      <alignment horizontal="center" vertical="center" wrapText="1" readingOrder="1"/>
    </xf>
    <xf numFmtId="3" fontId="49" fillId="7" borderId="32" xfId="0" applyNumberFormat="1" applyFont="1" applyFill="1" applyBorder="1" applyAlignment="1">
      <alignment horizontal="center" vertical="center" wrapText="1" readingOrder="1"/>
    </xf>
    <xf numFmtId="3" fontId="49" fillId="7" borderId="8" xfId="0" applyNumberFormat="1" applyFont="1" applyFill="1" applyBorder="1" applyAlignment="1">
      <alignment horizontal="center" vertical="center" wrapText="1" readingOrder="1"/>
    </xf>
    <xf numFmtId="0" fontId="54" fillId="0" borderId="71" xfId="0" applyFont="1" applyBorder="1" applyAlignment="1">
      <alignment horizontal="center" vertical="center"/>
    </xf>
    <xf numFmtId="0" fontId="54" fillId="0" borderId="78" xfId="0" applyFont="1" applyBorder="1" applyAlignment="1">
      <alignment horizontal="center" vertical="center"/>
    </xf>
    <xf numFmtId="0" fontId="54" fillId="0" borderId="72" xfId="0" applyFont="1" applyBorder="1" applyAlignment="1">
      <alignment horizontal="center" vertical="center"/>
    </xf>
    <xf numFmtId="0" fontId="54" fillId="0" borderId="79" xfId="0" applyFont="1" applyBorder="1" applyAlignment="1">
      <alignment horizontal="left" vertical="center"/>
    </xf>
    <xf numFmtId="0" fontId="54" fillId="0" borderId="78" xfId="0" applyFont="1" applyBorder="1" applyAlignment="1">
      <alignment horizontal="left" vertical="center"/>
    </xf>
    <xf numFmtId="0" fontId="54" fillId="0" borderId="75" xfId="0" applyFont="1" applyBorder="1" applyAlignment="1">
      <alignment horizontal="left" vertical="center"/>
    </xf>
    <xf numFmtId="0" fontId="5" fillId="0" borderId="39"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71" xfId="0" applyFont="1" applyBorder="1" applyAlignment="1">
      <alignment horizontal="center" vertical="center"/>
    </xf>
    <xf numFmtId="0" fontId="5" fillId="0" borderId="72" xfId="0" applyFont="1" applyBorder="1" applyAlignment="1">
      <alignment horizontal="center" vertical="center"/>
    </xf>
    <xf numFmtId="0" fontId="54" fillId="0" borderId="79" xfId="0" applyFont="1" applyBorder="1" applyAlignment="1">
      <alignment horizontal="center" vertical="center"/>
    </xf>
    <xf numFmtId="0" fontId="54" fillId="0" borderId="71" xfId="0" applyFont="1" applyBorder="1" applyAlignment="1">
      <alignment horizontal="left" vertical="center"/>
    </xf>
    <xf numFmtId="0" fontId="5" fillId="0" borderId="78" xfId="0" applyFont="1" applyBorder="1" applyAlignment="1">
      <alignment horizontal="center" vertical="center"/>
    </xf>
    <xf numFmtId="0" fontId="5" fillId="0" borderId="75" xfId="0" applyFont="1" applyBorder="1" applyAlignment="1">
      <alignment horizontal="center" vertical="center"/>
    </xf>
    <xf numFmtId="0" fontId="5" fillId="0" borderId="71" xfId="0" applyFont="1" applyBorder="1" applyAlignment="1">
      <alignment horizontal="left" vertical="center"/>
    </xf>
    <xf numFmtId="0" fontId="5" fillId="0" borderId="78" xfId="0" applyFont="1" applyBorder="1" applyAlignment="1">
      <alignment horizontal="left" vertical="center"/>
    </xf>
    <xf numFmtId="0" fontId="5" fillId="0" borderId="72" xfId="0" applyFont="1" applyBorder="1" applyAlignment="1">
      <alignment horizontal="left" vertical="center"/>
    </xf>
    <xf numFmtId="0" fontId="5" fillId="0" borderId="77" xfId="0" applyFont="1" applyBorder="1" applyAlignment="1">
      <alignment horizontal="center" vertical="center"/>
    </xf>
    <xf numFmtId="0" fontId="5" fillId="0" borderId="74" xfId="0" applyFont="1" applyBorder="1" applyAlignment="1">
      <alignment horizontal="center" vertical="center"/>
    </xf>
    <xf numFmtId="0" fontId="5" fillId="0" borderId="75" xfId="0" applyFont="1" applyBorder="1" applyAlignment="1">
      <alignment horizontal="left" vertical="center"/>
    </xf>
    <xf numFmtId="0" fontId="5" fillId="0" borderId="71" xfId="0" applyFont="1" applyBorder="1" applyAlignment="1">
      <alignment horizontal="center" vertical="center" wrapText="1"/>
    </xf>
    <xf numFmtId="0" fontId="5" fillId="0" borderId="72" xfId="0" applyFont="1" applyBorder="1" applyAlignment="1">
      <alignment horizontal="center" vertical="center" wrapText="1"/>
    </xf>
    <xf numFmtId="0" fontId="20" fillId="6" borderId="21" xfId="0" applyFont="1" applyFill="1" applyBorder="1" applyAlignment="1">
      <alignment horizontal="center" vertical="center" wrapText="1" readingOrder="1"/>
    </xf>
    <xf numFmtId="0" fontId="20" fillId="6" borderId="22" xfId="0" applyFont="1" applyFill="1" applyBorder="1" applyAlignment="1">
      <alignment horizontal="center" vertical="center" wrapText="1" readingOrder="1"/>
    </xf>
  </cellXfs>
  <cellStyles count="4">
    <cellStyle name="常规" xfId="0" builtinId="0"/>
    <cellStyle name="超链接" xfId="3" builtinId="8"/>
    <cellStyle name="货币" xfId="2" builtinId="4"/>
    <cellStyle name="千位分隔" xfId="1" builtinId="3"/>
  </cellStyles>
  <dxfs count="243">
    <dxf>
      <fill>
        <patternFill>
          <bgColor theme="9" tint="0.79998168889431442"/>
        </patternFill>
      </fill>
    </dxf>
    <dxf>
      <fill>
        <patternFill>
          <bgColor theme="7" tint="0.79998168889431442"/>
        </patternFill>
      </fill>
    </dxf>
    <dxf>
      <fill>
        <patternFill>
          <bgColor theme="8" tint="0.79998168889431442"/>
        </patternFill>
      </fill>
    </dxf>
    <dxf>
      <fill>
        <patternFill>
          <bgColor theme="5" tint="0.79998168889431442"/>
        </patternFill>
      </fill>
    </dxf>
    <dxf>
      <fill>
        <patternFill>
          <bgColor rgb="FFF3E5FF"/>
        </patternFill>
      </fill>
    </dxf>
    <dxf>
      <fill>
        <patternFill patternType="solid">
          <bgColor theme="3" tint="0.79998168889431442"/>
        </patternFill>
      </fill>
    </dxf>
    <dxf>
      <fill>
        <patternFill>
          <bgColor theme="8" tint="0.79998168889431442"/>
        </patternFill>
      </fill>
    </dxf>
    <dxf>
      <fill>
        <patternFill>
          <bgColor theme="5" tint="0.79998168889431442"/>
        </patternFill>
      </fill>
    </dxf>
    <dxf>
      <fill>
        <patternFill>
          <bgColor rgb="FFF3E5FF"/>
        </patternFill>
      </fill>
    </dxf>
    <dxf>
      <fill>
        <patternFill patternType="solid">
          <bgColor theme="3" tint="0.79998168889431442"/>
        </patternFill>
      </fill>
    </dxf>
    <dxf>
      <fill>
        <patternFill>
          <bgColor theme="7" tint="0.79998168889431442"/>
        </patternFill>
      </fill>
    </dxf>
    <dxf>
      <fill>
        <patternFill>
          <bgColor theme="9" tint="0.79998168889431442"/>
        </patternFill>
      </fill>
    </dxf>
    <dxf>
      <fill>
        <patternFill>
          <bgColor theme="7" tint="0.79998168889431442"/>
        </patternFill>
      </fill>
    </dxf>
    <dxf>
      <fill>
        <patternFill>
          <bgColor theme="9" tint="0.79998168889431442"/>
        </patternFill>
      </fill>
    </dxf>
    <dxf>
      <fill>
        <patternFill>
          <bgColor theme="9" tint="0.79998168889431442"/>
        </patternFill>
      </fill>
    </dxf>
    <dxf>
      <fill>
        <patternFill>
          <bgColor theme="7" tint="0.79998168889431442"/>
        </patternFill>
      </fill>
    </dxf>
    <dxf>
      <fill>
        <patternFill>
          <bgColor theme="8" tint="0.79998168889431442"/>
        </patternFill>
      </fill>
    </dxf>
    <dxf>
      <fill>
        <patternFill>
          <bgColor theme="5" tint="0.79998168889431442"/>
        </patternFill>
      </fill>
    </dxf>
    <dxf>
      <fill>
        <patternFill>
          <bgColor rgb="FFF3E5FF"/>
        </patternFill>
      </fill>
    </dxf>
    <dxf>
      <fill>
        <patternFill patternType="solid">
          <bgColor theme="3" tint="0.79998168889431442"/>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7" tint="0.79998168889431442"/>
        </patternFill>
      </fill>
    </dxf>
    <dxf>
      <fill>
        <patternFill>
          <bgColor theme="8" tint="0.79998168889431442"/>
        </patternFill>
      </fill>
    </dxf>
    <dxf>
      <fill>
        <patternFill>
          <bgColor theme="5" tint="0.79998168889431442"/>
        </patternFill>
      </fill>
    </dxf>
    <dxf>
      <fill>
        <patternFill>
          <bgColor rgb="FFF3E5FF"/>
        </patternFill>
      </fill>
    </dxf>
    <dxf>
      <fill>
        <patternFill patternType="solid">
          <bgColor theme="3" tint="0.79998168889431442"/>
        </patternFill>
      </fill>
    </dxf>
    <dxf>
      <fill>
        <patternFill>
          <bgColor theme="7" tint="0.79998168889431442"/>
        </patternFill>
      </fill>
    </dxf>
    <dxf>
      <fill>
        <patternFill patternType="solid">
          <bgColor theme="3" tint="0.79998168889431442"/>
        </patternFill>
      </fill>
    </dxf>
    <dxf>
      <fill>
        <patternFill>
          <bgColor theme="8" tint="0.79998168889431442"/>
        </patternFill>
      </fill>
    </dxf>
    <dxf>
      <fill>
        <patternFill>
          <bgColor theme="5" tint="0.79998168889431442"/>
        </patternFill>
      </fill>
    </dxf>
    <dxf>
      <fill>
        <patternFill>
          <bgColor rgb="FFF3E5FF"/>
        </patternFill>
      </fill>
    </dxf>
    <dxf>
      <fill>
        <patternFill>
          <bgColor theme="9" tint="0.79998168889431442"/>
        </patternFill>
      </fill>
    </dxf>
    <dxf>
      <fill>
        <patternFill>
          <bgColor theme="7" tint="0.79998168889431442"/>
        </patternFill>
      </fill>
    </dxf>
    <dxf>
      <fill>
        <patternFill>
          <bgColor theme="9" tint="0.79998168889431442"/>
        </patternFill>
      </fill>
    </dxf>
    <dxf>
      <fill>
        <patternFill>
          <bgColor theme="0" tint="-0.14996795556505021"/>
        </patternFill>
      </fill>
    </dxf>
    <dxf>
      <fill>
        <patternFill patternType="solid">
          <bgColor theme="3" tint="0.79998168889431442"/>
        </patternFill>
      </fill>
    </dxf>
    <dxf>
      <fill>
        <patternFill>
          <bgColor theme="8" tint="0.79998168889431442"/>
        </patternFill>
      </fill>
    </dxf>
    <dxf>
      <fill>
        <patternFill>
          <bgColor theme="5" tint="0.79998168889431442"/>
        </patternFill>
      </fill>
    </dxf>
    <dxf>
      <fill>
        <patternFill>
          <bgColor rgb="FFF3E5FF"/>
        </patternFill>
      </fill>
    </dxf>
    <dxf>
      <fill>
        <patternFill>
          <bgColor theme="9" tint="0.79998168889431442"/>
        </patternFill>
      </fill>
    </dxf>
    <dxf>
      <fill>
        <patternFill>
          <bgColor theme="7" tint="0.79998168889431442"/>
        </patternFill>
      </fill>
    </dxf>
    <dxf>
      <font>
        <color rgb="FFC00000"/>
      </font>
    </dxf>
    <dxf>
      <font>
        <color theme="9" tint="-0.24994659260841701"/>
      </font>
    </dxf>
    <dxf>
      <fill>
        <patternFill>
          <bgColor rgb="FFFFC000"/>
        </patternFill>
      </fill>
    </dxf>
    <dxf>
      <fill>
        <patternFill>
          <bgColor rgb="FF00B050"/>
        </patternFill>
      </fill>
    </dxf>
    <dxf>
      <fill>
        <patternFill>
          <bgColor rgb="FF0070C0"/>
        </patternFill>
      </fill>
    </dxf>
    <dxf>
      <fill>
        <patternFill>
          <bgColor rgb="FF92D050"/>
        </patternFill>
      </fill>
    </dxf>
    <dxf>
      <fill>
        <patternFill>
          <bgColor theme="9" tint="0.39994506668294322"/>
        </patternFill>
      </fill>
    </dxf>
    <dxf>
      <fill>
        <patternFill patternType="solid">
          <bgColor theme="3" tint="0.79998168889431442"/>
        </patternFill>
      </fill>
    </dxf>
    <dxf>
      <fill>
        <patternFill>
          <bgColor rgb="FFF3E5FF"/>
        </patternFill>
      </fill>
    </dxf>
    <dxf>
      <fill>
        <patternFill>
          <bgColor theme="5" tint="0.79998168889431442"/>
        </patternFill>
      </fill>
    </dxf>
    <dxf>
      <fill>
        <patternFill>
          <bgColor theme="8" tint="0.79998168889431442"/>
        </patternFill>
      </fill>
    </dxf>
    <dxf>
      <fill>
        <patternFill>
          <bgColor theme="7" tint="0.79998168889431442"/>
        </patternFill>
      </fill>
    </dxf>
    <dxf>
      <fill>
        <patternFill>
          <bgColor theme="9" tint="0.79998168889431442"/>
        </patternFill>
      </fill>
    </dxf>
    <dxf>
      <font>
        <color rgb="FF9C0006"/>
      </font>
    </dxf>
    <dxf>
      <font>
        <color rgb="FF9C5700"/>
      </font>
    </dxf>
    <dxf>
      <font>
        <color rgb="FF006100"/>
      </font>
    </dxf>
    <dxf>
      <fill>
        <patternFill>
          <bgColor theme="9" tint="0.79998168889431442"/>
        </patternFill>
      </fill>
    </dxf>
    <dxf>
      <fill>
        <patternFill>
          <bgColor theme="7" tint="0.79998168889431442"/>
        </patternFill>
      </fill>
    </dxf>
    <dxf>
      <fill>
        <patternFill>
          <bgColor theme="8" tint="0.79998168889431442"/>
        </patternFill>
      </fill>
    </dxf>
    <dxf>
      <fill>
        <patternFill>
          <bgColor theme="5" tint="0.79998168889431442"/>
        </patternFill>
      </fill>
    </dxf>
    <dxf>
      <fill>
        <patternFill>
          <bgColor rgb="FFF3E5FF"/>
        </patternFill>
      </fill>
    </dxf>
    <dxf>
      <fill>
        <patternFill patternType="solid">
          <bgColor theme="3" tint="0.79998168889431442"/>
        </patternFill>
      </fill>
    </dxf>
    <dxf>
      <font>
        <color rgb="FF006100"/>
      </font>
    </dxf>
    <dxf>
      <font>
        <color rgb="FF9C5700"/>
      </font>
    </dxf>
    <dxf>
      <font>
        <color rgb="FF9C0006"/>
      </font>
    </dxf>
    <dxf>
      <fill>
        <patternFill patternType="solid">
          <bgColor theme="3" tint="0.79998168889431442"/>
        </patternFill>
      </fill>
    </dxf>
    <dxf>
      <fill>
        <patternFill>
          <bgColor rgb="FFF3E5FF"/>
        </patternFill>
      </fill>
    </dxf>
    <dxf>
      <fill>
        <patternFill>
          <bgColor theme="5" tint="0.79998168889431442"/>
        </patternFill>
      </fill>
    </dxf>
    <dxf>
      <fill>
        <patternFill>
          <bgColor theme="8" tint="0.79998168889431442"/>
        </patternFill>
      </fill>
    </dxf>
    <dxf>
      <fill>
        <patternFill>
          <bgColor theme="7" tint="0.79998168889431442"/>
        </patternFill>
      </fill>
    </dxf>
    <dxf>
      <fill>
        <patternFill>
          <bgColor theme="9" tint="0.79998168889431442"/>
        </patternFill>
      </fill>
    </dxf>
    <dxf>
      <fill>
        <patternFill>
          <bgColor theme="7" tint="0.79998168889431442"/>
        </patternFill>
      </fill>
    </dxf>
    <dxf>
      <fill>
        <patternFill>
          <bgColor theme="8" tint="0.79998168889431442"/>
        </patternFill>
      </fill>
    </dxf>
    <dxf>
      <fill>
        <patternFill>
          <bgColor theme="5" tint="0.79998168889431442"/>
        </patternFill>
      </fill>
    </dxf>
    <dxf>
      <fill>
        <patternFill patternType="solid">
          <bgColor theme="3" tint="0.79998168889431442"/>
        </patternFill>
      </fill>
    </dxf>
    <dxf>
      <fill>
        <patternFill>
          <bgColor rgb="FFF3E5FF"/>
        </patternFill>
      </fill>
    </dxf>
    <dxf>
      <fill>
        <patternFill>
          <bgColor theme="9" tint="0.79998168889431442"/>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ont>
        <color rgb="FF9C5700"/>
      </font>
    </dxf>
    <dxf>
      <font>
        <color rgb="FF006100"/>
      </font>
    </dxf>
    <dxf>
      <font>
        <color rgb="FF9C0006"/>
      </font>
    </dxf>
    <dxf>
      <fill>
        <patternFill>
          <bgColor theme="7" tint="0.79998168889431442"/>
        </patternFill>
      </fill>
    </dxf>
    <dxf>
      <fill>
        <patternFill>
          <bgColor theme="9" tint="0.79998168889431442"/>
        </patternFill>
      </fill>
    </dxf>
    <dxf>
      <font>
        <color rgb="FF9C0006"/>
      </font>
    </dxf>
    <dxf>
      <font>
        <color rgb="FF006100"/>
      </font>
    </dxf>
    <dxf>
      <font>
        <color rgb="FF9C5700"/>
      </font>
    </dxf>
    <dxf>
      <fill>
        <patternFill>
          <bgColor theme="0" tint="-0.14996795556505021"/>
        </patternFill>
      </fill>
    </dxf>
    <dxf>
      <fill>
        <patternFill patternType="solid">
          <bgColor theme="3" tint="0.79998168889431442"/>
        </patternFill>
      </fill>
    </dxf>
    <dxf>
      <fill>
        <patternFill>
          <bgColor rgb="FFF3E5FF"/>
        </patternFill>
      </fill>
    </dxf>
    <dxf>
      <fill>
        <patternFill>
          <bgColor theme="9" tint="0.79998168889431442"/>
        </patternFill>
      </fill>
    </dxf>
    <dxf>
      <fill>
        <patternFill>
          <bgColor theme="7" tint="0.79998168889431442"/>
        </patternFill>
      </fill>
    </dxf>
    <dxf>
      <fill>
        <patternFill>
          <bgColor theme="8" tint="0.79998168889431442"/>
        </patternFill>
      </fill>
    </dxf>
    <dxf>
      <fill>
        <patternFill>
          <bgColor theme="5" tint="0.79998168889431442"/>
        </patternFill>
      </fill>
    </dxf>
    <dxf>
      <fill>
        <patternFill patternType="solid">
          <bgColor theme="3" tint="0.79998168889431442"/>
        </patternFill>
      </fill>
    </dxf>
    <dxf>
      <fill>
        <patternFill>
          <bgColor theme="9" tint="0.79998168889431442"/>
        </patternFill>
      </fill>
    </dxf>
    <dxf>
      <fill>
        <patternFill>
          <bgColor theme="8" tint="0.79998168889431442"/>
        </patternFill>
      </fill>
    </dxf>
    <dxf>
      <fill>
        <patternFill>
          <bgColor theme="7" tint="0.79998168889431442"/>
        </patternFill>
      </fill>
    </dxf>
    <dxf>
      <fill>
        <patternFill>
          <bgColor theme="5" tint="0.79998168889431442"/>
        </patternFill>
      </fill>
    </dxf>
    <dxf>
      <fill>
        <patternFill>
          <bgColor rgb="FFF3E5FF"/>
        </patternFill>
      </fill>
    </dxf>
    <dxf>
      <fill>
        <patternFill>
          <bgColor theme="7" tint="0.79998168889431442"/>
        </patternFill>
      </fill>
    </dxf>
    <dxf>
      <fill>
        <patternFill>
          <bgColor theme="9" tint="0.79998168889431442"/>
        </patternFill>
      </fill>
    </dxf>
    <dxf>
      <fill>
        <patternFill patternType="solid">
          <bgColor theme="3" tint="0.79998168889431442"/>
        </patternFill>
      </fill>
    </dxf>
    <dxf>
      <fill>
        <patternFill>
          <bgColor theme="8" tint="0.79998168889431442"/>
        </patternFill>
      </fill>
    </dxf>
    <dxf>
      <fill>
        <patternFill>
          <bgColor theme="5" tint="0.79998168889431442"/>
        </patternFill>
      </fill>
    </dxf>
    <dxf>
      <fill>
        <patternFill>
          <bgColor rgb="FFF3E5FF"/>
        </patternFill>
      </fill>
    </dxf>
    <dxf>
      <fill>
        <patternFill>
          <bgColor theme="0" tint="-0.14996795556505021"/>
        </patternFill>
      </fill>
    </dxf>
    <dxf>
      <fill>
        <patternFill patternType="solid">
          <bgColor theme="3" tint="0.79998168889431442"/>
        </patternFill>
      </fill>
    </dxf>
    <dxf>
      <fill>
        <patternFill>
          <bgColor rgb="FFF3E5FF"/>
        </patternFill>
      </fill>
    </dxf>
    <dxf>
      <fill>
        <patternFill>
          <bgColor theme="5" tint="0.79998168889431442"/>
        </patternFill>
      </fill>
    </dxf>
    <dxf>
      <fill>
        <patternFill>
          <bgColor theme="8" tint="0.79998168889431442"/>
        </patternFill>
      </fill>
    </dxf>
    <dxf>
      <fill>
        <patternFill>
          <bgColor theme="7" tint="0.79998168889431442"/>
        </patternFill>
      </fill>
    </dxf>
    <dxf>
      <fill>
        <patternFill>
          <bgColor theme="9" tint="0.79998168889431442"/>
        </patternFill>
      </fill>
    </dxf>
    <dxf>
      <fill>
        <patternFill patternType="solid">
          <bgColor theme="3" tint="0.79998168889431442"/>
        </patternFill>
      </fill>
    </dxf>
    <dxf>
      <fill>
        <patternFill>
          <bgColor theme="7"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rgb="FFF3E5FF"/>
        </patternFill>
      </fill>
    </dxf>
    <dxf>
      <fill>
        <patternFill>
          <bgColor theme="7" tint="0.79998168889431442"/>
        </patternFill>
      </fill>
    </dxf>
    <dxf>
      <fill>
        <patternFill>
          <bgColor theme="8" tint="0.79998168889431442"/>
        </patternFill>
      </fill>
    </dxf>
    <dxf>
      <fill>
        <patternFill>
          <bgColor theme="5" tint="0.79998168889431442"/>
        </patternFill>
      </fill>
    </dxf>
    <dxf>
      <fill>
        <patternFill>
          <bgColor rgb="FFF3E5FF"/>
        </patternFill>
      </fill>
    </dxf>
    <dxf>
      <fill>
        <patternFill patternType="solid">
          <bgColor theme="3" tint="0.79998168889431442"/>
        </patternFill>
      </fill>
    </dxf>
    <dxf>
      <fill>
        <patternFill>
          <bgColor theme="9" tint="0.79998168889431442"/>
        </patternFill>
      </fill>
    </dxf>
    <dxf>
      <fill>
        <patternFill patternType="solid">
          <bgColor theme="3" tint="0.79998168889431442"/>
        </patternFill>
      </fill>
    </dxf>
    <dxf>
      <fill>
        <patternFill>
          <bgColor theme="5" tint="0.79998168889431442"/>
        </patternFill>
      </fill>
    </dxf>
    <dxf>
      <fill>
        <patternFill>
          <bgColor theme="9" tint="0.79998168889431442"/>
        </patternFill>
      </fill>
    </dxf>
    <dxf>
      <fill>
        <patternFill>
          <bgColor theme="7" tint="0.79998168889431442"/>
        </patternFill>
      </fill>
    </dxf>
    <dxf>
      <fill>
        <patternFill>
          <bgColor theme="8" tint="0.79998168889431442"/>
        </patternFill>
      </fill>
    </dxf>
    <dxf>
      <fill>
        <patternFill>
          <bgColor rgb="FFF3E5FF"/>
        </patternFill>
      </fill>
    </dxf>
    <dxf>
      <fill>
        <patternFill>
          <bgColor theme="0" tint="-0.14996795556505021"/>
        </patternFill>
      </fill>
    </dxf>
    <dxf>
      <fill>
        <patternFill>
          <bgColor theme="5" tint="0.79998168889431442"/>
        </patternFill>
      </fill>
    </dxf>
    <dxf>
      <fill>
        <patternFill patternType="solid">
          <bgColor theme="3" tint="0.79998168889431442"/>
        </patternFill>
      </fill>
    </dxf>
    <dxf>
      <fill>
        <patternFill>
          <bgColor rgb="FFF3E5FF"/>
        </patternFill>
      </fill>
    </dxf>
    <dxf>
      <fill>
        <patternFill>
          <bgColor theme="8" tint="0.79998168889431442"/>
        </patternFill>
      </fill>
    </dxf>
    <dxf>
      <fill>
        <patternFill>
          <bgColor theme="7" tint="0.79998168889431442"/>
        </patternFill>
      </fill>
    </dxf>
    <dxf>
      <fill>
        <patternFill>
          <bgColor theme="9" tint="0.79998168889431442"/>
        </patternFill>
      </fill>
    </dxf>
    <dxf>
      <fill>
        <patternFill>
          <bgColor theme="5" tint="0.79998168889431442"/>
        </patternFill>
      </fill>
    </dxf>
    <dxf>
      <fill>
        <patternFill patternType="solid">
          <bgColor theme="3" tint="0.79998168889431442"/>
        </patternFill>
      </fill>
    </dxf>
    <dxf>
      <fill>
        <patternFill>
          <bgColor rgb="FFF3E5FF"/>
        </patternFill>
      </fill>
    </dxf>
    <dxf>
      <fill>
        <patternFill>
          <bgColor theme="8" tint="0.79998168889431442"/>
        </patternFill>
      </fill>
    </dxf>
    <dxf>
      <fill>
        <patternFill>
          <bgColor theme="9" tint="0.79998168889431442"/>
        </patternFill>
      </fill>
    </dxf>
    <dxf>
      <fill>
        <patternFill>
          <bgColor theme="7" tint="0.79998168889431442"/>
        </patternFill>
      </fill>
    </dxf>
    <dxf>
      <fill>
        <patternFill>
          <bgColor theme="0" tint="-0.14996795556505021"/>
        </patternFill>
      </fill>
    </dxf>
    <dxf>
      <fill>
        <patternFill>
          <bgColor rgb="FFF3E5FF"/>
        </patternFill>
      </fill>
    </dxf>
    <dxf>
      <fill>
        <patternFill>
          <bgColor theme="5" tint="0.79998168889431442"/>
        </patternFill>
      </fill>
    </dxf>
    <dxf>
      <fill>
        <patternFill>
          <bgColor theme="8" tint="0.79998168889431442"/>
        </patternFill>
      </fill>
    </dxf>
    <dxf>
      <fill>
        <patternFill>
          <bgColor theme="7" tint="0.79998168889431442"/>
        </patternFill>
      </fill>
    </dxf>
    <dxf>
      <fill>
        <patternFill>
          <bgColor theme="9" tint="0.79998168889431442"/>
        </patternFill>
      </fill>
    </dxf>
    <dxf>
      <fill>
        <patternFill patternType="solid">
          <bgColor theme="3" tint="0.7999816888943144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rgb="FFF3E5FF"/>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7" tint="0.79998168889431442"/>
        </patternFill>
      </fill>
    </dxf>
    <dxf>
      <fill>
        <patternFill>
          <bgColor rgb="FFE6FBFE"/>
        </patternFill>
      </fill>
    </dxf>
    <dxf>
      <fill>
        <patternFill>
          <bgColor rgb="FFFDE7F0"/>
        </patternFill>
      </fill>
    </dxf>
    <dxf>
      <fill>
        <patternFill>
          <bgColor theme="0" tint="-0.14996795556505021"/>
        </patternFill>
      </fill>
    </dxf>
    <dxf>
      <fill>
        <patternFill>
          <bgColor theme="0" tint="-0.14996795556505021"/>
        </patternFill>
      </fill>
    </dxf>
    <dxf>
      <fill>
        <patternFill patternType="solid">
          <bgColor theme="3" tint="0.79998168889431442"/>
        </patternFill>
      </fill>
    </dxf>
    <dxf>
      <fill>
        <patternFill>
          <bgColor theme="7" tint="0.79998168889431442"/>
        </patternFill>
      </fill>
    </dxf>
    <dxf>
      <fill>
        <patternFill>
          <bgColor rgb="FFF3E5FF"/>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7" tint="0.79998168889431442"/>
        </patternFill>
      </fill>
    </dxf>
    <dxf>
      <fill>
        <patternFill>
          <bgColor theme="9" tint="0.79998168889431442"/>
        </patternFill>
      </fill>
    </dxf>
    <dxf>
      <fill>
        <patternFill patternType="solid">
          <bgColor theme="3" tint="0.79998168889431442"/>
        </patternFill>
      </fill>
    </dxf>
    <dxf>
      <fill>
        <patternFill>
          <bgColor rgb="FFF3E5FF"/>
        </patternFill>
      </fill>
    </dxf>
    <dxf>
      <fill>
        <patternFill>
          <bgColor theme="5" tint="0.79998168889431442"/>
        </patternFill>
      </fill>
    </dxf>
    <dxf>
      <fill>
        <patternFill>
          <bgColor theme="8" tint="0.79998168889431442"/>
        </patternFill>
      </fill>
    </dxf>
    <dxf>
      <fill>
        <patternFill patternType="solid">
          <bgColor theme="3" tint="0.79998168889431442"/>
        </patternFill>
      </fill>
    </dxf>
    <dxf>
      <fill>
        <patternFill patternType="solid">
          <bgColor theme="3" tint="0.79998168889431442"/>
        </patternFill>
      </fill>
    </dxf>
    <dxf>
      <fill>
        <patternFill>
          <bgColor rgb="FFF3E5FF"/>
        </patternFill>
      </fill>
    </dxf>
    <dxf>
      <fill>
        <patternFill>
          <bgColor theme="5" tint="0.79998168889431442"/>
        </patternFill>
      </fill>
    </dxf>
    <dxf>
      <fill>
        <patternFill>
          <bgColor theme="8" tint="0.79998168889431442"/>
        </patternFill>
      </fill>
    </dxf>
    <dxf>
      <fill>
        <patternFill>
          <bgColor theme="7" tint="0.79998168889431442"/>
        </patternFill>
      </fill>
    </dxf>
    <dxf>
      <fill>
        <patternFill>
          <bgColor theme="9" tint="0.79998168889431442"/>
        </patternFill>
      </fill>
    </dxf>
    <dxf>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等线"/>
        <family val="2"/>
        <charset val="134"/>
        <scheme val="minor"/>
      </font>
      <fill>
        <patternFill patternType="solid">
          <fgColor theme="1"/>
          <bgColor theme="1"/>
        </patternFill>
      </fill>
      <alignment horizontal="general" vertical="center" textRotation="0" wrapText="1" indent="0" justifyLastLine="0" shrinkToFit="0" readingOrder="0"/>
    </dxf>
    <dxf>
      <numFmt numFmtId="0" formatCode="General"/>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82" formatCode="m/d/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81" formatCode="yyyy/mm/dd"/>
      <border diagonalUp="0" diagonalDown="0">
        <left style="thin">
          <color indexed="64"/>
        </left>
        <right style="thin">
          <color indexed="64"/>
        </right>
        <top style="thin">
          <color indexed="64"/>
        </top>
        <bottom/>
        <vertical/>
        <horizontal/>
      </border>
    </dxf>
    <dxf>
      <numFmt numFmtId="181" formatCode="yyyy/mm/dd"/>
      <border diagonalUp="0" diagonalDown="0">
        <left style="thin">
          <color indexed="64"/>
        </left>
        <right style="thin">
          <color indexed="64"/>
        </right>
        <top style="thin">
          <color indexed="64"/>
        </top>
        <bottom/>
        <vertical/>
        <horizontal/>
      </border>
    </dxf>
    <dxf>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80" formatCode="yyyy\-mm\-dd;@"/>
      <border diagonalUp="0" diagonalDown="0">
        <left style="thin">
          <color indexed="64"/>
        </left>
        <right style="thin">
          <color indexed="64"/>
        </right>
        <top style="thin">
          <color indexed="64"/>
        </top>
        <bottom style="thin">
          <color indexed="64"/>
        </bottom>
      </border>
    </dxf>
    <dxf>
      <numFmt numFmtId="180" formatCode="yyyy\-mm\-dd;@"/>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0"/>
        <name val="等线"/>
        <family val="2"/>
        <charset val="134"/>
        <scheme val="minor"/>
      </font>
      <fill>
        <patternFill patternType="solid">
          <fgColor theme="1"/>
          <bgColor theme="1"/>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DE7F0"/>
      <color rgb="FFE6FBFE"/>
      <color rgb="FF70AD4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eetMetadata" Target="metadata.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31</xdr:row>
      <xdr:rowOff>0</xdr:rowOff>
    </xdr:from>
    <xdr:to>
      <xdr:col>11</xdr:col>
      <xdr:colOff>304800</xdr:colOff>
      <xdr:row>31</xdr:row>
      <xdr:rowOff>196178</xdr:rowOff>
    </xdr:to>
    <xdr:sp macro="" textlink="">
      <xdr:nvSpPr>
        <xdr:cNvPr id="3156" name="x__x0000_i1031">
          <a:extLst>
            <a:ext uri="{FF2B5EF4-FFF2-40B4-BE49-F238E27FC236}">
              <a16:creationId xmlns:a16="http://schemas.microsoft.com/office/drawing/2014/main" id="{CB356803-4025-D62C-E50D-D5B1C76A75CD}"/>
            </a:ext>
          </a:extLst>
        </xdr:cNvPr>
        <xdr:cNvSpPr>
          <a:spLocks noChangeAspect="1" noChangeArrowheads="1"/>
        </xdr:cNvSpPr>
      </xdr:nvSpPr>
      <xdr:spPr bwMode="auto">
        <a:xfrm>
          <a:off x="8229600" y="1990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1439956</xdr:colOff>
      <xdr:row>11</xdr:row>
      <xdr:rowOff>13605</xdr:rowOff>
    </xdr:from>
    <xdr:to>
      <xdr:col>9</xdr:col>
      <xdr:colOff>829874</xdr:colOff>
      <xdr:row>13</xdr:row>
      <xdr:rowOff>35057</xdr:rowOff>
    </xdr:to>
    <xdr:pic>
      <xdr:nvPicPr>
        <xdr:cNvPr id="3" name="Picture 2">
          <a:extLst>
            <a:ext uri="{FF2B5EF4-FFF2-40B4-BE49-F238E27FC236}">
              <a16:creationId xmlns:a16="http://schemas.microsoft.com/office/drawing/2014/main" id="{0CD2F8C1-66D6-E77C-5B88-3656C62A11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67280" y="15029487"/>
          <a:ext cx="2606007" cy="3800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570700</xdr:colOff>
      <xdr:row>12</xdr:row>
      <xdr:rowOff>72037</xdr:rowOff>
    </xdr:from>
    <xdr:to>
      <xdr:col>8</xdr:col>
      <xdr:colOff>580304</xdr:colOff>
      <xdr:row>34</xdr:row>
      <xdr:rowOff>77942</xdr:rowOff>
    </xdr:to>
    <xdr:pic>
      <xdr:nvPicPr>
        <xdr:cNvPr id="4" name="Picture 3">
          <a:extLst>
            <a:ext uri="{FF2B5EF4-FFF2-40B4-BE49-F238E27FC236}">
              <a16:creationId xmlns:a16="http://schemas.microsoft.com/office/drawing/2014/main" id="{EEBF8AE4-316C-6B92-724D-A1B874BAA1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11771" y="2344430"/>
          <a:ext cx="11274717" cy="38975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297918</xdr:colOff>
      <xdr:row>8</xdr:row>
      <xdr:rowOff>20552</xdr:rowOff>
    </xdr:from>
    <xdr:to>
      <xdr:col>16</xdr:col>
      <xdr:colOff>740472</xdr:colOff>
      <xdr:row>30</xdr:row>
      <xdr:rowOff>121902</xdr:rowOff>
    </xdr:to>
    <xdr:pic>
      <xdr:nvPicPr>
        <xdr:cNvPr id="5" name="Picture 4">
          <a:extLst>
            <a:ext uri="{FF2B5EF4-FFF2-40B4-BE49-F238E27FC236}">
              <a16:creationId xmlns:a16="http://schemas.microsoft.com/office/drawing/2014/main" id="{9A77BA1D-9239-0510-DDAC-364B37E8670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611006" y="1578170"/>
          <a:ext cx="8219436" cy="40570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lenovo-my.sharepoint.com/personal/xyang10_lenovo_com/Documents/AMS/&#38656;&#27714;&#25991;&#20214;/FY24Q4%20accrual%20supporting_WWH.xlsx" TargetMode="External"/><Relationship Id="rId1" Type="http://schemas.openxmlformats.org/officeDocument/2006/relationships/externalLinkPath" Target="FY24Q4%20accrual%20supporting_WW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Y24Q3"/>
      <sheetName val="Edit for Acc"/>
      <sheetName val="WWH Acc. Summary"/>
      <sheetName val="Green Logistics_Yuchang"/>
      <sheetName val="License&amp;HK HUB_Fay"/>
      <sheetName val="Cable package_Jinjin"/>
      <sheetName val="HIC Auto Hub_Hanson"/>
      <sheetName val="AI_Jenny"/>
      <sheetName val="WWHx4"/>
    </sheetNames>
    <sheetDataSet>
      <sheetData sheetId="0"/>
      <sheetData sheetId="1"/>
      <sheetData sheetId="2"/>
      <sheetData sheetId="3"/>
      <sheetData sheetId="4"/>
      <sheetData sheetId="5"/>
      <sheetData sheetId="6"/>
      <sheetData sheetId="7">
        <row r="60">
          <cell r="B60" t="str">
            <v>Description</v>
          </cell>
          <cell r="C60" t="str">
            <v>Planned Amount ($) - Development</v>
          </cell>
          <cell r="D60" t="str">
            <v>Service Quarter- Development</v>
          </cell>
          <cell r="E60" t="str">
            <v>Estimate Payment Timeline - Development</v>
          </cell>
        </row>
        <row r="61">
          <cell r="B61" t="str">
            <v>Automated Email for Inventory DB Reports</v>
          </cell>
          <cell r="C61">
            <v>3779.9999999999995</v>
          </cell>
          <cell r="D61" t="str">
            <v>FY2425 Q2</v>
          </cell>
          <cell r="E61" t="str">
            <v>FY2425 Q2</v>
          </cell>
        </row>
        <row r="62">
          <cell r="B62" t="str">
            <v>WHS Battery Certificate Management V1</v>
          </cell>
          <cell r="C62">
            <v>3779.9999999999995</v>
          </cell>
          <cell r="D62" t="str">
            <v>FY2425 Q2</v>
          </cell>
          <cell r="E62" t="str">
            <v>FY2425 Q2</v>
          </cell>
        </row>
        <row r="63">
          <cell r="B63" t="str">
            <v>Battery Master Data Platform V1</v>
          </cell>
          <cell r="C63">
            <v>5040</v>
          </cell>
          <cell r="D63" t="str">
            <v>FY2425 Q3</v>
          </cell>
          <cell r="E63" t="str">
            <v>FY2425 Q2</v>
          </cell>
        </row>
        <row r="64">
          <cell r="B64" t="str">
            <v>SSC Logistics Chatbot V1</v>
          </cell>
          <cell r="C64">
            <v>51100</v>
          </cell>
          <cell r="D64" t="str">
            <v>FY2425 Q3</v>
          </cell>
          <cell r="E64" t="str">
            <v>FY2526 Q1</v>
          </cell>
        </row>
        <row r="65">
          <cell r="B65" t="str">
            <v>SSC Logistics Chatbot V2</v>
          </cell>
          <cell r="C65">
            <v>72000</v>
          </cell>
          <cell r="D65" t="str">
            <v>FY2526 Q1</v>
          </cell>
          <cell r="E65" t="str">
            <v>FY2526 Q3</v>
          </cell>
        </row>
        <row r="66">
          <cell r="B66" t="str">
            <v>Automated Emails for Battery Suppliers</v>
          </cell>
          <cell r="C66">
            <v>1260</v>
          </cell>
          <cell r="D66" t="str">
            <v>FY2526 Q2</v>
          </cell>
          <cell r="E66" t="str">
            <v>FY2425 Q2</v>
          </cell>
        </row>
        <row r="67">
          <cell r="B67" t="str">
            <v>AI-Driven Quotation Collection Platform</v>
          </cell>
          <cell r="C67">
            <v>6048</v>
          </cell>
          <cell r="D67" t="str">
            <v>FY2425 Q4</v>
          </cell>
          <cell r="E67" t="str">
            <v>FY2425 Q2</v>
          </cell>
        </row>
        <row r="68">
          <cell r="B68" t="str">
            <v>Automated Invoice Data Extraction and Parsing V1</v>
          </cell>
          <cell r="C68">
            <v>3024</v>
          </cell>
          <cell r="D68" t="str">
            <v>FY2526 Q3</v>
          </cell>
          <cell r="E68" t="str">
            <v>FY2425 Q2</v>
          </cell>
        </row>
        <row r="69">
          <cell r="B69" t="str">
            <v>OA Approval Platform</v>
          </cell>
          <cell r="C69">
            <v>10080</v>
          </cell>
          <cell r="D69" t="str">
            <v>FY2526 Q2</v>
          </cell>
          <cell r="E69" t="str">
            <v>FY2425 Q2</v>
          </cell>
        </row>
        <row r="70">
          <cell r="B70" t="str">
            <v>Auto SAP Batch Stock Adjustment</v>
          </cell>
          <cell r="C70">
            <v>1260</v>
          </cell>
          <cell r="D70" t="str">
            <v>FY2425 Q4</v>
          </cell>
          <cell r="E70" t="str">
            <v>FY2425 Q2</v>
          </cell>
        </row>
        <row r="71">
          <cell r="B71" t="str">
            <v>Live Interception Platform V1</v>
          </cell>
          <cell r="C71">
            <v>15971.18</v>
          </cell>
          <cell r="D71" t="str">
            <v>FY2425 Q2</v>
          </cell>
          <cell r="E71" t="str">
            <v>FY2425 Q4</v>
          </cell>
        </row>
        <row r="72">
          <cell r="B72" t="str">
            <v>3PL Transport Bill Comparison</v>
          </cell>
          <cell r="C72">
            <v>2772</v>
          </cell>
          <cell r="D72" t="str">
            <v>FY2526 Q1</v>
          </cell>
          <cell r="E72" t="str">
            <v>FY2526 Q1</v>
          </cell>
        </row>
        <row r="73">
          <cell r="B73" t="str">
            <v>WHS Battery Certificate Management V2</v>
          </cell>
          <cell r="C73">
            <v>11550</v>
          </cell>
          <cell r="D73" t="str">
            <v>FY2425 Q4</v>
          </cell>
          <cell r="E73" t="str">
            <v>FY2526 Q1</v>
          </cell>
        </row>
        <row r="74">
          <cell r="B74" t="str">
            <v>Automated Invoice Data Extraction and Parsing V2</v>
          </cell>
          <cell r="C74">
            <v>3960</v>
          </cell>
          <cell r="D74" t="str">
            <v>FY2526 Q4</v>
          </cell>
          <cell r="E74" t="str">
            <v>FY2526 Q3</v>
          </cell>
        </row>
        <row r="75">
          <cell r="B75" t="str">
            <v>National Holiday Email Reminders</v>
          </cell>
          <cell r="C75">
            <v>2640</v>
          </cell>
          <cell r="D75" t="str">
            <v>FY2526 Q3</v>
          </cell>
          <cell r="E75" t="str">
            <v>FY2526 Q3</v>
          </cell>
        </row>
        <row r="76">
          <cell r="B76" t="str">
            <v>Automated CC Master Data Maintenance</v>
          </cell>
          <cell r="C76">
            <v>3300</v>
          </cell>
          <cell r="D76" t="str">
            <v>FY2526 Q3</v>
          </cell>
          <cell r="E76" t="str">
            <v>FY2526 Q3</v>
          </cell>
        </row>
        <row r="77">
          <cell r="B77" t="str">
            <v>Compliance Master Data Platform</v>
          </cell>
          <cell r="C77">
            <v>3465</v>
          </cell>
          <cell r="D77" t="str">
            <v>FY2526 Q1</v>
          </cell>
          <cell r="E77" t="str">
            <v>FY2526 Q1</v>
          </cell>
        </row>
        <row r="78">
          <cell r="B78" t="str">
            <v>Battery Master Data Platform V2</v>
          </cell>
          <cell r="C78">
            <v>6930</v>
          </cell>
          <cell r="D78" t="str">
            <v>FY2526 Q1</v>
          </cell>
          <cell r="E78" t="str">
            <v>FY2526 Q1</v>
          </cell>
        </row>
        <row r="79">
          <cell r="B79" t="str">
            <v>Intelligent Stamp Management Platform</v>
          </cell>
          <cell r="C79">
            <v>13200</v>
          </cell>
          <cell r="D79" t="str">
            <v>FY2526 Q1</v>
          </cell>
          <cell r="E79" t="str">
            <v>FY2526 Q3</v>
          </cell>
        </row>
        <row r="80">
          <cell r="B80" t="str">
            <v>WHS Battery Certificate Management V3</v>
          </cell>
          <cell r="C80">
            <v>6600</v>
          </cell>
          <cell r="D80" t="str">
            <v>FY2526 Q3</v>
          </cell>
          <cell r="E80" t="str">
            <v>FY2526 Q3</v>
          </cell>
        </row>
        <row r="81">
          <cell r="B81" t="str">
            <v>Smart Delivery UI Platform V1</v>
          </cell>
          <cell r="C81">
            <v>19800</v>
          </cell>
          <cell r="D81" t="str">
            <v>FY2526 Q4</v>
          </cell>
          <cell r="E81" t="str">
            <v>FY2526 Q3</v>
          </cell>
        </row>
        <row r="82">
          <cell r="B82" t="str">
            <v>Smart Delivery UI Platform V2</v>
          </cell>
          <cell r="C82">
            <v>19800</v>
          </cell>
          <cell r="D82" t="str">
            <v>FY2627 Q2</v>
          </cell>
          <cell r="E82" t="str">
            <v>FY2627 Q1</v>
          </cell>
        </row>
        <row r="83">
          <cell r="B83" t="str">
            <v>Smart GTC Management V1</v>
          </cell>
          <cell r="C83">
            <v>6600</v>
          </cell>
          <cell r="D83" t="str">
            <v>FY2526 Q3</v>
          </cell>
          <cell r="E83" t="str">
            <v>FY2526 Q3</v>
          </cell>
        </row>
        <row r="84">
          <cell r="B84" t="str">
            <v>Smart GTC Management V2</v>
          </cell>
          <cell r="C84">
            <v>6600</v>
          </cell>
          <cell r="D84" t="str">
            <v>FY2526 Q3</v>
          </cell>
          <cell r="E84" t="str">
            <v>FY2526 Q3</v>
          </cell>
        </row>
        <row r="85">
          <cell r="B85" t="str">
            <v>Smart GTC Management V3</v>
          </cell>
          <cell r="C85">
            <v>6600</v>
          </cell>
          <cell r="D85" t="str">
            <v>FY2526 Q3</v>
          </cell>
          <cell r="E85" t="str">
            <v>FY2526 Q3</v>
          </cell>
        </row>
        <row r="86">
          <cell r="B86" t="str">
            <v>Customs Bill Auditing</v>
          </cell>
          <cell r="C86">
            <v>3465</v>
          </cell>
          <cell r="D86" t="str">
            <v>FY2526 Q2</v>
          </cell>
          <cell r="E86" t="str">
            <v>FY2526 Q1</v>
          </cell>
        </row>
        <row r="87">
          <cell r="B87" t="str">
            <v>Customs Information Summary</v>
          </cell>
          <cell r="C87">
            <v>6600</v>
          </cell>
          <cell r="D87" t="str">
            <v>FY2526 Q3</v>
          </cell>
          <cell r="E87" t="str">
            <v>FY2526 Q3</v>
          </cell>
        </row>
        <row r="88">
          <cell r="B88" t="str">
            <v>Live Interception Platform V2</v>
          </cell>
          <cell r="C88">
            <v>9240</v>
          </cell>
          <cell r="D88" t="str">
            <v>FY2526 Q3</v>
          </cell>
          <cell r="E88" t="str">
            <v>FY2526 Q1</v>
          </cell>
        </row>
        <row r="89">
          <cell r="B89" t="str">
            <v>Logistics Smart Knowledge Management</v>
          </cell>
          <cell r="C89">
            <v>19800</v>
          </cell>
          <cell r="D89" t="str">
            <v>FY2526 Q4</v>
          </cell>
          <cell r="E89" t="str">
            <v>FY2526 Q3</v>
          </cell>
        </row>
        <row r="90">
          <cell r="B90" t="str">
            <v>Intelligent Cost Prediction Mode</v>
          </cell>
          <cell r="C90">
            <v>16500</v>
          </cell>
          <cell r="D90" t="str">
            <v>FY2526 Q3</v>
          </cell>
          <cell r="E90" t="str">
            <v>FY2526 Q3</v>
          </cell>
        </row>
        <row r="91">
          <cell r="B91" t="str">
            <v>Billing Error Resolution Solutions</v>
          </cell>
          <cell r="C91">
            <v>16500</v>
          </cell>
          <cell r="D91" t="str">
            <v>FY2526 Q2</v>
          </cell>
          <cell r="E91" t="str">
            <v>FY2526 Q3</v>
          </cell>
        </row>
        <row r="92">
          <cell r="B92" t="str">
            <v>Automated National Holiday Alerts</v>
          </cell>
          <cell r="C92">
            <v>4950</v>
          </cell>
          <cell r="D92" t="str">
            <v>FY2627 Q1</v>
          </cell>
          <cell r="E92" t="str">
            <v>FY2627 Q1</v>
          </cell>
        </row>
        <row r="93">
          <cell r="B93" t="str">
            <v>Part Number Billing Weight Estimation</v>
          </cell>
          <cell r="C93">
            <v>6600</v>
          </cell>
          <cell r="D93" t="str">
            <v>FY2627 Q1</v>
          </cell>
          <cell r="E93" t="str">
            <v>FY2627 Q1</v>
          </cell>
        </row>
        <row r="94">
          <cell r="B94" t="str">
            <v>Real-Time Transport Monitoring Platform</v>
          </cell>
          <cell r="C94">
            <v>9900</v>
          </cell>
          <cell r="D94" t="str">
            <v>FY2627 Q1</v>
          </cell>
          <cell r="E94" t="str">
            <v>FY2627 Q1</v>
          </cell>
        </row>
        <row r="95">
          <cell r="B95" t="str">
            <v>LaaS Website and App</v>
          </cell>
          <cell r="C95">
            <v>9900</v>
          </cell>
          <cell r="D95" t="str">
            <v>FY2627 Q2</v>
          </cell>
          <cell r="E95" t="str">
            <v>FY2627 Q1</v>
          </cell>
        </row>
        <row r="96">
          <cell r="B96"/>
          <cell r="C96">
            <v>390615.18</v>
          </cell>
          <cell r="D96"/>
          <cell r="E96"/>
        </row>
        <row r="97">
          <cell r="B97" t="str">
            <v>Phase 1: Development and Integration</v>
          </cell>
          <cell r="C97">
            <v>40660</v>
          </cell>
          <cell r="D97" t="str">
            <v>FY2425 Q4</v>
          </cell>
          <cell r="E97" t="str">
            <v>FY2526 Q1</v>
          </cell>
        </row>
        <row r="98">
          <cell r="B98" t="str">
            <v>Phase 2: Advanced Development and Optimization</v>
          </cell>
          <cell r="C98">
            <v>40660</v>
          </cell>
          <cell r="D98" t="str">
            <v>FY2526 Q2</v>
          </cell>
          <cell r="E98" t="str">
            <v>FY2526 Q3</v>
          </cell>
        </row>
        <row r="99">
          <cell r="B99"/>
          <cell r="C99">
            <v>81320</v>
          </cell>
          <cell r="D99"/>
          <cell r="E99"/>
        </row>
      </sheetData>
      <sheetData sheetId="8"/>
    </sheetDataSet>
  </externalBook>
</externalLink>
</file>

<file path=xl/persons/person.xml><?xml version="1.0" encoding="utf-8"?>
<personList xmlns="http://schemas.microsoft.com/office/spreadsheetml/2018/threadedcomments" xmlns:x="http://schemas.openxmlformats.org/spreadsheetml/2006/main">
  <person displayName="Jenny Yang10" id="{838907E5-BB62-4ACC-861C-309F50273A1B}" userId="S::xyang10@lenovo.com::b90b6c39-e904-4fd2-8b02-44c927cec1e8"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nny Yang10" refreshedDate="45747.708354629627" createdVersion="8" refreshedVersion="8" minRefreshableVersion="3" recordCount="37" xr:uid="{6B7D1E2A-56A2-4869-B6FC-E332384799FB}">
  <cacheSource type="worksheet">
    <worksheetSource ref="A1:T44" sheet="需求评估"/>
  </cacheSource>
  <cacheFields count="20">
    <cacheField name="ID" numFmtId="0">
      <sharedItems containsSemiMixedTypes="0" containsString="0" containsNumber="1" containsInteger="1" minValue="1" maxValue="29"/>
    </cacheField>
    <cacheField name="Function" numFmtId="0">
      <sharedItems/>
    </cacheField>
    <cacheField name="需求" numFmtId="0">
      <sharedItems count="46">
        <s v="3PL账单比对"/>
        <s v="定期邮箱发送库存DB报告"/>
        <s v="电池主数据平台 V1"/>
        <s v="电池主数据平台 V2"/>
        <s v="电池证书识别 V1"/>
        <s v="电池证书识别 V2"/>
        <s v="电池证书识别 V3"/>
        <s v="电池供应商自动邮件"/>
        <s v="备件物流AI问答机器人 V1"/>
        <s v="备件物流AI问答机器人 V2"/>
        <s v="AI对话搜集报价信息"/>
        <s v="Smart Delivery UI Platform V1"/>
        <s v="Smart Delivery UI Platform V2"/>
        <s v="Smart GTC Management V1"/>
        <s v="Smart GTC Management V2"/>
        <s v="Smart GTC Management V3"/>
        <s v="发票信息自动抽取解析 V1"/>
        <s v="发票信息自动抽取解析 V2"/>
        <s v="OA审批平台"/>
        <s v="SAP自动批量调库"/>
        <s v="国家假期邮件提醒"/>
        <s v="CC主数据自动维护"/>
        <s v="安规主数据平台"/>
        <s v="关务账单审核"/>
        <s v="报关信息汇总"/>
        <s v="安规证书识别"/>
        <s v="Logistics Smart KM"/>
        <s v="智能成本预测模型"/>
        <s v="自动计算未开账单"/>
        <s v="自动各国假期提醒"/>
        <s v="料号估算计费重量"/>
        <s v="不同格式的报价统一化"/>
        <s v="运输实时线上监控平台"/>
        <s v="LaaS网站和小程序"/>
        <s v="电池图片智能识别"/>
        <s v="账单报错解决方案"/>
        <s v="Exceptions diagnosis"/>
        <s v="电池主数据平台" u="1"/>
        <s v="电池证书关键信息识别及比对*" u="1"/>
        <s v="备件物流AI问答机器人" u="1"/>
        <s v="Smart Delivery UI Platform" u="1"/>
        <s v="Smart GTC Management" u="1"/>
        <s v="发票信息自动抽取解析" u="1"/>
        <s v="SAP自动批量移库" u="1"/>
        <s v="Rebalance 自动提取open订单" u="1"/>
        <s v="Rebalance ASN生成自动提醒" u="1"/>
      </sharedItems>
    </cacheField>
    <cacheField name="业务备注" numFmtId="0">
      <sharedItems longText="1"/>
    </cacheField>
    <cacheField name="种类" numFmtId="0">
      <sharedItems/>
    </cacheField>
    <cacheField name="Focal" numFmtId="0">
      <sharedItems containsBlank="1"/>
    </cacheField>
    <cacheField name="业务优先级" numFmtId="0">
      <sharedItems/>
    </cacheField>
    <cacheField name="排序" numFmtId="0">
      <sharedItems containsString="0" containsBlank="1" containsNumber="1" containsInteger="1" minValue="1" maxValue="30"/>
    </cacheField>
    <cacheField name="开发难易度" numFmtId="0">
      <sharedItems/>
    </cacheField>
    <cacheField name="IT类型" numFmtId="0">
      <sharedItems/>
    </cacheField>
    <cacheField name="IT备注" numFmtId="0">
      <sharedItems containsBlank="1"/>
    </cacheField>
    <cacheField name="MD" numFmtId="0">
      <sharedItems containsString="0" containsBlank="1" containsNumber="1" containsInteger="1" minValue="5" maxValue="87"/>
    </cacheField>
    <cacheField name="交付YR" numFmtId="0">
      <sharedItems/>
    </cacheField>
    <cacheField name="YR0 开发费用（折前）" numFmtId="0">
      <sharedItems containsString="0" containsBlank="1" containsNumber="1" containsInteger="1" minValue="0" maxValue="28710"/>
    </cacheField>
    <cacheField name="&gt;Y0运营支持费（折前）" numFmtId="0">
      <sharedItems containsString="0" containsBlank="1" containsNumber="1" containsInteger="1" minValue="0" maxValue="5742"/>
    </cacheField>
    <cacheField name="&gt;Y0运营平台费（折前）" numFmtId="0">
      <sharedItems containsString="0" containsBlank="1" containsNumber="1" containsInteger="1" minValue="100" maxValue="100"/>
    </cacheField>
    <cacheField name="YR0 开发费用" numFmtId="0">
      <sharedItems containsString="0" containsBlank="1" containsNumber="1" minValue="0" maxValue="51100"/>
    </cacheField>
    <cacheField name="&gt;Y0运营支持费" numFmtId="0">
      <sharedItems containsString="0" containsBlank="1" containsNumber="1" containsInteger="1" minValue="0" maxValue="5742"/>
    </cacheField>
    <cacheField name="&gt;Y0运营平台费" numFmtId="0">
      <sharedItems containsString="0" containsBlank="1" containsNumber="1" containsInteger="1" minValue="50" maxValue="100"/>
    </cacheField>
    <cacheField name="Task Name" numFmtId="0">
      <sharedItems count="49">
        <s v="3PL Bill Comparison"/>
        <s v="Automated Email for Inventory DB Reports"/>
        <s v="Battery Master Data Platform V1"/>
        <s v="Battery Master Data Platform V2"/>
        <s v="WHS Battery Certificate Management V1"/>
        <s v="WHS Battery Certificate Management V2"/>
        <s v="WHS Battery Certificate Management V3"/>
        <s v="Automated Emails for Battery Suppliers"/>
        <s v="SSC Logistics LogiAgent V1"/>
        <s v="SSC Logistics LogiAgent V2"/>
        <s v="AI-Driven Quotation Information Collection"/>
        <s v="Smart Delivery UI Platform V1"/>
        <s v="Smart Delivery UI Platform V2"/>
        <s v="Smart GTC Management V1"/>
        <s v="Smart GTC Management V2"/>
        <s v="Smart GTC Management V3"/>
        <s v="Automated Invoice Data Extraction and Parsing V1"/>
        <s v="Automated Invoice Data Extraction and Parsing V2"/>
        <s v="OA Approval Platform"/>
        <s v="Automated SAP Batch Stock Transfers"/>
        <s v="National Holiday Email Reminders"/>
        <s v="Automated CC Master Data Maintenance"/>
        <s v="Compliance Master Data Platform"/>
        <s v="Customs Bill Auditing"/>
        <s v="Customs Information Summary"/>
        <s v="Compliance Certificate Management"/>
        <s v="Logistics Smart Knowledge Management"/>
        <s v="Intelligent Cost Prediction Mode"/>
        <s v="Automated Unbilled Amount Calculation"/>
        <s v="Automated National Holiday Alerts"/>
        <s v="Part Number Billing Weight Estimation"/>
        <s v="Standardized Rate Quote Formatting"/>
        <s v="Real-Time Transport Monitoring Platform"/>
        <s v="LaaS Website and App"/>
        <s v="Intelligent Battery Image Recognition"/>
        <s v="Billing Error Resolution Solutions"/>
        <s v="Exceptions diagnosis"/>
        <s v="SSC Logistics AI Chatbot V1" u="1"/>
        <s v="SSC Logistics AI Chatbot V2" u="1"/>
        <s v="Smart Delivery UI Platform" u="1"/>
        <s v="Smart GTC Management" u="1"/>
        <s v="Compliance Certifcate Management" u="1"/>
        <s v="Battery Master Data Platform" u="1"/>
        <s v="Battery Certificate Key Info Recognition and Comparison" u="1"/>
        <s v="Spare Parts Logistics AI Chatbot" u="1"/>
        <s v="Automated Invoice Data Extraction and Parsing" u="1"/>
        <s v="Automated SAP Batch Transfers" u="1"/>
        <s v="Rebalance Open Order Auto-Extraction" u="1"/>
        <s v="Rebalance ASN Auto-Reminders"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
  <r>
    <n v="1"/>
    <s v="Warehouse"/>
    <x v="0"/>
    <s v="参考附件文档"/>
    <s v="运输"/>
    <s v="Yuchang"/>
    <s v="中"/>
    <n v="11"/>
    <s v="低"/>
    <s v="自动化"/>
    <m/>
    <n v="12"/>
    <s v="2526"/>
    <n v="3960"/>
    <n v="792"/>
    <n v="100"/>
    <n v="2772"/>
    <n v="792"/>
    <n v="50"/>
    <x v="0"/>
  </r>
  <r>
    <n v="2"/>
    <s v="Warehouse"/>
    <x v="1"/>
    <s v="定期自动发送指定日期的库存报表,并根据报表图片内容进行解析和输出文字说明"/>
    <s v="库存"/>
    <s v="Hanson"/>
    <s v="高"/>
    <n v="1"/>
    <s v="低"/>
    <s v="自动化"/>
    <m/>
    <n v="15"/>
    <s v="2425"/>
    <n v="5400"/>
    <n v="1080"/>
    <n v="100"/>
    <n v="3779.9999999999995"/>
    <n v="1080"/>
    <n v="50"/>
    <x v="1"/>
  </r>
  <r>
    <n v="3"/>
    <s v="Warehouse"/>
    <x v="2"/>
    <s v="开发一个结合四个BU的电池信息查询平台，PCG数据自动抓取和生成电池PN的自动化流程"/>
    <s v="电池"/>
    <s v="Fay, Jinjin, Rooney"/>
    <s v="高"/>
    <n v="3"/>
    <s v="中"/>
    <s v="平台"/>
    <s v=" 第一期：权限管理（默认物流有权限、其他人需申请权限、super user）、数据查询、数据下载(PCG、TAB\MBG\ISG)"/>
    <n v="20"/>
    <s v="2425"/>
    <n v="7200"/>
    <n v="1440"/>
    <n v="100"/>
    <n v="5040"/>
    <n v="1440"/>
    <n v="50"/>
    <x v="2"/>
  </r>
  <r>
    <n v="3"/>
    <s v="Warehouse"/>
    <x v="3"/>
    <s v="开发一个结合四个BU的电池信息查询平台，MBG和ISG数据自动抓取和生成电池PN的自动化流程"/>
    <s v="电池"/>
    <s v="Fay, Jinjin, Rooney"/>
    <s v="高"/>
    <n v="19"/>
    <s v="中"/>
    <s v="平台"/>
    <s v="第二期：证书下载，图片上传"/>
    <n v="30"/>
    <s v="2526"/>
    <n v="9900"/>
    <n v="1980"/>
    <n v="100"/>
    <n v="6930"/>
    <n v="1980"/>
    <n v="50"/>
    <x v="3"/>
  </r>
  <r>
    <n v="4"/>
    <s v="Warehouse"/>
    <x v="4"/>
    <s v="1.根据Part Number(PN)分类_x000a_2.纯电池：7种报告是否都有，7种证书型号一致确认，厂商一致核对_x000a_设备含电池：5种证书厂商一致确认，空海运厂商一致核对_x000a_3. 识别纯电池还是设备带电池_x000a_4. 2024年section14/15要含有65th和188的字眼_x000a_5.识别证书的年份（MSDS和空海运每年有效，其余四份长期有效--- pass/fail）_x000a_6.针对设备含电池，需要确认电池的型号和品牌_x000a_7.如供应商提供的证书不全（即除空/海运证书外，另外5份没有提供全），则纯电池根据型号判断历史文件中有没有不全的证书，设备含电池根据电池型号和品牌判断、"/>
    <s v="电池"/>
    <s v="Fay, Jinjin, Rooney"/>
    <s v="高"/>
    <n v="2"/>
    <s v="中"/>
    <s v="自动化"/>
    <m/>
    <n v="15"/>
    <s v="2425"/>
    <n v="5400"/>
    <n v="1080"/>
    <n v="100"/>
    <n v="3779.9999999999995"/>
    <n v="1080"/>
    <n v="50"/>
    <x v="4"/>
  </r>
  <r>
    <n v="4"/>
    <s v="Warehouse"/>
    <x v="5"/>
    <s v="针对于一个型号对应多个空海运证书"/>
    <s v="电池"/>
    <s v="Fay, Jinjin, Rooney"/>
    <s v="高"/>
    <m/>
    <s v="中"/>
    <s v="自动化"/>
    <m/>
    <n v="50"/>
    <s v="2526"/>
    <n v="16500"/>
    <n v="3300"/>
    <n v="100"/>
    <n v="11550"/>
    <n v="3300"/>
    <n v="50"/>
    <x v="5"/>
  </r>
  <r>
    <n v="4"/>
    <s v="Warehouse"/>
    <x v="6"/>
    <s v="针对没有空海运鉴定证书"/>
    <s v="电池"/>
    <s v="Fay, Jinjin, Rooney"/>
    <s v="高"/>
    <m/>
    <s v="中"/>
    <s v="自动化"/>
    <m/>
    <n v="20"/>
    <s v="2526"/>
    <n v="6600"/>
    <n v="1320"/>
    <n v="100"/>
    <n v="4620"/>
    <n v="1320"/>
    <n v="50"/>
    <x v="6"/>
  </r>
  <r>
    <n v="5"/>
    <s v="Warehouse"/>
    <x v="7"/>
    <s v="系统监测缺失的电池文件和电池相关问题自动给供应商发邮件让其补充_x000a_1. 电池证书识别Version 1 完成后，在缺少证书或者证书识别错误的情况下，自动发邮件给供应商，邮件里面含电池的型号和电池厂商，以及证书审核后问题（缺失或者错误）。供应商补充证书，loop系统发的邮件。系统检测到供应商的邮件，获取邮件里的证书，保存到原始的文件目录下，再次审核。_x000a__x000a_2.在电池证书第一阶段（Version 1）检测到一个PN下多个型号（多个电池型号和厂商）的证书问题，需要（Lingling) 人工审核干预，她自己审核文件并判断是否缺少证书或者证书是否有问题，如有问题手动触发自动邮件给供应商。_x000a_后续可能需要以Part Number和供应商Vendor和品牌三种类别去命名_x000a__x000a_3.待Version2 完成后，就可以去掉多个电池型号厂商的PN需要LingLing人工审核的步骤。 "/>
    <s v="电池"/>
    <s v="Fay, Jinjin, Rooney"/>
    <s v="高"/>
    <n v="4"/>
    <s v="低"/>
    <s v="自动化"/>
    <m/>
    <n v="5"/>
    <s v="2526"/>
    <n v="1800"/>
    <n v="360"/>
    <n v="100"/>
    <n v="1260"/>
    <n v="360"/>
    <n v="50"/>
    <x v="7"/>
  </r>
  <r>
    <n v="6"/>
    <s v="Warehouse"/>
    <x v="8"/>
    <s v="开发基于AI对话模式的实时运输和货物仓库状态查询功能：_x000a_1.通过询问货物订单，从数据库输出相应的货物状态。_x000a_2.AMS系统与数据库连接，数据库物流信息会有延迟，需从第三方网站获取信息。_x000a_3.支持查询shipment的PO、BOL等信息，包括当前状态（如GRGI、打包、送货、送达等）。_x000a_4.在Teams平台上实现AI对话功能。_x000a_主要涵盖以下内容：_x000a_纯运输问题_x000a_物流Issue问题信息（如延迟原因）_x000a_物流行业知识_x000a_连接货代网站的单号跟踪功能，爬取第三方网站物流信息_x000a_数据库包含物流数据库"/>
    <s v="物流"/>
    <s v="Hanson"/>
    <s v="高"/>
    <n v="5"/>
    <s v="中"/>
    <s v="平台"/>
    <s v="teams收集信息，传给平台查询，再通过teams返回给用户物流状态及原因_x000a_第一期：集成teams AI实时查询物流状态，"/>
    <n v="70"/>
    <s v="2425"/>
    <n v="23100"/>
    <n v="4620"/>
    <n v="100"/>
    <n v="51100"/>
    <n v="4620"/>
    <n v="100"/>
    <x v="8"/>
  </r>
  <r>
    <n v="6"/>
    <s v="Warehouse"/>
    <x v="9"/>
    <s v="LogiAgent升级版： 自动做任务， 自动生成报表和触发alert邮件"/>
    <s v="物流"/>
    <s v="Hanson"/>
    <s v="高"/>
    <n v="21"/>
    <s v="中"/>
    <s v="平台"/>
    <s v="第二期：依据物流行业知识回答物流延迟、停滞的原因_x000a_参考SCI知识平台"/>
    <n v="87"/>
    <s v="2526"/>
    <n v="28710"/>
    <n v="5742"/>
    <n v="100"/>
    <n v="28710"/>
    <n v="5742"/>
    <n v="100"/>
    <x v="9"/>
  </r>
  <r>
    <n v="7"/>
    <s v="Transport"/>
    <x v="10"/>
    <s v="_x000a_1.对话框内收集需求者足够的货物基本信息，以便评估价格。_x000a_2.待业务预估运输成本后再反馈给需求者。"/>
    <s v="运输"/>
    <s v="Brian"/>
    <s v="高"/>
    <n v="6"/>
    <s v="低"/>
    <s v="平台"/>
    <s v="方案：设置物流teams hotline support _x000a_找teams team 合作：若用户引导用户输入物料尺寸、体积、重量、地址、是否含电池、是否有相应证书等，给Brian发邮件有新单据，Brian可以在平台上找到用户需求信息，评估价格，回复用户"/>
    <n v="24"/>
    <s v="2425"/>
    <n v="8640"/>
    <n v="1728"/>
    <n v="100"/>
    <n v="6048"/>
    <n v="1728"/>
    <n v="50"/>
    <x v="10"/>
  </r>
  <r>
    <n v="8"/>
    <s v="BI"/>
    <x v="11"/>
    <s v="1.智能交付Web用户界面（查询/仪表盘/设置等）_x000a_2.可配置的ETL接口（API/Kafka/ODBC/JDBC/手动上传等）_x000a_3.可配置的ETL处理流程_x000a_4.基于Python的可配置机器学习算法接口（3.9或以上版本，可升级）_x000a_5.实时拦截干预处理（通知相应的对接人）_x000a_6.端到端加速接口（API）_x000a__x000a_注解：_x000a_1.开发一个替代Power BI的平台，功能包括数据查询、数据展示和数据交互。_x000a_2.接收并处理来自外部的各种不同格式的客户数据。_x000a_3.转换外部的数据去调整算法_x000a_4.提供机器学习算法，并能够升级和优化现有算法。_x000a_5.实时干预系统：基于算法预测的预计到达时间（ETA）来通知用户和相关负责人，平台设有按钮可以直接通知相关人员_x000a_6.E2E加急订单API（联系到客户，如单号通过API同步给客户）"/>
    <s v="物流"/>
    <s v="Kevin"/>
    <s v="高"/>
    <n v="15"/>
    <s v="高"/>
    <s v="平台"/>
    <s v="第一期：powerBI平台主仪表板迁移（数据查询、展示、交互）、实时干预、E2E加急订单API（联系到客户，如单号通过API同步给客户）、机器学习算法接口_x000a_"/>
    <n v="60"/>
    <s v="2526"/>
    <n v="19800"/>
    <n v="3960"/>
    <n v="100"/>
    <n v="13860"/>
    <n v="3960"/>
    <n v="50"/>
    <x v="11"/>
  </r>
  <r>
    <n v="8"/>
    <s v="BI"/>
    <x v="12"/>
    <s v="1.智能交付Web用户界面（查询/仪表盘/设置等）_x000a_2.可配置的ETL接口（API/Kafka/ODBC/JDBC/手动上传等）_x000a_3.可配置的ETL处理流程_x000a_4.基于Python的可配置机器学习算法接口（3.9或以上版本，可升级）_x000a_5.实时拦截干预处理（通知相应的对接人）_x000a_6.端到端加速接口（API）_x000a__x000a_注解：_x000a_1.开发一个替代Power BI的平台，功能包括数据查询、数据展示和数据交互。_x000a_2.接收并处理来自外部的各种不同格式的客户数据。_x000a_3.转换外部的数据去调整算法_x000a_4.提供机器学习算法，并能够升级和优化现有算法。_x000a_5.实时干预系统：基于算法预测的预计到达时间（ETA）来通知用户和相关负责人，平台设有按钮可以直接通知相关人员_x000a_6.E2E加急订单API（联系到客户，如单号通过API同步给客户）"/>
    <s v="物流"/>
    <s v="Kevin"/>
    <s v="高"/>
    <n v="26"/>
    <s v="高"/>
    <s v="平台"/>
    <s v="第二期：数据集成（API/Kafka/ODBC/JDBC/手动上传等）、陆续迁移其他PowerBI报表、机器学习算法优化"/>
    <n v="60"/>
    <s v="2627"/>
    <n v="19800"/>
    <n v="3960"/>
    <n v="100"/>
    <n v="13860"/>
    <n v="3960"/>
    <n v="50"/>
    <x v="12"/>
  </r>
  <r>
    <n v="9"/>
    <s v="Compliance"/>
    <x v="13"/>
    <s v="开展AI信息识别和抓取报关单信息，并比对原有数据库信息，并发出不一致预警。_x000a_1. HS数据AI智能分类：_x000a_-.利用数据库内的料号和料号描述信息_x000a_-通过自有算法、深度机器学习或外部AI机器学习技术_x000a_-对料号进行HS code预分类_x000a_-物料号+HS code表_x000a_"/>
    <s v="安规"/>
    <s v="Bob"/>
    <s v="高"/>
    <n v="17"/>
    <s v="高"/>
    <s v="平台"/>
    <s v="依据海关总署归类规则筛选电子类/电脑类、机器学习模拟分类结果_x000a_需要调研在探讨能不能做"/>
    <n v="20"/>
    <s v="2526"/>
    <n v="6600"/>
    <n v="1320"/>
    <n v="100"/>
    <n v="4620"/>
    <n v="1320"/>
    <n v="50"/>
    <x v="13"/>
  </r>
  <r>
    <n v="9"/>
    <s v="Compliance"/>
    <x v="14"/>
    <s v="开展AI信息识别和抓取报关单信息，并比对原有数据库信息，并发出不一致预警。_x000a_2. HS数据AI智能分类：_x000a_-.利用数据库内的料号和料号描述信息_x000a_-通过自有算法、深度机器学习或外部AI机器学习技术_x000a_-对料号进行HS code预分类_x000a_-物料号+HS code表_x000a_"/>
    <s v="安规"/>
    <m/>
    <s v="高"/>
    <n v="17"/>
    <s v="高"/>
    <s v="平台"/>
    <s v="材料上传"/>
    <n v="20"/>
    <s v="2526"/>
    <n v="6600"/>
    <n v="1320"/>
    <n v="100"/>
    <n v="4620"/>
    <n v="1320"/>
    <n v="50"/>
    <x v="14"/>
  </r>
  <r>
    <n v="9"/>
    <s v="Compliance"/>
    <x v="15"/>
    <s v="开展AI信息识别和抓取报关单信息，并比对原有数据库信息，并发出不一致预警。_x000a_3. HS数据AI智能分类：_x000a_-.利用数据库内的料号和料号描述信息_x000a_-通过自有算法、深度机器学习或外部AI机器学习技术_x000a_-对料号进行HS code预分类_x000a_-物料号+HS code表_x000a_"/>
    <s v="安规"/>
    <m/>
    <s v="高"/>
    <n v="17"/>
    <s v="高"/>
    <s v="平台"/>
    <s v="AI预警"/>
    <n v="20"/>
    <s v="2526"/>
    <n v="6600"/>
    <n v="1320"/>
    <n v="100"/>
    <n v="4620"/>
    <n v="1320"/>
    <n v="50"/>
    <x v="15"/>
  </r>
  <r>
    <n v="10"/>
    <s v="Billing"/>
    <x v="16"/>
    <s v="解决发票以及清关文件等PDF文件格式不统一、20多语言混合等问题，实现发票和文件信息自动抽取解析:_x000a_1.下载文件，转存文件_x000a_2. 解压缩文件(if any)_x000a_3. 上传文件，解析_x000a_4. 提取信息存储_x000a_5. 一次处理100多个文件"/>
    <s v="发票"/>
    <s v="Shichao"/>
    <s v="高"/>
    <n v="7"/>
    <s v="中"/>
    <s v="自动化"/>
    <s v="第一期：部分平台已支持的语言OCR识别"/>
    <n v="12"/>
    <s v="2526"/>
    <n v="4320"/>
    <n v="864"/>
    <n v="100"/>
    <n v="3024"/>
    <n v="864"/>
    <n v="50"/>
    <x v="16"/>
  </r>
  <r>
    <n v="10"/>
    <s v="Billing"/>
    <x v="17"/>
    <s v="解决发票以及清关文件等PDF文件格式不统一、20多语言混合等问题，实现发票和文件信息自动抽取解析:_x000a_1.下载文件，转存文件_x000a_2. 解压缩文件(if any)_x000a_3. 上传文件，解析_x000a_4. 提取信息存储_x000a_5. 一次处理100多个文件"/>
    <s v="发票"/>
    <m/>
    <s v="高"/>
    <n v="18"/>
    <s v="中"/>
    <s v="自动化"/>
    <s v="第二期：升级"/>
    <n v="12"/>
    <s v="2526"/>
    <n v="3960"/>
    <n v="792"/>
    <n v="100"/>
    <n v="2772"/>
    <n v="792"/>
    <n v="50"/>
    <x v="17"/>
  </r>
  <r>
    <n v="11"/>
    <s v="Warehouse"/>
    <x v="18"/>
    <s v="参照GAMS系统（带出相关申请人的组织架）_x000a_用公司tcode自动登录；_x000a_自动带出财务和业务相关的审批人（如concur）_x000a_后续授权维护和新场景增加（开一个自定义的场景，非常规的也可以申请人自己设置）"/>
    <s v="库存"/>
    <s v="Jinjin"/>
    <s v="高"/>
    <n v="8"/>
    <s v="高"/>
    <s v="平台"/>
    <s v="获取GAMS权限数据，审批过程的记录_x000a_业务：审批流和电子流_x000a_平台总需求：统一平台有权限审批的能力"/>
    <n v="40"/>
    <s v="2526"/>
    <n v="14400"/>
    <n v="2880"/>
    <n v="100"/>
    <n v="10080"/>
    <n v="2880"/>
    <n v="50"/>
    <x v="18"/>
  </r>
  <r>
    <n v="12"/>
    <s v="Warehouse"/>
    <x v="19"/>
    <s v="通过输入Part no实现自动移库,包括scrap和批量移库功能。之前需要使用MB1B下载模板,填完模板再上传到ECC系统。_x000a__x000a_频次的话是每周一次，周五;_x000a_量级的话平均每周不到100pcs，目前大概都是20个FRU PN，但是这个是不固定的_x000a_Tcode是MB1B， movetype是309_x000a_目前我没有用模版，都是手工一个个填写的，因为是PN A一一对应改为PN B，批量的话可能有PN A改成PN C的风险"/>
    <s v="SAP"/>
    <s v="Jinjin"/>
    <s v="中"/>
    <n v="9"/>
    <s v="低"/>
    <s v="自动化"/>
    <m/>
    <n v="5"/>
    <s v="2425"/>
    <n v="1800"/>
    <n v="360"/>
    <n v="100"/>
    <n v="1260"/>
    <n v="360"/>
    <n v="50"/>
    <x v="19"/>
  </r>
  <r>
    <n v="13"/>
    <s v="Warehouse"/>
    <x v="20"/>
    <s v="1.自动发送中国和香港的假期及补班提醒邮件,通知各个GEO仓库工作时间 _x000a_2.Yuchang的运输表ASN上传截止时间估算假期安排，再发出假期提醒给到FF和PM"/>
    <s v="Admin"/>
    <s v="Songjia/Yuchang/Tianyu"/>
    <s v="中"/>
    <n v="12"/>
    <s v="低"/>
    <s v="自动化"/>
    <m/>
    <n v="8"/>
    <s v="2526"/>
    <n v="2640"/>
    <n v="528"/>
    <n v="100"/>
    <n v="1847.9999999999998"/>
    <n v="528"/>
    <n v="50"/>
    <x v="20"/>
  </r>
  <r>
    <n v="14"/>
    <s v="Warehouse"/>
    <x v="21"/>
    <s v="从SES和主数据中获取信息,收集汇总线上平台CC主数据,并每周更新料号对应的最新CC (Category Code)。_x000a_TAB: https://osd.lenovo.com/ses/lookup/part/list_x000a_MBG: https://ses.lenovo.com/login"/>
    <s v="仓储"/>
    <s v="Songjia/Tianyu"/>
    <s v="中"/>
    <n v="14"/>
    <s v="低"/>
    <s v="自动化"/>
    <m/>
    <n v="10"/>
    <s v="2526"/>
    <n v="3300"/>
    <n v="660"/>
    <n v="100"/>
    <n v="2310"/>
    <n v="660"/>
    <n v="50"/>
    <x v="21"/>
  </r>
  <r>
    <n v="15"/>
    <s v="Compliance"/>
    <x v="22"/>
    <s v="证书下载：用户可以通过平台下载各国的认证证书。 _x000a_数据展示：展示主数据中的核心字段信息，如型号、供应商、认证编号等。 _x000a_文件匹配：根据型号和认证编号匹配并展示相关证书。 _x000a_多语言支持：处理和展示不同语言的证书内容。 _x000a_历史数据导入：支持导入和展示历史证书数据。 _x000a_文件存储和检索：存储证书文件并支持用户通过平台进行检索和下载"/>
    <s v="安规"/>
    <s v="Marilyn"/>
    <s v="高"/>
    <n v="22"/>
    <s v="中"/>
    <s v="平台"/>
    <m/>
    <n v="15"/>
    <s v="2526"/>
    <n v="4950"/>
    <n v="990"/>
    <n v="100"/>
    <n v="3465"/>
    <n v="990"/>
    <n v="50"/>
    <x v="22"/>
  </r>
  <r>
    <n v="16"/>
    <s v="Warehouse"/>
    <x v="23"/>
    <s v="1.真实性： 结合系统和HIC业务报表，判断账单上的业务是否实际发生。如果没有发生，系统将发出预警，需要人工再次确认。_x000a_-在ECC系统中查找账单上的BOL是否存在于系统内的ASN中对应的BOL- 如果当月数量不匹配，再看BOL是否存在于上个月（如果不存在同个月，看是否之前账单已charge过）_x000a__x000a_2.合理性： 结合系统和HIC业务报表，判断账单上发生的业务是否必要。如果判断为非必要，系统也将发出预警，需要人工干预。（Lingling 后续输出具体逻辑规则和明确的场景去判断）-放在第二个阶段，需要AI大模型_x000a__x000a_*第一次的账单，SSC 提供前2-3个月的历史账单给到AMS"/>
    <s v="关务"/>
    <s v="Lingling"/>
    <s v="中"/>
    <n v="20"/>
    <s v="低"/>
    <s v="自动化"/>
    <m/>
    <n v="15"/>
    <s v="2526"/>
    <n v="4950"/>
    <n v="990"/>
    <n v="100"/>
    <n v="3465"/>
    <n v="990"/>
    <n v="50"/>
    <x v="23"/>
  </r>
  <r>
    <n v="17"/>
    <s v="Warehouse"/>
    <x v="24"/>
    <s v="提供报关信息上传出口以便于供应商上传文件，抓取料号关键信息，最后可通过输入PN（Part number) 或其他关键信息查询到累积的数据_x000a_场景1：同个PN会有不同的供应商_x000a_场景2：同个PN会有不同的HS code_x000a_场景3：同个PN会有不同的申报要素_x000a_场景4：同个PN会有不同的原产国_x000a_场景5：同个PN会有不同的品名_x000a_（不看入库日期， 和数量）_x000a_PN第一次入库HIC只会记录第一次PN来料主数据，目的是掌握同个PN每次入库五个场景当中所有的关键信息。 _x000a__x000a_项目开始取决于HIC报关行能否提供PN每次入库信息，需要与报关行确定来源接收方式）_x000a_输出方式：以PN形式记录"/>
    <s v="关务"/>
    <s v="Lingling"/>
    <s v="中"/>
    <n v="13"/>
    <s v="中"/>
    <s v="平台"/>
    <m/>
    <n v="20"/>
    <s v="2526"/>
    <n v="6600"/>
    <n v="1320"/>
    <n v="100"/>
    <n v="4620"/>
    <n v="1320"/>
    <n v="50"/>
    <x v="24"/>
  </r>
  <r>
    <n v="18"/>
    <s v="Compliance"/>
    <x v="25"/>
    <s v="证书类型识别：识别不同国家和类型的认证证书，如印度的BIS证书、台湾的BSMI证书、韩国的KC证书等。_x000a_字段提取：从证书中提取关键信息，包括认证编号、有效期、型号等。 _x000a_OCR技术：使用OCR技术自动识别和提取证书中的文本信息。 _x000a_多语言支持：处理不同语言的证书内容，确保准确提取信息。 _x000a_文件匹配：根据型号和认证编号将证书与主数据进行匹配。 _x000a_数据存储和检索：将提取的信息存储在数据库中，支持用户通过平台进行搜索和下载。"/>
    <s v="安规"/>
    <s v="Marilyn"/>
    <s v="中"/>
    <n v="22"/>
    <s v="中"/>
    <s v="自动化"/>
    <m/>
    <m/>
    <s v="TBD"/>
    <m/>
    <m/>
    <m/>
    <m/>
    <m/>
    <m/>
    <x v="25"/>
  </r>
  <r>
    <n v="19"/>
    <s v="Data"/>
    <x v="26"/>
    <s v="Logistics Smart KM 物流知识管理平台（文档向量化，数据库化）： _x000a_1.基于OCR技术，利用LLM大模型对各种文档（发票，清关文件）进行处理。_x000a_2.首先将现有的非结构化文档（如发票、清关文件等）整合到一个量化的数据库中。_x000a_3.开发一个可配置的平台，以满足不同场景的需求。_x000a_4.利用OpenAI模型，通过不同类型的文档OCR结果创建知识库。"/>
    <s v="物流"/>
    <s v="Kevin"/>
    <s v="中"/>
    <n v="25"/>
    <s v="高"/>
    <s v="平台"/>
    <m/>
    <n v="60"/>
    <s v="2526"/>
    <n v="19800"/>
    <n v="3960"/>
    <n v="100"/>
    <n v="13860"/>
    <n v="3960"/>
    <n v="50"/>
    <x v="26"/>
  </r>
  <r>
    <n v="20"/>
    <s v="Cost"/>
    <x v="27"/>
    <s v="1、CPP价格查询平台，异常数据收集，价格汇总_x000a_2、依据CPP历史数据，通过输入起止点、终点，预测成本最优路线，并展示在每个仓库的费用。"/>
    <s v="成本"/>
    <s v="Cheryl"/>
    <s v="高"/>
    <n v="23"/>
    <s v="中"/>
    <s v="平台"/>
    <m/>
    <n v="50"/>
    <s v="2526"/>
    <n v="16500"/>
    <n v="3300"/>
    <n v="100"/>
    <n v="11550"/>
    <n v="3300"/>
    <n v="50"/>
    <x v="27"/>
  </r>
  <r>
    <n v="21"/>
    <s v="Billing"/>
    <x v="28"/>
    <s v="物流操作产生的费用，未开账单的评估测算。自生成账单:_x000a_1. 仓储数据/发货数据集成_x000a_2. 根据历史发货数据，账单数据分析cost/pc, cost/kg_x000a_3. 预估还未收到的账单cost"/>
    <s v="发票"/>
    <s v="Shichao"/>
    <s v="中"/>
    <n v="16"/>
    <s v="中"/>
    <s v="自动化"/>
    <m/>
    <n v="20"/>
    <s v="2526"/>
    <n v="6600"/>
    <n v="1320"/>
    <n v="100"/>
    <n v="4620"/>
    <n v="1320"/>
    <n v="50"/>
    <x v="28"/>
  </r>
  <r>
    <n v="22"/>
    <s v="Billing"/>
    <x v="29"/>
    <s v="十几个各国每年假期时间信息/各供应商/各部门假期时间, 统计汇总提醒"/>
    <s v="发票"/>
    <s v="Shichao"/>
    <s v="低"/>
    <n v="27"/>
    <s v="中"/>
    <s v="自动化"/>
    <m/>
    <n v="15"/>
    <s v="2627"/>
    <n v="4950"/>
    <n v="990"/>
    <n v="100"/>
    <n v="3465"/>
    <n v="990"/>
    <n v="50"/>
    <x v="29"/>
  </r>
  <r>
    <n v="23"/>
    <s v="Billing"/>
    <x v="30"/>
    <s v="1. PN 数据（长宽高）_x000a_2. 账单数据 （计费重量）_x000a_3. 估算PN，发货AWB的计费重量"/>
    <s v="发票"/>
    <s v="Shichao"/>
    <s v="低"/>
    <n v="28"/>
    <s v="中"/>
    <s v="自动化"/>
    <m/>
    <n v="20"/>
    <s v="2627"/>
    <n v="6600"/>
    <n v="1320"/>
    <n v="100"/>
    <n v="4620"/>
    <n v="1320"/>
    <n v="50"/>
    <x v="30"/>
  </r>
  <r>
    <n v="24"/>
    <s v="Billing"/>
    <x v="31"/>
    <s v="1. 供应商报价文件_x000a_2. 根据模板转换文件数据"/>
    <s v="发票"/>
    <s v="Shichao"/>
    <s v="中"/>
    <n v="24"/>
    <s v="低"/>
    <s v="自动化"/>
    <s v="按供应商的不同文件格式*1_x000a_数据获取待确定"/>
    <n v="20"/>
    <s v="2526"/>
    <n v="6600"/>
    <n v="1320"/>
    <n v="100"/>
    <n v="4620"/>
    <n v="1320"/>
    <n v="50"/>
    <x v="31"/>
  </r>
  <r>
    <n v="25"/>
    <s v="Warehouse"/>
    <x v="32"/>
    <s v="JYD和SF可以连GPS系统，HIC连FTP查询货物状态（HIC可以利用LT逻辑估算）"/>
    <s v="运输"/>
    <s v="Yuchang"/>
    <s v="低"/>
    <n v="29"/>
    <s v="中"/>
    <s v="平台"/>
    <s v="1、获取HIC ftp的数据，关于物流信息可能涉及到第三方物流网站_x000a_可以考虑同第6条一起开发_x000a_2、连JYD\SF的系统获取运输状态，其中JYD可以提供接口，SF从官网爬取信息"/>
    <n v="30"/>
    <s v="2627"/>
    <n v="9900"/>
    <n v="1980"/>
    <n v="100"/>
    <n v="6930"/>
    <n v="1980"/>
    <n v="50"/>
    <x v="32"/>
  </r>
  <r>
    <n v="26"/>
    <s v="Warehouse"/>
    <x v="33"/>
    <s v="开发一个网站,展示相关提供的服务和目标。"/>
    <s v="LaaS"/>
    <s v="Hanson"/>
    <s v="低"/>
    <n v="30"/>
    <s v="低"/>
    <s v="平台"/>
    <s v="依据具体功能决定，最后的低优先级"/>
    <n v="30"/>
    <s v="2627"/>
    <n v="9900"/>
    <n v="1980"/>
    <n v="100"/>
    <n v="6930"/>
    <n v="1980"/>
    <n v="50"/>
    <x v="33"/>
  </r>
  <r>
    <n v="27"/>
    <s v="Warehouse"/>
    <x v="34"/>
    <s v="‘-自动识别备件图片中的LOGO或关键信息,与资料上的关键信息比对,检查是否一致。_x000a_-自动识别备件实物图片中的外观,与资料中的备件外观进行比对,检查是否一模一样(针对电池)。_x000a_-自动识别备件外观,并判断属于哪类备件(用于关务)。"/>
    <s v="电池"/>
    <s v="Lingling"/>
    <s v="低"/>
    <m/>
    <s v="高"/>
    <s v="平台"/>
    <s v="实现困难，成本过高"/>
    <m/>
    <s v="TBD"/>
    <n v="0"/>
    <n v="0"/>
    <n v="100"/>
    <n v="0"/>
    <n v="0"/>
    <n v="50"/>
    <x v="34"/>
  </r>
  <r>
    <n v="28"/>
    <s v="Billing"/>
    <x v="35"/>
    <s v="1. 系统报错信息_x000a_2. 方案输出_x000a__x000a_1. 历史供应商邮件_x000a_2. 邮件模板"/>
    <s v="发票"/>
    <s v="Shichao"/>
    <s v="低"/>
    <m/>
    <s v="高"/>
    <s v="自动化"/>
    <s v="业务背景有待讨论，预估时间不准确（20+20）"/>
    <m/>
    <s v="TBD"/>
    <n v="0"/>
    <n v="0"/>
    <n v="100"/>
    <n v="0"/>
    <n v="0"/>
    <n v="50"/>
    <x v="35"/>
  </r>
  <r>
    <n v="29"/>
    <s v="Cost"/>
    <x v="36"/>
    <s v="（1）历史数据量级是千万级，有自己的数据库，历史数据需要人工标注再输入模型_x000a_（2）依据历史数据分析某个月份价格波动的原因：成本中心变动、关税加增或者其他原因_x000a_（3）依据历史包裹物流路线方案，分析目前物流方案是否是最优方案，若否，推荐成本最优的物流路线方案（时间最短、成本最少）"/>
    <s v="成本"/>
    <s v="Cheryl"/>
    <s v="高"/>
    <m/>
    <s v="高"/>
    <s v="平台"/>
    <s v="资源和需求还需要讨论55"/>
    <m/>
    <s v="TBD"/>
    <n v="0"/>
    <n v="0"/>
    <n v="100"/>
    <n v="0"/>
    <n v="0"/>
    <n v="50"/>
    <x v="3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517F89-9ABE-4D27-B4E8-08ADC809B4EB}"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B3:G42" firstHeaderRow="1" firstDataRow="2" firstDataCol="2"/>
  <pivotFields count="20">
    <pivotField compact="0" outline="0" showAll="0"/>
    <pivotField compact="0" outline="0" showAll="0"/>
    <pivotField axis="axisRow" compact="0" outline="0" showAll="0" defaultSubtotal="0">
      <items count="46">
        <item x="0"/>
        <item x="10"/>
        <item x="21"/>
        <item x="36"/>
        <item x="33"/>
        <item x="26"/>
        <item x="18"/>
        <item m="1" x="45"/>
        <item m="1" x="44"/>
        <item n="SAP自动批量调库" m="1" x="43"/>
        <item m="1" x="40"/>
        <item m="1" x="41"/>
        <item x="24"/>
        <item m="1" x="39"/>
        <item x="31"/>
        <item x="7"/>
        <item x="34"/>
        <item m="1" x="38"/>
        <item m="1" x="37"/>
        <item x="1"/>
        <item m="1" x="42"/>
        <item x="23"/>
        <item x="20"/>
        <item x="30"/>
        <item x="32"/>
        <item x="35"/>
        <item x="27"/>
        <item x="29"/>
        <item x="28"/>
        <item x="2"/>
        <item x="3"/>
        <item x="4"/>
        <item x="5"/>
        <item x="6"/>
        <item x="8"/>
        <item x="9"/>
        <item x="11"/>
        <item x="12"/>
        <item x="13"/>
        <item x="14"/>
        <item x="15"/>
        <item x="16"/>
        <item x="17"/>
        <item n="SAP自动批量调库2" x="19"/>
        <item x="22"/>
        <item x="25"/>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axis="axisRow" compact="0" outline="0" showAll="0">
      <items count="50">
        <item x="0"/>
        <item x="10"/>
        <item x="21"/>
        <item x="1"/>
        <item x="7"/>
        <item m="1" x="45"/>
        <item x="29"/>
        <item n="Automated SAP Batch Stock Transfers" m="1" x="46"/>
        <item x="28"/>
        <item n="WHS Battery Certificate Management " m="1" x="43"/>
        <item m="1" x="42"/>
        <item x="35"/>
        <item x="23"/>
        <item x="24"/>
        <item x="36"/>
        <item x="34"/>
        <item x="27"/>
        <item x="33"/>
        <item x="26"/>
        <item x="20"/>
        <item x="18"/>
        <item x="30"/>
        <item x="32"/>
        <item m="1" x="48"/>
        <item m="1" x="47"/>
        <item m="1" x="39"/>
        <item m="1" x="40"/>
        <item m="1" x="44"/>
        <item x="31"/>
        <item x="2"/>
        <item x="3"/>
        <item x="4"/>
        <item x="5"/>
        <item x="6"/>
        <item n="SSC Logistics LogiAgent V1" m="1" x="37"/>
        <item n="SSC Logistics LogiAgent V2" m="1" x="38"/>
        <item x="16"/>
        <item x="17"/>
        <item n="Auto SAP Batch Stock Transfers2" x="19"/>
        <item x="22"/>
        <item m="1" x="41"/>
        <item n="SSC Logistics LogiAgent V12" x="8"/>
        <item n="SSC Logistics LogiAgent V22" x="9"/>
        <item x="11"/>
        <item x="12"/>
        <item x="13"/>
        <item x="14"/>
        <item x="15"/>
        <item x="25"/>
        <item t="default"/>
      </items>
    </pivotField>
  </pivotFields>
  <rowFields count="2">
    <field x="2"/>
    <field x="19"/>
  </rowFields>
  <rowItems count="38">
    <i>
      <x/>
      <x/>
    </i>
    <i>
      <x v="1"/>
      <x v="1"/>
    </i>
    <i>
      <x v="2"/>
      <x v="2"/>
    </i>
    <i>
      <x v="3"/>
      <x v="14"/>
    </i>
    <i>
      <x v="4"/>
      <x v="17"/>
    </i>
    <i>
      <x v="5"/>
      <x v="18"/>
    </i>
    <i>
      <x v="6"/>
      <x v="20"/>
    </i>
    <i>
      <x v="12"/>
      <x v="13"/>
    </i>
    <i>
      <x v="14"/>
      <x v="28"/>
    </i>
    <i>
      <x v="15"/>
      <x v="4"/>
    </i>
    <i>
      <x v="16"/>
      <x v="15"/>
    </i>
    <i>
      <x v="19"/>
      <x v="3"/>
    </i>
    <i>
      <x v="21"/>
      <x v="12"/>
    </i>
    <i>
      <x v="22"/>
      <x v="19"/>
    </i>
    <i>
      <x v="23"/>
      <x v="21"/>
    </i>
    <i>
      <x v="24"/>
      <x v="22"/>
    </i>
    <i>
      <x v="25"/>
      <x v="11"/>
    </i>
    <i>
      <x v="26"/>
      <x v="16"/>
    </i>
    <i>
      <x v="27"/>
      <x v="6"/>
    </i>
    <i>
      <x v="28"/>
      <x v="8"/>
    </i>
    <i>
      <x v="29"/>
      <x v="29"/>
    </i>
    <i>
      <x v="30"/>
      <x v="30"/>
    </i>
    <i>
      <x v="31"/>
      <x v="31"/>
    </i>
    <i>
      <x v="32"/>
      <x v="32"/>
    </i>
    <i>
      <x v="33"/>
      <x v="33"/>
    </i>
    <i>
      <x v="34"/>
      <x v="41"/>
    </i>
    <i>
      <x v="35"/>
      <x v="42"/>
    </i>
    <i>
      <x v="36"/>
      <x v="43"/>
    </i>
    <i>
      <x v="37"/>
      <x v="44"/>
    </i>
    <i>
      <x v="38"/>
      <x v="45"/>
    </i>
    <i>
      <x v="39"/>
      <x v="46"/>
    </i>
    <i>
      <x v="40"/>
      <x v="47"/>
    </i>
    <i>
      <x v="41"/>
      <x v="36"/>
    </i>
    <i>
      <x v="42"/>
      <x v="37"/>
    </i>
    <i>
      <x v="43"/>
      <x v="38"/>
    </i>
    <i>
      <x v="44"/>
      <x v="39"/>
    </i>
    <i>
      <x v="45"/>
      <x v="48"/>
    </i>
    <i t="grand">
      <x/>
    </i>
  </rowItems>
  <colFields count="1">
    <field x="-2"/>
  </colFields>
  <colItems count="4">
    <i>
      <x/>
    </i>
    <i i="1">
      <x v="1"/>
    </i>
    <i i="2">
      <x v="2"/>
    </i>
    <i i="3">
      <x v="3"/>
    </i>
  </colItems>
  <dataFields count="4">
    <dataField name="Sum of MD" fld="11" baseField="0" baseItem="0"/>
    <dataField name="Sum of YR0 开发费用" fld="16" baseField="0" baseItem="0"/>
    <dataField name="Sum of &gt;Y0运营支持费" fld="17" baseField="0" baseItem="0"/>
    <dataField name="Sum of &gt;Y0运营平台费"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CAA787-6396-4E09-B716-E99FB11E54B6}" name="Table1" displayName="Table1" ref="A1:AH52" totalsRowShown="0" headerRowDxfId="242" tableBorderDxfId="241">
  <autoFilter ref="A1:AH52" xr:uid="{FCCAA787-6396-4E09-B716-E99FB11E54B6}">
    <filterColumn colId="0">
      <filters>
        <filter val="1"/>
        <filter val="11"/>
        <filter val="12"/>
        <filter val="13"/>
        <filter val="14"/>
        <filter val="15"/>
        <filter val="16"/>
        <filter val="18"/>
        <filter val="2"/>
        <filter val="21"/>
        <filter val="24"/>
        <filter val="26"/>
        <filter val="29"/>
        <filter val="3"/>
        <filter val="30"/>
        <filter val="4"/>
        <filter val="5"/>
        <filter val="6"/>
        <filter val="7"/>
        <filter val="8"/>
        <filter val="9"/>
      </filters>
    </filterColumn>
  </autoFilter>
  <sortState xmlns:xlrd2="http://schemas.microsoft.com/office/spreadsheetml/2017/richdata2" ref="A24:AH52">
    <sortCondition ref="A1:A52"/>
  </sortState>
  <tableColumns count="34">
    <tableColumn id="1" xr3:uid="{04ADED9F-E62C-4B0E-87EB-60368CBEEB61}" name="ID" dataDxfId="240"/>
    <tableColumn id="2" xr3:uid="{7DE67533-5F0C-4C07-A8A4-2DD3E0D8FACD}" name="Function" dataDxfId="239"/>
    <tableColumn id="3" xr3:uid="{79B4C5EB-D743-4C27-9A13-C71290EE1A7A}" name="需求" dataDxfId="238"/>
    <tableColumn id="4" xr3:uid="{F96F4023-6AE2-43F5-B14D-88DED3645136}" name="业务备注" dataDxfId="237"/>
    <tableColumn id="5" xr3:uid="{07A6B8CD-BDE5-47B7-B025-4A3539228F61}" name="种类" dataDxfId="236"/>
    <tableColumn id="6" xr3:uid="{129A3D99-1397-4334-BF91-3050DC8D8C6D}" name="Focal" dataDxfId="235"/>
    <tableColumn id="7" xr3:uid="{AE90F8A8-7CC4-4BA4-A4D5-052E861DA5D9}" name="业务优先级" dataDxfId="234"/>
    <tableColumn id="8" xr3:uid="{9C3813CC-DF45-4E9C-A625-EFE1C917B781}" name="排序" dataDxfId="233"/>
    <tableColumn id="9" xr3:uid="{2B31CCF0-04F3-4F57-8A11-7B5CBB9C76F0}" name="开发难易度" dataDxfId="232"/>
    <tableColumn id="10" xr3:uid="{AAE3D62D-7A6D-47B0-A8CF-6A10154BFED4}" name="IT类型" dataDxfId="231"/>
    <tableColumn id="11" xr3:uid="{B3FD31CA-ECF3-4E33-B90C-504652951878}" name="IT备注" dataDxfId="230"/>
    <tableColumn id="12" xr3:uid="{7B2B86BE-5D7C-4EBE-B0E7-3590F138FB85}" name="MD" dataDxfId="229"/>
    <tableColumn id="13" xr3:uid="{8D71492B-60A5-4B9D-A4AF-8CFA61F76B8B}" name="交付YR" dataDxfId="228">
      <calculatedColumnFormula>LEFT(U2,4)</calculatedColumnFormula>
    </tableColumn>
    <tableColumn id="14" xr3:uid="{67AB533D-0D40-4959-9264-2B810ACD0C48}" name="YR0 开发费用（折前）" dataDxfId="227"/>
    <tableColumn id="15" xr3:uid="{92211944-FAB9-4654-BF85-D190A04B2964}" name="&gt;Y0运营支持费（折前）" dataDxfId="226"/>
    <tableColumn id="16" xr3:uid="{8F29CDE0-EB96-4277-8E85-A04348C8E275}" name="&gt;Y0运营平台费（折前）" dataDxfId="225"/>
    <tableColumn id="17" xr3:uid="{366C2A3B-D05D-4152-9CE8-2DB8324F7432}" name="YR0 开发费用" dataDxfId="224">
      <calculatedColumnFormula>N2*0.7</calculatedColumnFormula>
    </tableColumn>
    <tableColumn id="18" xr3:uid="{87F11D74-4E9A-450B-A313-B783BC618D1E}" name="&gt;Y0运营支持费" dataDxfId="223">
      <calculatedColumnFormula>SUM(O2)</calculatedColumnFormula>
    </tableColumn>
    <tableColumn id="19" xr3:uid="{00350445-9354-496A-A3A4-E7FC44BE5FFD}" name="&gt;Y0运营平台费" dataDxfId="222">
      <calculatedColumnFormula>P2*0.5</calculatedColumnFormula>
    </tableColumn>
    <tableColumn id="20" xr3:uid="{F54908BD-A1DF-4042-A0A3-5E7D44484EF0}" name="Task Name" dataDxfId="221"/>
    <tableColumn id="21" xr3:uid="{CA5FC7C2-1CA0-4C59-9090-11F8B68D61F6}" name="交付YRQTR" dataDxfId="220"/>
    <tableColumn id="22" xr3:uid="{4EC7334D-1225-4222-A5AE-19E309F6C097}" name="起始日期" dataDxfId="219"/>
    <tableColumn id="23" xr3:uid="{D9A4B127-054F-4EB2-830E-1BD198B744FB}" name="结束日期" dataDxfId="218"/>
    <tableColumn id="24" xr3:uid="{FCC9FC10-1006-48DA-87DF-B905501CD552}" name="Status" dataDxfId="217">
      <calculatedColumnFormula>IF(
    Table1[[#This Row],[ID]] = 0, "Cancelled",
    IF(
        Table1[[#This Row],[交付YRQTR]] = "TBD", "TBD",
IF(
            ISBLANK(Table1[[#This Row],[计划开始时间]]), "Not Started",
        IF(
            AND(
                NOT(ISBLANK(Table1[[#This Row],[计划开始时间]])),
                Table1[[#This Row],[计划开始时间]] &lt;= TODAY(),
                NOT(ISBLANK(Table1[[#This Row],[结束日期]])),
                Table1[[#This Row],[结束日期]] &lt;= TODAY()
            ),
            "Completed",
            IF(
                OR(
                    AND(
                        Table1[[#This Row],[计划开始时间]] &lt;= TODAY(),
                        ISBLANK(Table1[[#This Row],[结束日期]])
                    ),
                    AND(
                        Table1[[#This Row],[计划开始时间]] &lt;= TODAY(),
                        Table1[[#This Row],[结束日期]] &gt;= TODAY()
                    )
                ),
                "In Progress",
                "Not Started"
            )
        )
    )
))</calculatedColumnFormula>
    </tableColumn>
    <tableColumn id="25" xr3:uid="{F8A81EF4-C433-4170-BB4F-0B28584870C0}" name="Status Remark" dataDxfId="216"/>
    <tableColumn id="26" xr3:uid="{F6CAB50B-F48F-4AAD-90AA-2E3D21E2D567}" name="计划开始时间" dataDxfId="215"/>
    <tableColumn id="27" xr3:uid="{BFA5DF32-86C6-4C82-90C4-F9FE47CF7C52}" name="计划结束时间" dataDxfId="214"/>
    <tableColumn id="28" xr3:uid="{20943A35-ECB8-4A81-A328-8F884BBED968}" name="Dev Pmt" dataDxfId="213"/>
    <tableColumn id="29" xr3:uid="{D775C61F-D8AB-4F91-AA7F-58C38C476582}" name="Dev Pmt Date" dataDxfId="212">
      <calculatedColumnFormula>IF(OR(Table1[[#This Row],[Dev Pmt]]=0,Table1[[#This Row],[Dev Pmt]]=""),"","2024/9/27")</calculatedColumnFormula>
    </tableColumn>
    <tableColumn id="30" xr3:uid="{BAEC576B-BA69-4264-8939-8FA84371C22F}" name="Support Pmt" dataDxfId="211"/>
    <tableColumn id="31" xr3:uid="{73707F72-B2FD-4AC0-B467-61C9343A1174}" name="Support Pmt Date" dataDxfId="210"/>
    <tableColumn id="32" xr3:uid="{34ECC4A6-9878-4F99-B24F-7399230D8F38}" name="Dev Pmt Timeline" dataDxfId="209">
      <calculatedColumnFormula>VLOOKUP(Table1[[#This Row],[Task Name]],[1]AI_Jenny!$B$60:$E$99,4,0)</calculatedColumnFormula>
    </tableColumn>
    <tableColumn id="33" xr3:uid="{8C6ADB5F-74F8-4660-9E7F-909C94639AC4}" name="Payment Remark" dataDxfId="208"/>
    <tableColumn id="34" xr3:uid="{48FD6139-5EBC-44FD-A12F-74DB770193C2}" name="Dev Remainder" dataDxfId="207">
      <calculatedColumnFormula>IF(Table1[[#This Row],[Dev Pmt]]="",Table1[[#This Row],[YR0 开发费用]]-0,Table1[[#This Row],[YR0 开发费用]]-Table1[[#This Row],[Dev Pmt]])</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E879BFF-237E-43C8-9587-FC0AAE2B4510}" name="Table2" displayName="Table2" ref="A1:F43" totalsRowShown="0" headerRowDxfId="206" headerRowBorderDxfId="205" tableBorderDxfId="204" totalsRowBorderDxfId="203">
  <autoFilter ref="A1:F43" xr:uid="{DE879BFF-237E-43C8-9587-FC0AAE2B4510}"/>
  <sortState xmlns:xlrd2="http://schemas.microsoft.com/office/spreadsheetml/2017/richdata2" ref="A2:F43">
    <sortCondition ref="A1:A43"/>
  </sortState>
  <tableColumns count="6">
    <tableColumn id="6" xr3:uid="{8B3BEDB0-6E2F-47BD-895A-7B89A180B8AE}" name="Task ID">
      <calculatedColumnFormula>_xlfn.XLOOKUP(Table2[[#This Row],[Task Name]],需求评估!T:T,需求评估!A:A)</calculatedColumnFormula>
    </tableColumn>
    <tableColumn id="4" xr3:uid="{FDD65319-71BE-4B83-959A-58BD3C7D2000}" name="Task Name" dataDxfId="202"/>
    <tableColumn id="1" xr3:uid="{943A0640-18A4-4A1E-B0F9-F9100F3DA5FB}" name="需求">
      <calculatedColumnFormula>_xlfn.XLOOKUP(Table2[[#This Row],[Task Name]],Table1[Task Name],Table1[需求])</calculatedColumnFormula>
    </tableColumn>
    <tableColumn id="2" xr3:uid="{A5FA05D9-826D-4736-81B3-D5B87B9CC5CD}" name="Image URL"/>
    <tableColumn id="3" xr3:uid="{F60124BB-4CE8-464B-884B-DA1E2A998407}" name="PPT Link"/>
    <tableColumn id="5" xr3:uid="{421A3BD1-C453-4E96-A526-5BFB0AE0C6CB}" name="Web"/>
  </tableColumns>
  <tableStyleInfo showFirstColumn="0" showLastColumn="0" showRowStripes="1" showColumnStripes="0"/>
</table>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 dT="2025-06-09T07:28:50.32" personId="{838907E5-BB62-4ACC-861C-309F50273A1B}" id="{8A4814EA-CF81-4F71-8098-AFB457B40249}">
    <text>2025/6/19: projects that have not yet been paid after this date will not have 30% discount applied</text>
  </threadedComment>
  <threadedComment ref="Q2" dT="2025-06-27T06:33:26.86" personId="{838907E5-BB62-4ACC-861C-309F50273A1B}" id="{0A17B669-7FAB-48AA-B91D-276A30D51A32}">
    <text>2025/6/27 30%discount removed</text>
  </threadedComment>
  <threadedComment ref="Q4" dT="2025-06-27T06:33:30.81" personId="{838907E5-BB62-4ACC-861C-309F50273A1B}" id="{B83B583A-1F64-4617-B6B5-03493B9FADAC}">
    <text>2025/6/27 30%discount removed</text>
  </threadedComment>
  <threadedComment ref="Q5" dT="2025-06-27T06:33:43.48" personId="{838907E5-BB62-4ACC-861C-309F50273A1B}" id="{1EF1FD25-66B5-44AF-A066-FA32851FA2F2}">
    <text>2025/6/27 30%discount removed</text>
  </threadedComment>
  <threadedComment ref="Q6" dT="2025-06-27T06:34:07.96" personId="{838907E5-BB62-4ACC-861C-309F50273A1B}" id="{E0B6C612-F9F3-42A1-8ABF-F007EA2F8A92}">
    <text>2025/6/27 30%discount removed</text>
  </threadedComment>
  <threadedComment ref="Q7" dT="2025-06-27T06:34:33.64" personId="{838907E5-BB62-4ACC-861C-309F50273A1B}" id="{2EC52A97-9416-4D6A-93E5-6D6675BF9751}">
    <text>2025/6/27 30%discount removed</text>
  </threadedComment>
  <threadedComment ref="Q8" dT="2025-06-27T06:34:39.38" personId="{838907E5-BB62-4ACC-861C-309F50273A1B}" id="{767E6928-4609-4ABC-B514-A9CC9BD761A2}">
    <text>2025/6/27 30%discount removed</text>
  </threadedComment>
  <threadedComment ref="Q10" dT="2025-06-27T07:22:53.06" personId="{838907E5-BB62-4ACC-861C-309F50273A1B}" id="{A37A4E1A-89E9-4983-BBE4-7AB51A6DAAE2}">
    <text xml:space="preserve">2025/6/27 30%discount removed
</text>
  </threadedComment>
  <threadedComment ref="Q16" dT="2025-06-27T06:32:55.64" personId="{838907E5-BB62-4ACC-861C-309F50273A1B}" id="{B2AA5847-ECA9-40BC-9B0F-076C89A3014B}">
    <text>2025/6/27 30%discount removed</text>
  </threadedComment>
  <threadedComment ref="Q17" dT="2025-06-27T06:33:01.36" personId="{838907E5-BB62-4ACC-861C-309F50273A1B}" id="{4B767E89-821A-487C-87A5-31D500B441BB}">
    <text>2025/6/27 30%discount removed</text>
  </threadedComment>
  <threadedComment ref="Q18" dT="2025-06-27T06:33:07.59" personId="{838907E5-BB62-4ACC-861C-309F50273A1B}" id="{41B77EE1-2DD7-4BF5-A780-C9313E4260DD}">
    <text>2025/6/27 30%discount removed</text>
  </threadedComment>
  <threadedComment ref="Q19" dT="2025-06-27T06:33:14.89" personId="{838907E5-BB62-4ACC-861C-309F50273A1B}" id="{AFA25C99-FF43-4389-A02A-9AA498E0124D}">
    <text>2025/6/27 30%discount removed</text>
  </threadedComment>
  <threadedComment ref="Q20" dT="2025-06-27T06:33:21.66" personId="{838907E5-BB62-4ACC-861C-309F50273A1B}" id="{76FFC105-3C64-4BEE-8585-9625BBA695C4}">
    <text>2025/6/27 30%discount removed</text>
  </threadedComment>
  <threadedComment ref="Q21" dT="2025-06-27T06:33:47.71" personId="{838907E5-BB62-4ACC-861C-309F50273A1B}" id="{5717D7BD-4EC9-4824-85A2-7F319CCEBC08}">
    <text>2025/6/27 30%discount removed</text>
  </threadedComment>
  <threadedComment ref="Q22" dT="2025-06-27T06:33:54.65" personId="{838907E5-BB62-4ACC-861C-309F50273A1B}" id="{7BB65B25-523D-4CFA-8C09-741DDAA50488}">
    <text>2025/6/27 30%discount removed</text>
  </threadedComment>
  <threadedComment ref="Q30" dT="2025-06-27T06:32:07.55" personId="{838907E5-BB62-4ACC-861C-309F50273A1B}" id="{389E496D-6A94-4105-A816-6F9CD86796FD}">
    <text xml:space="preserve">2025/6/27 30%discount removed
</text>
  </threadedComment>
  <threadedComment ref="L34" dT="2025-02-17T03:23:50.07" personId="{838907E5-BB62-4ACC-861C-309F50273A1B}" id="{AE2D95EF-10C7-4D4D-9705-A646AC16E6B7}">
    <text>2025/2/17 increased from 62 MD to 87 MD, due to DT fee(shiqiang fee)
2025/6/9 increased from 87 MD to 180 MD due to additional functions （if need to expand to other teams under Steven, cost increase by 100 MD, hence 280MD)</text>
  </threadedComment>
  <threadedComment ref="L35" dT="2025-02-17T03:23:50.07" personId="{838907E5-BB62-4ACC-861C-309F50273A1B}" id="{3636DA4A-F907-4994-842E-5E9744E07EF6}">
    <text>2025/2/17 increased from 62 MD to 87 MD, due to DT fee(shiqiang fee)
2025/6/9 increased from 87 MD to 180 MD due to additional functions （if need to expand to other teams under Steven, cost increase by 100 MD, hence 280MD)</text>
  </threadedComment>
  <threadedComment ref="Q36" dT="2025-03-24T09:35:06.82" personId="{838907E5-BB62-4ACC-861C-309F50273A1B}" id="{77443DCA-5A83-489D-8D69-24327E403D04}">
    <text>25/3/19：开发费用Q列加入28K的硬件费</text>
  </threadedComment>
  <threadedComment ref="L37" dT="2025-02-17T03:23:50.07" personId="{838907E5-BB62-4ACC-861C-309F50273A1B}" id="{9B9E81E0-DE24-4032-99FF-6E01770B26EE}">
    <text>2025/2/17 increased from 62 MD to 87 MD, due to DT fee(shiqiang fee)
2025/6/9 increased from 87 MD to 180 MD due to additional functions （if need to expand to other teams under Steven, cost increase by 100 MD, hence 280MD)</text>
  </threadedComment>
  <threadedComment ref="Q43" dT="2025-06-27T06:33:35.36" personId="{838907E5-BB62-4ACC-861C-309F50273A1B}" id="{11B1E1B1-73B0-474F-A59F-9229D5809342}">
    <text>2025/6/27 30%discount removed</text>
  </threadedComment>
  <threadedComment ref="Q44" dT="2025-06-27T06:33:39.53" personId="{838907E5-BB62-4ACC-861C-309F50273A1B}" id="{5551E44B-537A-4187-BB2D-D7690A7558CF}">
    <text>2025/6/27 30%discount removed</text>
  </threadedComment>
  <threadedComment ref="Q50" dT="2025-06-27T06:34:45.10" personId="{838907E5-BB62-4ACC-861C-309F50273A1B}" id="{E3395C20-6D4E-4D2C-9C28-ABF51A26F628}">
    <text>2025/6/27 30%discount removed</text>
  </threadedComment>
  <threadedComment ref="N52" dT="2024-12-04T07:02:44.92" personId="{838907E5-BB62-4ACC-861C-309F50273A1B}" id="{E872B808-BD36-4EF5-B5F5-1022E5211E1B}">
    <text xml:space="preserve">762.24 服务器 （半年）
2008.94 数据库 （半年）
</text>
  </threadedComment>
</ThreadedComments>
</file>

<file path=xl/threadedComments/threadedComment2.xml><?xml version="1.0" encoding="utf-8"?>
<ThreadedComments xmlns="http://schemas.microsoft.com/office/spreadsheetml/2018/threadedcomments" xmlns:x="http://schemas.openxmlformats.org/spreadsheetml/2006/main">
  <threadedComment ref="P11" dT="2025-02-13T07:55:29.36" personId="{838907E5-BB62-4ACC-861C-309F50273A1B}" id="{F28BD578-7A45-4186-9DC3-0DF385FD5E77}">
    <text>2025年1月22日划账
Ref Document Number  6000096409</text>
  </threadedComment>
  <threadedComment ref="M12" dT="2025-02-13T07:56:44.47" personId="{838907E5-BB62-4ACC-861C-309F50273A1B}" id="{57855708-4108-4D33-AD1E-C3A659226ECC}">
    <text>2024/09/27 划账
Ref Document Number  6000068807</text>
  </threadedComment>
</ThreadedComments>
</file>

<file path=xl/threadedComments/threadedComment3.xml><?xml version="1.0" encoding="utf-8"?>
<ThreadedComments xmlns="http://schemas.microsoft.com/office/spreadsheetml/2018/threadedcomments" xmlns:x="http://schemas.openxmlformats.org/spreadsheetml/2006/main">
  <threadedComment ref="F4" dT="2024-09-26T09:03:47.61" personId="{838907E5-BB62-4ACC-861C-309F50273A1B}" id="{A2124A51-01F5-4F7C-9488-566BB3445668}">
    <text>500k buffer</text>
  </threadedComment>
  <threadedComment ref="F5" dT="2024-09-26T09:04:30.37" personId="{838907E5-BB62-4ACC-861C-309F50273A1B}" id="{E6717DBC-264B-4DD9-8E5B-21F476DF568A}">
    <text>300k buffer</text>
  </threadedComment>
  <threadedComment ref="G5" dT="2024-09-26T09:59:46.27" personId="{838907E5-BB62-4ACC-861C-309F50273A1B}" id="{F985B123-98AB-42E8-8226-9788AC459A59}">
    <text>100k buffer</text>
  </threadedComment>
  <threadedComment ref="F6" dT="2024-09-26T10:00:18.76" personId="{838907E5-BB62-4ACC-861C-309F50273A1B}" id="{026A7EF4-E7B2-4F6C-B0F5-5B8927746272}">
    <text>300k buffer</text>
  </threadedComment>
  <threadedComment ref="G6" dT="2024-09-26T10:00:00.12" personId="{838907E5-BB62-4ACC-861C-309F50273A1B}" id="{0C83A33E-C0A3-45CB-9526-05FA5396489C}">
    <text xml:space="preserve">100k buffer
</text>
  </threadedComment>
  <threadedComment ref="G8" dT="2024-09-26T10:00:41.53" personId="{838907E5-BB62-4ACC-861C-309F50273A1B}" id="{41EEE211-2BA8-4213-B37B-74034EA19FC4}">
    <text>100k buffer</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hyperlink" Target="https://los-agent.lenovo.com/" TargetMode="External"/><Relationship Id="rId7" Type="http://schemas.openxmlformats.org/officeDocument/2006/relationships/hyperlink" Target="https://lenovobeijing.sharepoint.com/sites/SSGSSCLogisticsHansonTeam/Shared%20Documents/Forms/AllItems.aspx?id=%2Fsites%2FSSGSSCLogisticsHansonTeam%2FShared%20Documents%2FPMO%2FRecords%2F01%20Tier%201%20projects%2FAMS%20AI%20Projects%2FBattery%20Master%20Data%20Platform%20V1%20%28%E7%94%B5%E6%B1%A0%E4%B8%BB%E6%95%B0%E6%8D%AE%E5%B9%B3%E5%8F%B0%20V1%29%2Epdf&amp;parent=%2Fsites%2FSSGSSCLogisticsHansonTeam%2FShared%20Documents%2FPMO%2FRecords%2F01%20Tier%201%20projects%2FAMS%20AI%20Projects" TargetMode="External"/><Relationship Id="rId2" Type="http://schemas.openxmlformats.org/officeDocument/2006/relationships/hyperlink" Target="https://lenovobeijing.sharepoint.com/:p:/r/sites/SSGSSCLogisticsHansonTeam/_layouts/15/Doc.aspx?sourcedoc=%7b8B4F3FE8-646E-443E-A84E-1030C1C80159%7d&amp;file=8.1%20Live%20Interception%20Platform.pptx&amp;action=edit&amp;mobileredirect=true" TargetMode="External"/><Relationship Id="rId1" Type="http://schemas.openxmlformats.org/officeDocument/2006/relationships/hyperlink" Target="https://lenovobeijing.sharepoint.com/:p:/r/sites/SSGSSCLogisticsHansonTeam/_layouts/15/Doc.aspx?sourcedoc=%7b8B4F3FE8-646E-443E-A84E-1030C1C80159%7d&amp;file=8.1%20Live%20Interception%20Platform.pptx&amp;action=edit&amp;mobileredirect=true" TargetMode="External"/><Relationship Id="rId6" Type="http://schemas.openxmlformats.org/officeDocument/2006/relationships/hyperlink" Target="https://lenovobeijing.sharepoint.com/sites/SSGSSCLogisticsHansonTeam/Shared%20Documents/Forms/AllItems.aspx?id=/sites/SSGSSCLogisticsHansonTeam/Shared%20Documents/Notice%20Archive%20of%20AI/5.1%20Automated%20Email%20for%20Inventory%20DB%20reports.pdf&amp;viewid=8f01aa75-ba60-48df-b62b-3a3bd521f953&amp;parent=/sites/SSGSSCLogisticsHansonTeam/Shared%20Documents/Notice%20Archive%20of%20AI" TargetMode="External"/><Relationship Id="rId5" Type="http://schemas.openxmlformats.org/officeDocument/2006/relationships/hyperlink" Target="https://los.lenovo.com/" TargetMode="External"/><Relationship Id="rId4" Type="http://schemas.openxmlformats.org/officeDocument/2006/relationships/hyperlink" Target="https://los.lenovo.com/quotation/record" TargetMode="External"/><Relationship Id="rId9"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5484F-6204-4213-B16B-033BCF47CB00}">
  <sheetPr>
    <tabColor theme="4"/>
  </sheetPr>
  <dimension ref="A1:XEZ73"/>
  <sheetViews>
    <sheetView tabSelected="1" zoomScale="85" zoomScaleNormal="85" workbookViewId="0">
      <pane ySplit="1" topLeftCell="A33" activePane="bottomLeft" state="frozen"/>
      <selection pane="bottomLeft" activeCell="F53" sqref="F53"/>
    </sheetView>
  </sheetViews>
  <sheetFormatPr defaultRowHeight="14.25" customHeight="1" outlineLevelCol="1" x14ac:dyDescent="0.4"/>
  <cols>
    <col min="1" max="1" width="7.46484375" style="4" customWidth="1"/>
    <col min="2" max="2" width="12.73046875" style="4" customWidth="1"/>
    <col min="3" max="3" width="25.59765625" style="8" bestFit="1" customWidth="1"/>
    <col min="4" max="4" width="61.59765625" style="3" customWidth="1"/>
    <col min="5" max="5" width="12.3984375" style="4" customWidth="1"/>
    <col min="6" max="6" width="18" style="3" customWidth="1"/>
    <col min="7" max="7" width="11.59765625" style="4" hidden="1" customWidth="1" outlineLevel="1"/>
    <col min="8" max="8" width="9" style="4" hidden="1" customWidth="1" outlineLevel="1"/>
    <col min="9" max="9" width="11.59765625" style="4" hidden="1" customWidth="1" outlineLevel="1"/>
    <col min="10" max="10" width="11" style="4" hidden="1" customWidth="1" outlineLevel="1"/>
    <col min="11" max="11" width="20.59765625" hidden="1" customWidth="1" outlineLevel="1"/>
    <col min="12" max="12" width="8.59765625" style="4" customWidth="1" collapsed="1"/>
    <col min="13" max="13" width="8.59765625" style="4" customWidth="1"/>
    <col min="14" max="15" width="8.59765625" customWidth="1" outlineLevel="1"/>
    <col min="16" max="16" width="10.59765625" customWidth="1" outlineLevel="1"/>
    <col min="17" max="17" width="10.3984375" customWidth="1"/>
    <col min="18" max="18" width="11.3984375" customWidth="1"/>
    <col min="19" max="19" width="11.73046875" customWidth="1"/>
    <col min="20" max="20" width="34.3984375" customWidth="1"/>
    <col min="21" max="21" width="11.1328125" customWidth="1"/>
    <col min="22" max="23" width="11.59765625" style="179" customWidth="1"/>
    <col min="24" max="24" width="14.59765625" customWidth="1"/>
    <col min="25" max="25" width="16.73046875" style="8" customWidth="1"/>
    <col min="26" max="26" width="13.3984375" customWidth="1"/>
    <col min="27" max="27" width="15.3984375" customWidth="1"/>
    <col min="28" max="28" width="10.46484375" customWidth="1" outlineLevel="1"/>
    <col min="29" max="29" width="13.59765625" customWidth="1" outlineLevel="1"/>
    <col min="30" max="30" width="9" customWidth="1" outlineLevel="1"/>
    <col min="31" max="31" width="13.3984375" customWidth="1" outlineLevel="1"/>
    <col min="32" max="32" width="12.73046875" customWidth="1" outlineLevel="1"/>
    <col min="33" max="33" width="12.59765625" customWidth="1" outlineLevel="1"/>
    <col min="34" max="34" width="11.59765625" customWidth="1" outlineLevel="1"/>
    <col min="35" max="35" width="10.46484375" customWidth="1"/>
    <col min="37" max="37" width="11.59765625" bestFit="1" customWidth="1"/>
  </cols>
  <sheetData>
    <row r="1" spans="1:34" ht="41.65" x14ac:dyDescent="0.4">
      <c r="A1" s="220" t="s">
        <v>0</v>
      </c>
      <c r="B1" s="11" t="s">
        <v>1</v>
      </c>
      <c r="C1" s="219" t="s">
        <v>2</v>
      </c>
      <c r="D1" s="220" t="s">
        <v>3</v>
      </c>
      <c r="E1" s="11" t="s">
        <v>4</v>
      </c>
      <c r="F1" s="11" t="s">
        <v>5</v>
      </c>
      <c r="G1" s="11" t="s">
        <v>6</v>
      </c>
      <c r="H1" s="11" t="s">
        <v>7</v>
      </c>
      <c r="I1" s="297" t="s">
        <v>8</v>
      </c>
      <c r="J1" s="297" t="s">
        <v>9</v>
      </c>
      <c r="K1" s="298" t="s">
        <v>10</v>
      </c>
      <c r="L1" s="297" t="s">
        <v>11</v>
      </c>
      <c r="M1" s="11" t="s">
        <v>12</v>
      </c>
      <c r="N1" s="297" t="s">
        <v>13</v>
      </c>
      <c r="O1" s="297" t="s">
        <v>14</v>
      </c>
      <c r="P1" s="297" t="s">
        <v>15</v>
      </c>
      <c r="Q1" s="297" t="s">
        <v>16</v>
      </c>
      <c r="R1" s="297" t="s">
        <v>17</v>
      </c>
      <c r="S1" s="297" t="s">
        <v>18</v>
      </c>
      <c r="T1" s="11" t="s">
        <v>19</v>
      </c>
      <c r="U1" s="11" t="s">
        <v>20</v>
      </c>
      <c r="V1" s="297" t="s">
        <v>21</v>
      </c>
      <c r="W1" s="297" t="s">
        <v>22</v>
      </c>
      <c r="X1" s="11" t="s">
        <v>23</v>
      </c>
      <c r="Y1" s="11" t="s">
        <v>24</v>
      </c>
      <c r="Z1" s="297" t="s">
        <v>25</v>
      </c>
      <c r="AA1" s="297" t="s">
        <v>26</v>
      </c>
      <c r="AB1" s="11" t="s">
        <v>27</v>
      </c>
      <c r="AC1" s="11" t="s">
        <v>28</v>
      </c>
      <c r="AD1" s="11" t="s">
        <v>29</v>
      </c>
      <c r="AE1" s="11" t="s">
        <v>30</v>
      </c>
      <c r="AF1" s="11" t="s">
        <v>31</v>
      </c>
      <c r="AG1" s="11" t="s">
        <v>32</v>
      </c>
      <c r="AH1" s="221" t="s">
        <v>33</v>
      </c>
    </row>
    <row r="2" spans="1:34" ht="15.75" hidden="1" customHeight="1" x14ac:dyDescent="0.4">
      <c r="A2" s="222">
        <v>0</v>
      </c>
      <c r="B2" s="1" t="s">
        <v>34</v>
      </c>
      <c r="C2" s="156" t="s">
        <v>35</v>
      </c>
      <c r="D2" s="199" t="s">
        <v>36</v>
      </c>
      <c r="E2" s="5" t="s">
        <v>37</v>
      </c>
      <c r="F2" s="12" t="s">
        <v>38</v>
      </c>
      <c r="G2" s="5" t="s">
        <v>39</v>
      </c>
      <c r="H2" s="5">
        <v>7</v>
      </c>
      <c r="I2" s="5" t="s">
        <v>40</v>
      </c>
      <c r="J2" s="5" t="s">
        <v>41</v>
      </c>
      <c r="K2" s="1" t="s">
        <v>42</v>
      </c>
      <c r="L2" s="5">
        <v>12</v>
      </c>
      <c r="M2" s="5" t="str">
        <f t="shared" ref="M2:M23" si="0">LEFT(U2,4)</f>
        <v>2526</v>
      </c>
      <c r="N2" s="1">
        <f>L2*360</f>
        <v>4320</v>
      </c>
      <c r="O2" s="1">
        <f t="shared" ref="O2:O10" si="1">N2*0.2</f>
        <v>864</v>
      </c>
      <c r="P2" s="1">
        <v>100</v>
      </c>
      <c r="Q2" s="230">
        <f>N2*0.7</f>
        <v>3024</v>
      </c>
      <c r="R2" s="1">
        <f t="shared" ref="R2:R23" si="2">SUM(O2)</f>
        <v>864</v>
      </c>
      <c r="S2" s="1">
        <f t="shared" ref="S2:S8" si="3">P2*0.5</f>
        <v>50</v>
      </c>
      <c r="T2" s="1" t="s">
        <v>43</v>
      </c>
      <c r="U2" s="1" t="str">
        <f>IF(OR(ISBLANK(Table1[[#This Row],[起始日期]]),Table1[[#This Row],[起始日期]]=""),RIGHT(YEAR(EDATE(Table1[[#This Row],[计划开始时间]],-3)),2) &amp; RIGHT(YEAR(EDATE(Table1[[#This Row],[计划开始时间]],-3))+1,2) &amp; " Q" &amp; ROUNDUP(MONTH(EDATE(Table1[[#This Row],[计划开始时间]],-3))/3,0),RIGHT(YEAR(EDATE(Table1[[#This Row],[起始日期]],-3)),2) &amp; RIGHT(YEAR(EDATE(Table1[[#This Row],[起始日期]],-3))+1,2) &amp; " Q" &amp; ROUNDUP(MONTH(EDATE(Table1[[#This Row],[起始日期]],-3))/3,0))</f>
        <v>2526 Q4</v>
      </c>
      <c r="V2" s="178" t="s">
        <v>44</v>
      </c>
      <c r="W2" s="178" t="s">
        <v>44</v>
      </c>
      <c r="X2" s="194" t="str">
        <f ca="1">IF(
    Table1[[#This Row],[ID]] = 0, "Cancelled",
    IF(
        Table1[[#This Row],[交付YRQTR]] = "TBD", "TBD",
IF(
            ISBLANK(Table1[[#This Row],[计划开始时间]]), "Not Started",
        IF(
            AND(
                NOT(ISBLANK(Table1[[#This Row],[计划开始时间]])),
                Table1[[#This Row],[计划开始时间]] &lt;= TODAY(),
                NOT(ISBLANK(Table1[[#This Row],[结束日期]])),
                Table1[[#This Row],[结束日期]] &lt;= TODAY()
            ),
            "Completed",
            IF(
                OR(
                    AND(
                        Table1[[#This Row],[计划开始时间]] &lt;= TODAY(),
                        ISBLANK(Table1[[#This Row],[结束日期]])
                    ),
                    AND(
                        Table1[[#This Row],[计划开始时间]] &lt;= TODAY(),
                        Table1[[#This Row],[结束日期]] &gt;= TODAY()
                    )
                ),
                "In Progress",
                "Not Started"
            )
        )
    )
))</f>
        <v>Cancelled</v>
      </c>
      <c r="Y2" s="2" t="s">
        <v>45</v>
      </c>
      <c r="Z2" s="302">
        <v>46082</v>
      </c>
      <c r="AA2" s="302">
        <v>46142</v>
      </c>
      <c r="AB2" s="1">
        <v>3024</v>
      </c>
      <c r="AC2" s="213">
        <v>45562</v>
      </c>
      <c r="AD2" s="1"/>
      <c r="AE2" s="1"/>
      <c r="AF2" s="1" t="s">
        <v>46</v>
      </c>
      <c r="AG2" s="1"/>
      <c r="AH2" s="223">
        <f>IF(Table1[[#This Row],[Dev Pmt]]="",Table1[[#This Row],[YR0 开发费用]]-0,Table1[[#This Row],[YR0 开发费用]]-Table1[[#This Row],[Dev Pmt]])</f>
        <v>0</v>
      </c>
    </row>
    <row r="3" spans="1:34" ht="15.75" hidden="1" customHeight="1" x14ac:dyDescent="0.4">
      <c r="A3" s="224">
        <v>0</v>
      </c>
      <c r="B3" s="1" t="s">
        <v>47</v>
      </c>
      <c r="C3" s="320" t="s">
        <v>48</v>
      </c>
      <c r="D3" s="323" t="s">
        <v>49</v>
      </c>
      <c r="E3" s="210" t="s">
        <v>50</v>
      </c>
      <c r="F3" s="212" t="s">
        <v>51</v>
      </c>
      <c r="G3" s="210" t="s">
        <v>39</v>
      </c>
      <c r="H3" s="210">
        <v>20</v>
      </c>
      <c r="I3" s="210" t="s">
        <v>52</v>
      </c>
      <c r="J3" s="210" t="s">
        <v>41</v>
      </c>
      <c r="K3" s="194"/>
      <c r="L3" s="210">
        <v>15</v>
      </c>
      <c r="M3" s="210" t="str">
        <f t="shared" si="0"/>
        <v>2627</v>
      </c>
      <c r="N3" s="194">
        <f t="shared" ref="N3:N8" si="4">L3*330</f>
        <v>4950</v>
      </c>
      <c r="O3" s="194">
        <f t="shared" si="1"/>
        <v>990</v>
      </c>
      <c r="P3" s="194">
        <v>100</v>
      </c>
      <c r="Q3" s="194">
        <f>N3*0.7</f>
        <v>3465</v>
      </c>
      <c r="R3" s="194">
        <f t="shared" si="2"/>
        <v>990</v>
      </c>
      <c r="S3" s="194">
        <f t="shared" si="3"/>
        <v>50</v>
      </c>
      <c r="T3" s="194" t="s">
        <v>53</v>
      </c>
      <c r="U3" s="1" t="s">
        <v>54</v>
      </c>
      <c r="V3" s="177" t="s">
        <v>44</v>
      </c>
      <c r="W3" s="177" t="s">
        <v>44</v>
      </c>
      <c r="X3" s="194" t="str">
        <f ca="1">IF(
    Table1[[#This Row],[ID]] = 0, "Cancelled",
    IF(
        Table1[[#This Row],[交付YRQTR]] = "TBD", "TBD",
IF(
            ISBLANK(Table1[[#This Row],[计划开始时间]]), "Not Started",
        IF(
            AND(
                NOT(ISBLANK(Table1[[#This Row],[计划开始时间]])),
                Table1[[#This Row],[计划开始时间]] &lt;= TODAY(),
                NOT(ISBLANK(Table1[[#This Row],[结束日期]])),
                Table1[[#This Row],[结束日期]] &lt;= TODAY()
            ),
            "Completed",
            IF(
                OR(
                    AND(
                        Table1[[#This Row],[计划开始时间]] &lt;= TODAY(),
                        ISBLANK(Table1[[#This Row],[结束日期]])
                    ),
                    AND(
                        Table1[[#This Row],[计划开始时间]] &lt;= TODAY(),
                        Table1[[#This Row],[结束日期]] &gt;= TODAY()
                    )
                ),
                "In Progress",
                "Not Started"
            )
        )
    )
))</f>
        <v>Cancelled</v>
      </c>
      <c r="Y3" s="211"/>
      <c r="Z3" s="302"/>
      <c r="AA3" s="302"/>
      <c r="AB3" s="1">
        <f>Table1[[#This Row],[YR0 开发费用]]</f>
        <v>3465</v>
      </c>
      <c r="AC3" s="213">
        <v>45776</v>
      </c>
      <c r="AD3" s="1" t="s">
        <v>44</v>
      </c>
      <c r="AE3" s="1"/>
      <c r="AF3" s="1" t="s">
        <v>55</v>
      </c>
      <c r="AG3" s="1"/>
      <c r="AH3" s="223">
        <f>IF(Table1[[#This Row],[Dev Pmt]]="",Table1[[#This Row],[YR0 开发费用]]-0,Table1[[#This Row],[YR0 开发费用]]-Table1[[#This Row],[Dev Pmt]])</f>
        <v>0</v>
      </c>
    </row>
    <row r="4" spans="1:34" ht="15.75" hidden="1" customHeight="1" x14ac:dyDescent="0.4">
      <c r="A4" s="222">
        <v>0</v>
      </c>
      <c r="B4" s="1" t="s">
        <v>34</v>
      </c>
      <c r="C4" s="1" t="s">
        <v>56</v>
      </c>
      <c r="D4" s="324" t="s">
        <v>57</v>
      </c>
      <c r="E4" s="5" t="s">
        <v>37</v>
      </c>
      <c r="F4" s="12" t="s">
        <v>38</v>
      </c>
      <c r="G4" s="5" t="s">
        <v>39</v>
      </c>
      <c r="H4" s="5">
        <v>18</v>
      </c>
      <c r="I4" s="5" t="s">
        <v>40</v>
      </c>
      <c r="J4" s="5" t="s">
        <v>41</v>
      </c>
      <c r="K4" s="2" t="s">
        <v>58</v>
      </c>
      <c r="L4" s="5">
        <v>12</v>
      </c>
      <c r="M4" s="5" t="str">
        <f t="shared" si="0"/>
        <v>2526</v>
      </c>
      <c r="N4" s="1">
        <f t="shared" si="4"/>
        <v>3960</v>
      </c>
      <c r="O4" s="1">
        <f t="shared" si="1"/>
        <v>792</v>
      </c>
      <c r="P4" s="1">
        <v>100</v>
      </c>
      <c r="Q4" s="230">
        <f>N4</f>
        <v>3960</v>
      </c>
      <c r="R4" s="1">
        <f t="shared" si="2"/>
        <v>792</v>
      </c>
      <c r="S4" s="1">
        <f t="shared" si="3"/>
        <v>50</v>
      </c>
      <c r="T4" s="1" t="s">
        <v>59</v>
      </c>
      <c r="U4" s="1" t="s">
        <v>60</v>
      </c>
      <c r="V4" s="177" t="s">
        <v>44</v>
      </c>
      <c r="W4" s="178" t="s">
        <v>44</v>
      </c>
      <c r="X4" s="1" t="str">
        <f ca="1">IF(
    Table1[[#This Row],[ID]] = 0, "Cancelled",
    IF(
        Table1[[#This Row],[交付YRQTR]] = "TBD", "TBD",
IF(
            ISBLANK(Table1[[#This Row],[计划开始时间]]), "Not Started",
        IF(
            AND(
                NOT(ISBLANK(Table1[[#This Row],[计划开始时间]])),
                Table1[[#This Row],[计划开始时间]] &lt;= TODAY(),
                NOT(ISBLANK(Table1[[#This Row],[结束日期]])),
                Table1[[#This Row],[结束日期]] &lt;= TODAY()
            ),
            "Completed",
            IF(
                OR(
                    AND(
                        Table1[[#This Row],[计划开始时间]] &lt;= TODAY(),
                        ISBLANK(Table1[[#This Row],[结束日期]])
                    ),
                    AND(
                        Table1[[#This Row],[计划开始时间]] &lt;= TODAY(),
                        Table1[[#This Row],[结束日期]] &gt;= TODAY()
                    )
                ),
                "In Progress",
                "Not Started"
            )
        )
    )
))</f>
        <v>Cancelled</v>
      </c>
      <c r="Y4" s="2"/>
      <c r="Z4" s="302"/>
      <c r="AA4" s="302"/>
      <c r="AB4" s="1" t="s">
        <v>44</v>
      </c>
      <c r="AC4" s="213"/>
      <c r="AD4" s="1" t="s">
        <v>44</v>
      </c>
      <c r="AE4" s="1"/>
      <c r="AF4" s="1" t="s">
        <v>61</v>
      </c>
      <c r="AG4" s="1"/>
      <c r="AH4" s="223">
        <f>IF(Table1[[#This Row],[Dev Pmt]]="",Table1[[#This Row],[YR0 开发费用]]-0,Table1[[#This Row],[YR0 开发费用]]-Table1[[#This Row],[Dev Pmt]])</f>
        <v>3960</v>
      </c>
    </row>
    <row r="5" spans="1:34" ht="15.75" hidden="1" customHeight="1" x14ac:dyDescent="0.4">
      <c r="A5" s="222">
        <v>0</v>
      </c>
      <c r="B5" s="1" t="s">
        <v>62</v>
      </c>
      <c r="C5" s="2" t="s">
        <v>63</v>
      </c>
      <c r="D5" s="196" t="s">
        <v>64</v>
      </c>
      <c r="E5" s="5" t="s">
        <v>50</v>
      </c>
      <c r="F5" s="12" t="s">
        <v>51</v>
      </c>
      <c r="G5" s="5" t="s">
        <v>39</v>
      </c>
      <c r="H5" s="5">
        <v>13</v>
      </c>
      <c r="I5" s="5" t="s">
        <v>40</v>
      </c>
      <c r="J5" s="5" t="s">
        <v>65</v>
      </c>
      <c r="K5" s="2"/>
      <c r="L5" s="5">
        <v>20</v>
      </c>
      <c r="M5" s="5" t="str">
        <f t="shared" si="0"/>
        <v>2526</v>
      </c>
      <c r="N5" s="1">
        <f t="shared" si="4"/>
        <v>6600</v>
      </c>
      <c r="O5" s="1">
        <f t="shared" si="1"/>
        <v>1320</v>
      </c>
      <c r="P5" s="1">
        <v>100</v>
      </c>
      <c r="Q5" s="230">
        <f>N5</f>
        <v>6600</v>
      </c>
      <c r="R5" s="1">
        <f t="shared" si="2"/>
        <v>1320</v>
      </c>
      <c r="S5" s="1">
        <f t="shared" si="3"/>
        <v>50</v>
      </c>
      <c r="T5" s="1" t="s">
        <v>66</v>
      </c>
      <c r="U5" s="1" t="s">
        <v>67</v>
      </c>
      <c r="V5" s="178" t="s">
        <v>44</v>
      </c>
      <c r="W5" s="178" t="s">
        <v>44</v>
      </c>
      <c r="X5" s="194" t="str">
        <f ca="1">IF(
    Table1[[#This Row],[ID]] = 0, "Cancelled",
    IF(
        Table1[[#This Row],[交付YRQTR]] = "TBD", "TBD",
IF(
            ISBLANK(Table1[[#This Row],[计划开始时间]]), "Not Started",
        IF(
            AND(
                NOT(ISBLANK(Table1[[#This Row],[计划开始时间]])),
                Table1[[#This Row],[计划开始时间]] &lt;= TODAY(),
                NOT(ISBLANK(Table1[[#This Row],[结束日期]])),
                Table1[[#This Row],[结束日期]] &lt;= TODAY()
            ),
            "Completed",
            IF(
                OR(
                    AND(
                        Table1[[#This Row],[计划开始时间]] &lt;= TODAY(),
                        ISBLANK(Table1[[#This Row],[结束日期]])
                    ),
                    AND(
                        Table1[[#This Row],[计划开始时间]] &lt;= TODAY(),
                        Table1[[#This Row],[结束日期]] &gt;= TODAY()
                    )
                ),
                "In Progress",
                "Not Started"
            )
        )
    )
))</f>
        <v>Cancelled</v>
      </c>
      <c r="Y5" s="2"/>
      <c r="Z5" s="302"/>
      <c r="AA5" s="302"/>
      <c r="AB5" s="1" t="s">
        <v>44</v>
      </c>
      <c r="AC5" s="213"/>
      <c r="AD5" s="1" t="s">
        <v>44</v>
      </c>
      <c r="AE5" s="1"/>
      <c r="AF5" s="1" t="s">
        <v>68</v>
      </c>
      <c r="AG5" s="1"/>
      <c r="AH5" s="223">
        <f>IF(Table1[[#This Row],[Dev Pmt]]="",Table1[[#This Row],[YR0 开发费用]]-0,Table1[[#This Row],[YR0 开发费用]]-Table1[[#This Row],[Dev Pmt]])</f>
        <v>6600</v>
      </c>
    </row>
    <row r="6" spans="1:34" ht="15.75" hidden="1" customHeight="1" x14ac:dyDescent="0.4">
      <c r="A6" s="225">
        <v>0</v>
      </c>
      <c r="B6" s="1" t="s">
        <v>34</v>
      </c>
      <c r="C6" s="322" t="s">
        <v>69</v>
      </c>
      <c r="D6" s="307" t="s">
        <v>70</v>
      </c>
      <c r="E6" s="195" t="s">
        <v>37</v>
      </c>
      <c r="F6" s="196" t="s">
        <v>38</v>
      </c>
      <c r="G6" s="195" t="s">
        <v>71</v>
      </c>
      <c r="H6" s="195">
        <v>27</v>
      </c>
      <c r="I6" s="193" t="s">
        <v>40</v>
      </c>
      <c r="J6" s="193" t="s">
        <v>41</v>
      </c>
      <c r="K6" s="193"/>
      <c r="L6" s="193">
        <v>15</v>
      </c>
      <c r="M6" s="193" t="str">
        <f t="shared" si="0"/>
        <v>2627</v>
      </c>
      <c r="N6" s="178">
        <f t="shared" si="4"/>
        <v>4950</v>
      </c>
      <c r="O6" s="178">
        <f t="shared" si="1"/>
        <v>990</v>
      </c>
      <c r="P6" s="1">
        <v>100</v>
      </c>
      <c r="Q6" s="211">
        <f>N6</f>
        <v>4950</v>
      </c>
      <c r="R6" s="327">
        <f t="shared" si="2"/>
        <v>990</v>
      </c>
      <c r="S6" s="327">
        <f t="shared" si="3"/>
        <v>50</v>
      </c>
      <c r="T6" s="193" t="s">
        <v>72</v>
      </c>
      <c r="U6" s="213" t="s">
        <v>73</v>
      </c>
      <c r="V6" s="308" t="s">
        <v>44</v>
      </c>
      <c r="W6" s="193" t="s">
        <v>44</v>
      </c>
      <c r="X6" s="308" t="str">
        <f ca="1">IF(
    Table1[[#This Row],[ID]] = 0, "Cancelled",
    IF(
        Table1[[#This Row],[交付YRQTR]] = "TBD", "TBD",
IF(
            ISBLANK(Table1[[#This Row],[计划开始时间]]), "Not Started",
        IF(
            AND(
                NOT(ISBLANK(Table1[[#This Row],[计划开始时间]])),
                Table1[[#This Row],[计划开始时间]] &lt;= TODAY(),
                NOT(ISBLANK(Table1[[#This Row],[结束日期]])),
                Table1[[#This Row],[结束日期]] &lt;= TODAY()
            ),
            "Completed",
            IF(
                OR(
                    AND(
                        Table1[[#This Row],[计划开始时间]] &lt;= TODAY(),
                        ISBLANK(Table1[[#This Row],[结束日期]])
                    ),
                    AND(
                        Table1[[#This Row],[计划开始时间]] &lt;= TODAY(),
                        Table1[[#This Row],[结束日期]] &gt;= TODAY()
                    )
                ),
                "In Progress",
                "Not Started"
            )
        )
    )
))</f>
        <v>Cancelled</v>
      </c>
      <c r="Y6" s="193"/>
      <c r="Z6" s="302"/>
      <c r="AA6" s="302"/>
      <c r="AB6" s="1" t="s">
        <v>44</v>
      </c>
      <c r="AC6" s="301"/>
      <c r="AD6" s="214" t="s">
        <v>44</v>
      </c>
      <c r="AE6" s="5"/>
      <c r="AF6" s="12" t="s">
        <v>74</v>
      </c>
      <c r="AG6" s="5"/>
      <c r="AH6" s="303">
        <f>IF(Table1[[#This Row],[Dev Pmt]]="",Table1[[#This Row],[YR0 开发费用]]-0,Table1[[#This Row],[YR0 开发费用]]-Table1[[#This Row],[Dev Pmt]])</f>
        <v>4950</v>
      </c>
    </row>
    <row r="7" spans="1:34" ht="19.5" hidden="1" customHeight="1" x14ac:dyDescent="0.4">
      <c r="A7" s="225">
        <v>0</v>
      </c>
      <c r="B7" s="1" t="s">
        <v>34</v>
      </c>
      <c r="C7" s="192" t="s">
        <v>75</v>
      </c>
      <c r="D7" s="193" t="s">
        <v>76</v>
      </c>
      <c r="E7" s="195" t="s">
        <v>77</v>
      </c>
      <c r="F7" s="196" t="s">
        <v>38</v>
      </c>
      <c r="G7" s="195" t="s">
        <v>71</v>
      </c>
      <c r="H7" s="195">
        <v>28</v>
      </c>
      <c r="I7" s="195" t="s">
        <v>40</v>
      </c>
      <c r="J7" s="195" t="s">
        <v>41</v>
      </c>
      <c r="K7" s="193"/>
      <c r="L7" s="195">
        <v>20</v>
      </c>
      <c r="M7" s="195" t="str">
        <f t="shared" si="0"/>
        <v>2627</v>
      </c>
      <c r="N7" s="193">
        <f t="shared" si="4"/>
        <v>6600</v>
      </c>
      <c r="O7" s="193">
        <f t="shared" si="1"/>
        <v>1320</v>
      </c>
      <c r="P7" s="193">
        <v>100</v>
      </c>
      <c r="Q7" s="326">
        <f>N7</f>
        <v>6600</v>
      </c>
      <c r="R7" s="193">
        <f t="shared" si="2"/>
        <v>1320</v>
      </c>
      <c r="S7" s="193">
        <f t="shared" si="3"/>
        <v>50</v>
      </c>
      <c r="T7" s="193" t="s">
        <v>78</v>
      </c>
      <c r="U7" s="1" t="s">
        <v>73</v>
      </c>
      <c r="V7" s="209" t="s">
        <v>44</v>
      </c>
      <c r="W7" s="197" t="s">
        <v>44</v>
      </c>
      <c r="X7" s="193" t="str">
        <f ca="1">IF(
    Table1[[#This Row],[ID]] = 0, "Cancelled",
    IF(
        Table1[[#This Row],[交付YRQTR]] = "TBD", "TBD",
IF(
            ISBLANK(Table1[[#This Row],[计划开始时间]]), "Not Started",
        IF(
            AND(
                NOT(ISBLANK(Table1[[#This Row],[计划开始时间]])),
                Table1[[#This Row],[计划开始时间]] &lt;= TODAY(),
                NOT(ISBLANK(Table1[[#This Row],[结束日期]])),
                Table1[[#This Row],[结束日期]] &lt;= TODAY()
            ),
            "Completed",
            IF(
                OR(
                    AND(
                        Table1[[#This Row],[计划开始时间]] &lt;= TODAY(),
                        ISBLANK(Table1[[#This Row],[结束日期]])
                    ),
                    AND(
                        Table1[[#This Row],[计划开始时间]] &lt;= TODAY(),
                        Table1[[#This Row],[结束日期]] &gt;= TODAY()
                    )
                ),
                "In Progress",
                "Not Started"
            )
        )
    )
))</f>
        <v>Cancelled</v>
      </c>
      <c r="Y7" s="192"/>
      <c r="Z7" s="302"/>
      <c r="AA7" s="302"/>
      <c r="AB7" s="1" t="s">
        <v>44</v>
      </c>
      <c r="AC7" s="213"/>
      <c r="AD7" s="1" t="s">
        <v>44</v>
      </c>
      <c r="AE7" s="1"/>
      <c r="AF7" s="1" t="s">
        <v>74</v>
      </c>
      <c r="AG7" s="1"/>
      <c r="AH7" s="223">
        <f>IF(Table1[[#This Row],[Dev Pmt]]="",Table1[[#This Row],[YR0 开发费用]]-0,Table1[[#This Row],[YR0 开发费用]]-Table1[[#This Row],[Dev Pmt]])</f>
        <v>6600</v>
      </c>
    </row>
    <row r="8" spans="1:34" ht="29.25" hidden="1" customHeight="1" x14ac:dyDescent="0.4">
      <c r="A8" s="222">
        <v>0</v>
      </c>
      <c r="B8" s="1" t="s">
        <v>47</v>
      </c>
      <c r="C8" s="2" t="s">
        <v>79</v>
      </c>
      <c r="D8" s="1" t="s">
        <v>80</v>
      </c>
      <c r="E8" s="5" t="s">
        <v>81</v>
      </c>
      <c r="F8" s="12" t="s">
        <v>82</v>
      </c>
      <c r="G8" s="5" t="s">
        <v>71</v>
      </c>
      <c r="H8" s="5">
        <v>29</v>
      </c>
      <c r="I8" s="5" t="s">
        <v>40</v>
      </c>
      <c r="J8" s="5" t="s">
        <v>65</v>
      </c>
      <c r="K8" s="2" t="s">
        <v>83</v>
      </c>
      <c r="L8" s="5">
        <v>30</v>
      </c>
      <c r="M8" s="5" t="str">
        <f t="shared" si="0"/>
        <v>2627</v>
      </c>
      <c r="N8" s="1">
        <f t="shared" si="4"/>
        <v>9900</v>
      </c>
      <c r="O8" s="1">
        <f t="shared" si="1"/>
        <v>1980</v>
      </c>
      <c r="P8" s="1">
        <v>100</v>
      </c>
      <c r="Q8" s="230">
        <f>N8</f>
        <v>9900</v>
      </c>
      <c r="R8" s="1">
        <f t="shared" si="2"/>
        <v>1980</v>
      </c>
      <c r="S8" s="1">
        <f t="shared" si="3"/>
        <v>50</v>
      </c>
      <c r="T8" s="1" t="s">
        <v>84</v>
      </c>
      <c r="U8" s="1" t="s">
        <v>73</v>
      </c>
      <c r="V8" s="178" t="s">
        <v>44</v>
      </c>
      <c r="W8" s="178" t="s">
        <v>44</v>
      </c>
      <c r="X8" s="1" t="str">
        <f ca="1">IF(
    Table1[[#This Row],[ID]] = 0, "Cancelled",
    IF(
        Table1[[#This Row],[交付YRQTR]] = "TBD", "TBD",
IF(
            ISBLANK(Table1[[#This Row],[计划开始时间]]), "Not Started",
        IF(
            AND(
                NOT(ISBLANK(Table1[[#This Row],[计划开始时间]])),
                Table1[[#This Row],[计划开始时间]] &lt;= TODAY(),
                NOT(ISBLANK(Table1[[#This Row],[结束日期]])),
                Table1[[#This Row],[结束日期]] &lt;= TODAY()
            ),
            "Completed",
            IF(
                OR(
                    AND(
                        Table1[[#This Row],[计划开始时间]] &lt;= TODAY(),
                        ISBLANK(Table1[[#This Row],[结束日期]])
                    ),
                    AND(
                        Table1[[#This Row],[计划开始时间]] &lt;= TODAY(),
                        Table1[[#This Row],[结束日期]] &gt;= TODAY()
                    )
                ),
                "In Progress",
                "Not Started"
            )
        )
    )
))</f>
        <v>Cancelled</v>
      </c>
      <c r="Y8" s="2"/>
      <c r="Z8" s="302"/>
      <c r="AA8" s="302"/>
      <c r="AB8" s="1" t="s">
        <v>44</v>
      </c>
      <c r="AC8" s="213"/>
      <c r="AD8" s="1" t="s">
        <v>44</v>
      </c>
      <c r="AE8" s="1"/>
      <c r="AF8" s="1" t="s">
        <v>74</v>
      </c>
      <c r="AG8" s="1"/>
      <c r="AH8" s="223">
        <f>IF(Table1[[#This Row],[Dev Pmt]]="",Table1[[#This Row],[YR0 开发费用]]-0,Table1[[#This Row],[YR0 开发费用]]-Table1[[#This Row],[Dev Pmt]])</f>
        <v>9900</v>
      </c>
    </row>
    <row r="9" spans="1:34" ht="15.75" hidden="1" customHeight="1" x14ac:dyDescent="0.4">
      <c r="A9" s="224">
        <v>0</v>
      </c>
      <c r="B9" s="1" t="s">
        <v>47</v>
      </c>
      <c r="C9" s="211" t="s">
        <v>85</v>
      </c>
      <c r="D9" s="194" t="s">
        <v>86</v>
      </c>
      <c r="E9" s="210" t="s">
        <v>87</v>
      </c>
      <c r="F9" s="212" t="s">
        <v>51</v>
      </c>
      <c r="G9" s="210" t="s">
        <v>71</v>
      </c>
      <c r="H9" s="210"/>
      <c r="I9" s="210" t="s">
        <v>88</v>
      </c>
      <c r="J9" s="210" t="s">
        <v>65</v>
      </c>
      <c r="K9" s="194" t="s">
        <v>89</v>
      </c>
      <c r="L9" s="210"/>
      <c r="M9" s="210" t="str">
        <f t="shared" si="0"/>
        <v>TBD</v>
      </c>
      <c r="N9" s="194">
        <f>L9*360</f>
        <v>0</v>
      </c>
      <c r="O9" s="194">
        <f t="shared" si="1"/>
        <v>0</v>
      </c>
      <c r="P9" s="194">
        <v>100</v>
      </c>
      <c r="Q9" s="194">
        <f>N9*0.7</f>
        <v>0</v>
      </c>
      <c r="R9" s="194">
        <f t="shared" si="2"/>
        <v>0</v>
      </c>
      <c r="S9" s="194">
        <v>0</v>
      </c>
      <c r="T9" s="194" t="s">
        <v>90</v>
      </c>
      <c r="U9" s="194" t="s">
        <v>91</v>
      </c>
      <c r="V9" s="177" t="s">
        <v>44</v>
      </c>
      <c r="W9" s="177" t="s">
        <v>44</v>
      </c>
      <c r="X9" s="194" t="str">
        <f ca="1">IF(
    Table1[[#This Row],[ID]] = 0, "Cancelled",
    IF(
        Table1[[#This Row],[交付YRQTR]] = "TBD", "TBD",
IF(
            ISBLANK(Table1[[#This Row],[计划开始时间]]), "Not Started",
        IF(
            AND(
                NOT(ISBLANK(Table1[[#This Row],[计划开始时间]])),
                Table1[[#This Row],[计划开始时间]] &lt;= TODAY(),
                NOT(ISBLANK(Table1[[#This Row],[结束日期]])),
                Table1[[#This Row],[结束日期]] &lt;= TODAY()
            ),
            "Completed",
            IF(
                OR(
                    AND(
                        Table1[[#This Row],[计划开始时间]] &lt;= TODAY(),
                        ISBLANK(Table1[[#This Row],[结束日期]])
                    ),
                    AND(
                        Table1[[#This Row],[计划开始时间]] &lt;= TODAY(),
                        Table1[[#This Row],[结束日期]] &gt;= TODAY()
                    )
                ),
                "In Progress",
                "Not Started"
            )
        )
    )
))</f>
        <v>Cancelled</v>
      </c>
      <c r="Y9" s="211"/>
      <c r="Z9" s="302"/>
      <c r="AA9" s="302"/>
      <c r="AB9" s="1" t="s">
        <v>44</v>
      </c>
      <c r="AC9" s="213"/>
      <c r="AD9" s="1" t="s">
        <v>44</v>
      </c>
      <c r="AE9" s="1"/>
      <c r="AF9" s="1"/>
      <c r="AG9" s="1"/>
      <c r="AH9" s="223">
        <f>IF(Table1[[#This Row],[Dev Pmt]]="",Table1[[#This Row],[YR0 开发费用]]-0,Table1[[#This Row],[YR0 开发费用]]-Table1[[#This Row],[Dev Pmt]])</f>
        <v>0</v>
      </c>
    </row>
    <row r="10" spans="1:34" ht="15.75" hidden="1" customHeight="1" x14ac:dyDescent="0.4">
      <c r="A10" s="222">
        <v>0</v>
      </c>
      <c r="B10" s="1" t="s">
        <v>34</v>
      </c>
      <c r="C10" s="2" t="s">
        <v>92</v>
      </c>
      <c r="D10" s="2" t="s">
        <v>93</v>
      </c>
      <c r="E10" s="5" t="s">
        <v>77</v>
      </c>
      <c r="F10" s="12" t="s">
        <v>38</v>
      </c>
      <c r="G10" s="5" t="s">
        <v>94</v>
      </c>
      <c r="H10" s="5"/>
      <c r="I10" s="5" t="s">
        <v>88</v>
      </c>
      <c r="J10" s="5" t="s">
        <v>41</v>
      </c>
      <c r="K10" s="1" t="s">
        <v>95</v>
      </c>
      <c r="L10" s="325">
        <v>50</v>
      </c>
      <c r="M10" s="5" t="str">
        <f t="shared" si="0"/>
        <v>2526</v>
      </c>
      <c r="N10" s="230">
        <f>L10*330</f>
        <v>16500</v>
      </c>
      <c r="O10" s="230">
        <f t="shared" si="1"/>
        <v>3300</v>
      </c>
      <c r="P10" s="230">
        <v>100</v>
      </c>
      <c r="Q10" s="230">
        <f>N10</f>
        <v>16500</v>
      </c>
      <c r="R10" s="1">
        <f t="shared" si="2"/>
        <v>3300</v>
      </c>
      <c r="S10" s="1">
        <f t="shared" ref="S10:S22" si="5">P10*0.5</f>
        <v>50</v>
      </c>
      <c r="T10" s="1" t="s">
        <v>96</v>
      </c>
      <c r="U10" s="1" t="str">
        <f>IF(OR(ISBLANK(Table1[[#This Row],[起始日期]]),Table1[[#This Row],[起始日期]]=""),RIGHT(YEAR(EDATE(Table1[[#This Row],[计划开始时间]],-3)),2) &amp; RIGHT(YEAR(EDATE(Table1[[#This Row],[计划开始时间]],-3))+1,2) &amp; " Q" &amp; ROUNDUP(MONTH(EDATE(Table1[[#This Row],[计划开始时间]],-3))/3,0),RIGHT(YEAR(EDATE(Table1[[#This Row],[起始日期]],-3)),2) &amp; RIGHT(YEAR(EDATE(Table1[[#This Row],[起始日期]],-3))+1,2) &amp; " Q" &amp; ROUNDUP(MONTH(EDATE(Table1[[#This Row],[起始日期]],-3))/3,0))</f>
        <v>2526 Q4</v>
      </c>
      <c r="V10" s="177"/>
      <c r="W10" s="178" t="s">
        <v>44</v>
      </c>
      <c r="X10" s="1" t="str">
        <f ca="1">IF(
    Table1[[#This Row],[ID]] = 0, "Cancelled",
    IF(
        Table1[[#This Row],[交付YRQTR]] = "TBD", "TBD",
IF(
            ISBLANK(Table1[[#This Row],[计划开始时间]]), "Not Started",
        IF(
            AND(
                NOT(ISBLANK(Table1[[#This Row],[计划开始时间]])),
                Table1[[#This Row],[计划开始时间]] &lt;= TODAY(),
                NOT(ISBLANK(Table1[[#This Row],[结束日期]])),
                Table1[[#This Row],[结束日期]] &lt;= TODAY()
            ),
            "Completed",
            IF(
                OR(
                    AND(
                        Table1[[#This Row],[计划开始时间]] &lt;= TODAY(),
                        ISBLANK(Table1[[#This Row],[结束日期]])
                    ),
                    AND(
                        Table1[[#This Row],[计划开始时间]] &lt;= TODAY(),
                        Table1[[#This Row],[结束日期]] &gt;= TODAY()
                    )
                ),
                "In Progress",
                "Not Started"
            )
        )
    )
))</f>
        <v>Cancelled</v>
      </c>
      <c r="Y10" s="2"/>
      <c r="Z10" s="302">
        <v>46082</v>
      </c>
      <c r="AA10" s="302">
        <v>46142</v>
      </c>
      <c r="AB10" s="1" t="s">
        <v>44</v>
      </c>
      <c r="AC10" s="213"/>
      <c r="AD10" s="1" t="s">
        <v>44</v>
      </c>
      <c r="AE10" s="1"/>
      <c r="AF10" s="1" t="s">
        <v>68</v>
      </c>
      <c r="AG10" s="1"/>
      <c r="AH10" s="223">
        <f>IF(Table1[[#This Row],[Dev Pmt]]="",Table1[[#This Row],[YR0 开发费用]]-0,Table1[[#This Row],[YR0 开发费用]]-Table1[[#This Row],[Dev Pmt]])</f>
        <v>16500</v>
      </c>
    </row>
    <row r="11" spans="1:34" ht="15" hidden="1" customHeight="1" x14ac:dyDescent="0.4">
      <c r="A11" s="222">
        <v>0</v>
      </c>
      <c r="B11" s="1" t="s">
        <v>47</v>
      </c>
      <c r="C11" s="1" t="s">
        <v>97</v>
      </c>
      <c r="D11" s="12" t="s">
        <v>98</v>
      </c>
      <c r="E11" s="5" t="s">
        <v>99</v>
      </c>
      <c r="F11" s="12" t="s">
        <v>100</v>
      </c>
      <c r="G11" s="5" t="s">
        <v>39</v>
      </c>
      <c r="H11" s="5">
        <v>14</v>
      </c>
      <c r="I11" s="5" t="s">
        <v>52</v>
      </c>
      <c r="J11" s="5" t="s">
        <v>41</v>
      </c>
      <c r="K11" s="1"/>
      <c r="L11" s="5">
        <v>5</v>
      </c>
      <c r="M11" s="5" t="str">
        <f t="shared" si="0"/>
        <v>2425</v>
      </c>
      <c r="N11" s="1">
        <v>1800</v>
      </c>
      <c r="O11" s="1">
        <v>360</v>
      </c>
      <c r="P11" s="1">
        <v>100</v>
      </c>
      <c r="Q11" s="1">
        <f>N11*0.7</f>
        <v>1260</v>
      </c>
      <c r="R11" s="1">
        <f t="shared" si="2"/>
        <v>360</v>
      </c>
      <c r="S11" s="1">
        <f t="shared" si="5"/>
        <v>50</v>
      </c>
      <c r="T11" s="1" t="s">
        <v>101</v>
      </c>
      <c r="U11" s="12" t="s">
        <v>102</v>
      </c>
      <c r="V11" s="177"/>
      <c r="W11" s="178"/>
      <c r="X11" s="1" t="str">
        <f ca="1">IF(
    Table1[[#This Row],[ID]] = 0, "Cancelled",
    IF(
        Table1[[#This Row],[交付YRQTR]] = "TBD", "TBD",
IF(
            ISBLANK(Table1[[#This Row],[计划开始时间]]), "Not Started",
        IF(
            AND(
                NOT(ISBLANK(Table1[[#This Row],[计划开始时间]])),
                Table1[[#This Row],[计划开始时间]] &lt;= TODAY(),
                NOT(ISBLANK(Table1[[#This Row],[结束日期]])),
                Table1[[#This Row],[结束日期]] &lt;= TODAY()
            ),
            "Completed",
            IF(
                OR(
                    AND(
                        Table1[[#This Row],[计划开始时间]] &lt;= TODAY(),
                        ISBLANK(Table1[[#This Row],[结束日期]])
                    ),
                    AND(
                        Table1[[#This Row],[计划开始时间]] &lt;= TODAY(),
                        Table1[[#This Row],[结束日期]] &gt;= TODAY()
                    )
                ),
                "In Progress",
                "Not Started"
            )
        )
    )
))</f>
        <v>Cancelled</v>
      </c>
      <c r="Y11" s="2"/>
      <c r="Z11" s="302"/>
      <c r="AA11" s="302"/>
      <c r="AB11" s="1">
        <f>1260-1260</f>
        <v>0</v>
      </c>
      <c r="AC11" s="213">
        <v>45562</v>
      </c>
      <c r="AD11" s="1"/>
      <c r="AE11" s="1"/>
      <c r="AF11" s="1"/>
      <c r="AG11" s="1" t="s">
        <v>103</v>
      </c>
      <c r="AH11" s="223">
        <f>IF(Table1[[#This Row],[Dev Pmt]]="",Table1[[#This Row],[YR0 开发费用]]-0,Table1[[#This Row],[YR0 开发费用]]-Table1[[#This Row],[Dev Pmt]])</f>
        <v>1260</v>
      </c>
    </row>
    <row r="12" spans="1:34" ht="15.75" hidden="1" customHeight="1" x14ac:dyDescent="0.4">
      <c r="A12" s="222">
        <v>0</v>
      </c>
      <c r="B12" s="1" t="s">
        <v>47</v>
      </c>
      <c r="C12" s="1" t="s">
        <v>104</v>
      </c>
      <c r="D12" s="212" t="s">
        <v>98</v>
      </c>
      <c r="E12" s="5" t="s">
        <v>105</v>
      </c>
      <c r="F12" s="12" t="s">
        <v>100</v>
      </c>
      <c r="G12" s="5" t="s">
        <v>39</v>
      </c>
      <c r="H12" s="5">
        <v>17</v>
      </c>
      <c r="I12" s="5" t="s">
        <v>52</v>
      </c>
      <c r="J12" s="5" t="s">
        <v>41</v>
      </c>
      <c r="K12" s="1"/>
      <c r="L12" s="5">
        <v>5</v>
      </c>
      <c r="M12" s="5" t="str">
        <f t="shared" si="0"/>
        <v>2526</v>
      </c>
      <c r="N12" s="1">
        <v>1800</v>
      </c>
      <c r="O12" s="1">
        <v>360</v>
      </c>
      <c r="P12" s="1">
        <v>100</v>
      </c>
      <c r="Q12" s="1">
        <f>N12*0.7</f>
        <v>1260</v>
      </c>
      <c r="R12" s="1">
        <f t="shared" si="2"/>
        <v>360</v>
      </c>
      <c r="S12" s="1">
        <f t="shared" si="5"/>
        <v>50</v>
      </c>
      <c r="T12" s="1" t="s">
        <v>106</v>
      </c>
      <c r="U12" s="12" t="s">
        <v>107</v>
      </c>
      <c r="V12" s="177"/>
      <c r="W12" s="178"/>
      <c r="X12" s="1" t="str">
        <f ca="1">IF(
    Table1[[#This Row],[ID]] = 0, "Cancelled",
    IF(
        Table1[[#This Row],[交付YRQTR]] = "TBD", "TBD",
IF(
            ISBLANK(Table1[[#This Row],[计划开始时间]]), "Not Started",
        IF(
            AND(
                NOT(ISBLANK(Table1[[#This Row],[计划开始时间]])),
                Table1[[#This Row],[计划开始时间]] &lt;= TODAY(),
                NOT(ISBLANK(Table1[[#This Row],[结束日期]])),
                Table1[[#This Row],[结束日期]] &lt;= TODAY()
            ),
            "Completed",
            IF(
                OR(
                    AND(
                        Table1[[#This Row],[计划开始时间]] &lt;= TODAY(),
                        ISBLANK(Table1[[#This Row],[结束日期]])
                    ),
                    AND(
                        Table1[[#This Row],[计划开始时间]] &lt;= TODAY(),
                        Table1[[#This Row],[结束日期]] &gt;= TODAY()
                    )
                ),
                "In Progress",
                "Not Started"
            )
        )
    )
))</f>
        <v>Cancelled</v>
      </c>
      <c r="Y12" s="2"/>
      <c r="Z12" s="302"/>
      <c r="AA12" s="302"/>
      <c r="AB12" s="1"/>
      <c r="AC12" s="161"/>
      <c r="AD12" s="1" t="s">
        <v>44</v>
      </c>
      <c r="AE12" s="1"/>
      <c r="AF12" s="1"/>
      <c r="AG12" s="1"/>
      <c r="AH12" s="223">
        <f>IF(Table1[[#This Row],[Dev Pmt]]="",Table1[[#This Row],[YR0 开发费用]]-0,Table1[[#This Row],[YR0 开发费用]]-Table1[[#This Row],[Dev Pmt]])</f>
        <v>1260</v>
      </c>
    </row>
    <row r="13" spans="1:34" ht="15.75" hidden="1" customHeight="1" x14ac:dyDescent="0.4">
      <c r="A13" s="222">
        <v>0</v>
      </c>
      <c r="B13" s="1" t="s">
        <v>34</v>
      </c>
      <c r="C13" s="1" t="s">
        <v>108</v>
      </c>
      <c r="D13" s="12" t="s">
        <v>109</v>
      </c>
      <c r="E13" s="5" t="s">
        <v>37</v>
      </c>
      <c r="F13" s="12" t="s">
        <v>38</v>
      </c>
      <c r="G13" s="5" t="s">
        <v>71</v>
      </c>
      <c r="H13" s="5">
        <v>16</v>
      </c>
      <c r="I13" s="5" t="s">
        <v>40</v>
      </c>
      <c r="J13" s="5" t="s">
        <v>41</v>
      </c>
      <c r="K13" s="1"/>
      <c r="L13" s="5">
        <v>20</v>
      </c>
      <c r="M13" s="5" t="str">
        <f t="shared" si="0"/>
        <v>2526</v>
      </c>
      <c r="N13" s="1">
        <f t="shared" ref="N13:N22" si="6">L13*330</f>
        <v>6600</v>
      </c>
      <c r="O13" s="1">
        <f>N13*0.2</f>
        <v>1320</v>
      </c>
      <c r="P13" s="1">
        <v>100</v>
      </c>
      <c r="Q13" s="1">
        <f>N13*0.7</f>
        <v>4620</v>
      </c>
      <c r="R13" s="1">
        <f t="shared" si="2"/>
        <v>1320</v>
      </c>
      <c r="S13" s="1">
        <f t="shared" si="5"/>
        <v>50</v>
      </c>
      <c r="T13" s="1" t="s">
        <v>110</v>
      </c>
      <c r="U13" s="12" t="s">
        <v>111</v>
      </c>
      <c r="V13" s="177" t="s">
        <v>44</v>
      </c>
      <c r="W13" s="178" t="s">
        <v>44</v>
      </c>
      <c r="X13" s="1" t="str">
        <f ca="1">IF(
    Table1[[#This Row],[ID]] = 0, "Cancelled",
    IF(
        Table1[[#This Row],[交付YRQTR]] = "TBD", "TBD",
IF(
            ISBLANK(Table1[[#This Row],[计划开始时间]]), "Not Started",
        IF(
            AND(
                NOT(ISBLANK(Table1[[#This Row],[计划开始时间]])),
                Table1[[#This Row],[计划开始时间]] &lt;= TODAY(),
                NOT(ISBLANK(Table1[[#This Row],[结束日期]])),
                Table1[[#This Row],[结束日期]] &lt;= TODAY()
            ),
            "Completed",
            IF(
                OR(
                    AND(
                        Table1[[#This Row],[计划开始时间]] &lt;= TODAY(),
                        ISBLANK(Table1[[#This Row],[结束日期]])
                    ),
                    AND(
                        Table1[[#This Row],[计划开始时间]] &lt;= TODAY(),
                        Table1[[#This Row],[结束日期]] &gt;= TODAY()
                    )
                ),
                "In Progress",
                "Not Started"
            )
        )
    )
))</f>
        <v>Cancelled</v>
      </c>
      <c r="Y13" s="2"/>
      <c r="Z13" s="302"/>
      <c r="AA13" s="302"/>
      <c r="AB13" s="1" t="s">
        <v>44</v>
      </c>
      <c r="AC13" s="161" t="str">
        <f>IF(OR(Table1[[#This Row],[Dev Pmt]]=0,Table1[[#This Row],[Dev Pmt]]=""),"","2024/9/27")</f>
        <v/>
      </c>
      <c r="AD13" s="1" t="s">
        <v>44</v>
      </c>
      <c r="AE13" s="1"/>
      <c r="AF13" s="1" t="s">
        <v>61</v>
      </c>
      <c r="AG13" s="1"/>
      <c r="AH13" s="223">
        <f>IF(Table1[[#This Row],[Dev Pmt]]="",Table1[[#This Row],[YR0 开发费用]]-0,Table1[[#This Row],[YR0 开发费用]]-Table1[[#This Row],[Dev Pmt]])</f>
        <v>4620</v>
      </c>
    </row>
    <row r="14" spans="1:34" ht="15.75" hidden="1" customHeight="1" x14ac:dyDescent="0.4">
      <c r="A14" s="222">
        <v>0</v>
      </c>
      <c r="B14" s="1" t="s">
        <v>34</v>
      </c>
      <c r="C14" s="2" t="s">
        <v>112</v>
      </c>
      <c r="D14" s="196" t="s">
        <v>113</v>
      </c>
      <c r="E14" s="5" t="s">
        <v>37</v>
      </c>
      <c r="F14" s="12" t="s">
        <v>38</v>
      </c>
      <c r="G14" s="5" t="s">
        <v>39</v>
      </c>
      <c r="H14" s="5">
        <v>24</v>
      </c>
      <c r="I14" s="5" t="s">
        <v>52</v>
      </c>
      <c r="J14" s="5" t="s">
        <v>41</v>
      </c>
      <c r="K14" s="1" t="s">
        <v>114</v>
      </c>
      <c r="L14" s="5">
        <v>20</v>
      </c>
      <c r="M14" s="5" t="str">
        <f t="shared" si="0"/>
        <v>2526</v>
      </c>
      <c r="N14" s="1">
        <f t="shared" si="6"/>
        <v>6600</v>
      </c>
      <c r="O14" s="1">
        <f>N14*0.2</f>
        <v>1320</v>
      </c>
      <c r="P14" s="1">
        <v>100</v>
      </c>
      <c r="Q14" s="194">
        <f>N14*0.7</f>
        <v>4620</v>
      </c>
      <c r="R14" s="1">
        <f t="shared" si="2"/>
        <v>1320</v>
      </c>
      <c r="S14" s="1">
        <f t="shared" si="5"/>
        <v>50</v>
      </c>
      <c r="T14" s="1" t="s">
        <v>115</v>
      </c>
      <c r="U14" s="12" t="s">
        <v>111</v>
      </c>
      <c r="V14" s="177" t="s">
        <v>44</v>
      </c>
      <c r="W14" s="178" t="s">
        <v>44</v>
      </c>
      <c r="X14" s="1" t="str">
        <f ca="1">IF(
    Table1[[#This Row],[ID]] = 0, "Cancelled",
    IF(
        Table1[[#This Row],[交付YRQTR]] = "TBD", "TBD",
IF(
            ISBLANK(Table1[[#This Row],[计划开始时间]]), "Not Started",
        IF(
            AND(
                NOT(ISBLANK(Table1[[#This Row],[计划开始时间]])),
                Table1[[#This Row],[计划开始时间]] &lt;= TODAY(),
                NOT(ISBLANK(Table1[[#This Row],[结束日期]])),
                Table1[[#This Row],[结束日期]] &lt;= TODAY()
            ),
            "Completed",
            IF(
                OR(
                    AND(
                        Table1[[#This Row],[计划开始时间]] &lt;= TODAY(),
                        ISBLANK(Table1[[#This Row],[结束日期]])
                    ),
                    AND(
                        Table1[[#This Row],[计划开始时间]] &lt;= TODAY(),
                        Table1[[#This Row],[结束日期]] &gt;= TODAY()
                    )
                ),
                "In Progress",
                "Not Started"
            )
        )
    )
))</f>
        <v>Cancelled</v>
      </c>
      <c r="Y14" s="2"/>
      <c r="Z14" s="302"/>
      <c r="AA14" s="302"/>
      <c r="AB14" s="1" t="s">
        <v>44</v>
      </c>
      <c r="AC14" s="161" t="str">
        <f>IF(OR(Table1[[#This Row],[Dev Pmt]]=0,Table1[[#This Row],[Dev Pmt]]=""),"","2024/9/27")</f>
        <v/>
      </c>
      <c r="AD14" s="1" t="s">
        <v>44</v>
      </c>
      <c r="AE14" s="1"/>
      <c r="AF14" s="1" t="s">
        <v>61</v>
      </c>
      <c r="AG14" s="1"/>
      <c r="AH14" s="223">
        <f>IF(Table1[[#This Row],[Dev Pmt]]="",Table1[[#This Row],[YR0 开发费用]]-0,Table1[[#This Row],[YR0 开发费用]]-Table1[[#This Row],[Dev Pmt]])</f>
        <v>4620</v>
      </c>
    </row>
    <row r="15" spans="1:34" ht="15.75" hidden="1" customHeight="1" x14ac:dyDescent="0.4">
      <c r="A15" s="222">
        <v>0</v>
      </c>
      <c r="B15" s="230" t="s">
        <v>116</v>
      </c>
      <c r="C15" s="306" t="s">
        <v>117</v>
      </c>
      <c r="D15" s="196" t="s">
        <v>118</v>
      </c>
      <c r="E15" s="5" t="s">
        <v>119</v>
      </c>
      <c r="F15" s="12" t="s">
        <v>120</v>
      </c>
      <c r="G15" s="5" t="s">
        <v>39</v>
      </c>
      <c r="H15" s="5"/>
      <c r="I15" s="5" t="s">
        <v>40</v>
      </c>
      <c r="J15" s="5" t="s">
        <v>65</v>
      </c>
      <c r="K15" s="1" t="s">
        <v>118</v>
      </c>
      <c r="L15" s="5">
        <v>40</v>
      </c>
      <c r="M15" s="5" t="str">
        <f t="shared" si="0"/>
        <v>2526</v>
      </c>
      <c r="N15" s="1">
        <f t="shared" si="6"/>
        <v>13200</v>
      </c>
      <c r="O15" s="1">
        <f>L15*330*0.2</f>
        <v>2640</v>
      </c>
      <c r="P15" s="1">
        <f>100</f>
        <v>100</v>
      </c>
      <c r="Q15" s="194">
        <f>N15*0.7</f>
        <v>9240</v>
      </c>
      <c r="R15" s="1">
        <f t="shared" si="2"/>
        <v>2640</v>
      </c>
      <c r="S15" s="1">
        <f t="shared" si="5"/>
        <v>50</v>
      </c>
      <c r="T15" s="1" t="s">
        <v>121</v>
      </c>
      <c r="U15" s="1" t="str">
        <f>IF(OR(ISBLANK(Table1[[#This Row],[起始日期]]),Table1[[#This Row],[起始日期]]=""),RIGHT(YEAR(EDATE(Table1[[#This Row],[计划开始时间]],-3)),2) &amp; RIGHT(YEAR(EDATE(Table1[[#This Row],[计划开始时间]],-3))+1,2) &amp; " Q" &amp; ROUNDUP(MONTH(EDATE(Table1[[#This Row],[计划开始时间]],-3))/3,0),RIGHT(YEAR(EDATE(Table1[[#This Row],[起始日期]],-3)),2) &amp; RIGHT(YEAR(EDATE(Table1[[#This Row],[起始日期]],-3))+1,2) &amp; " Q" &amp; ROUNDUP(MONTH(EDATE(Table1[[#This Row],[起始日期]],-3))/3,0))</f>
        <v>2526 Q3</v>
      </c>
      <c r="V15" s="177">
        <v>45992</v>
      </c>
      <c r="W15" s="178" t="s">
        <v>44</v>
      </c>
      <c r="X15" s="1" t="str">
        <f ca="1">IF(
    Table1[[#This Row],[ID]] = 0, "Cancelled",
    IF(
        Table1[[#This Row],[交付YRQTR]] = "TBD", "TBD",
IF(
            ISBLANK(Table1[[#This Row],[计划开始时间]]), "Not Started",
        IF(
            AND(
                NOT(ISBLANK(Table1[[#This Row],[计划开始时间]])),
                Table1[[#This Row],[计划开始时间]] &lt;= TODAY(),
                NOT(ISBLANK(Table1[[#This Row],[结束日期]])),
                Table1[[#This Row],[结束日期]] &lt;= TODAY()
            ),
            "Completed",
            IF(
                OR(
                    AND(
                        Table1[[#This Row],[计划开始时间]] &lt;= TODAY(),
                        ISBLANK(Table1[[#This Row],[结束日期]])
                    ),
                    AND(
                        Table1[[#This Row],[计划开始时间]] &lt;= TODAY(),
                        Table1[[#This Row],[结束日期]] &gt;= TODAY()
                    )
                ),
                "In Progress",
                "Not Started"
            )
        )
    )
))</f>
        <v>Cancelled</v>
      </c>
      <c r="Y15" s="2"/>
      <c r="Z15" s="302">
        <v>46113</v>
      </c>
      <c r="AA15" s="302">
        <v>46203</v>
      </c>
      <c r="AB15" s="1">
        <f>Table1[[#This Row],[YR0 开发费用]]</f>
        <v>9240</v>
      </c>
      <c r="AC15" s="213">
        <v>45776</v>
      </c>
      <c r="AD15" s="1" t="s">
        <v>44</v>
      </c>
      <c r="AE15" s="1"/>
      <c r="AF15" s="1" t="s">
        <v>55</v>
      </c>
      <c r="AG15" s="1"/>
      <c r="AH15" s="223">
        <f>IF(Table1[[#This Row],[Dev Pmt]]="",Table1[[#This Row],[YR0 开发费用]]-0,Table1[[#This Row],[YR0 开发费用]]-Table1[[#This Row],[Dev Pmt]])</f>
        <v>0</v>
      </c>
    </row>
    <row r="16" spans="1:34" ht="15.75" hidden="1" customHeight="1" x14ac:dyDescent="0.4">
      <c r="A16" s="222">
        <v>0</v>
      </c>
      <c r="B16" s="1" t="s">
        <v>122</v>
      </c>
      <c r="C16" s="1" t="s">
        <v>123</v>
      </c>
      <c r="D16" s="193" t="s">
        <v>124</v>
      </c>
      <c r="E16" s="5" t="s">
        <v>119</v>
      </c>
      <c r="F16" s="12" t="s">
        <v>120</v>
      </c>
      <c r="G16" s="5" t="s">
        <v>94</v>
      </c>
      <c r="H16" s="5">
        <v>15</v>
      </c>
      <c r="I16" s="5" t="s">
        <v>88</v>
      </c>
      <c r="J16" s="5" t="s">
        <v>65</v>
      </c>
      <c r="K16" s="2" t="s">
        <v>125</v>
      </c>
      <c r="L16" s="5">
        <v>60</v>
      </c>
      <c r="M16" s="5" t="str">
        <f t="shared" si="0"/>
        <v>2526</v>
      </c>
      <c r="N16" s="1">
        <f t="shared" si="6"/>
        <v>19800</v>
      </c>
      <c r="O16" s="1">
        <f t="shared" ref="O16:O23" si="7">N16*0.2</f>
        <v>3960</v>
      </c>
      <c r="P16" s="1">
        <v>100</v>
      </c>
      <c r="Q16" s="234">
        <f t="shared" ref="Q16:Q22" si="8">N16</f>
        <v>19800</v>
      </c>
      <c r="R16" s="193">
        <f t="shared" si="2"/>
        <v>3960</v>
      </c>
      <c r="S16" s="193">
        <f t="shared" si="5"/>
        <v>50</v>
      </c>
      <c r="T16" s="1" t="s">
        <v>123</v>
      </c>
      <c r="U16" s="1" t="s">
        <v>111</v>
      </c>
      <c r="V16" s="177" t="s">
        <v>44</v>
      </c>
      <c r="W16" s="178" t="s">
        <v>44</v>
      </c>
      <c r="X16" s="1" t="str">
        <f ca="1">IF(
    Table1[[#This Row],[ID]] = 0, "Cancelled",
    IF(
        Table1[[#This Row],[交付YRQTR]] = "TBD", "TBD",
IF(
            ISBLANK(Table1[[#This Row],[计划开始时间]]), "Not Started",
        IF(
            AND(
                NOT(ISBLANK(Table1[[#This Row],[计划开始时间]])),
                Table1[[#This Row],[计划开始时间]] &lt;= TODAY(),
                NOT(ISBLANK(Table1[[#This Row],[结束日期]])),
                Table1[[#This Row],[结束日期]] &lt;= TODAY()
            ),
            "Completed",
            IF(
                OR(
                    AND(
                        Table1[[#This Row],[计划开始时间]] &lt;= TODAY(),
                        ISBLANK(Table1[[#This Row],[结束日期]])
                    ),
                    AND(
                        Table1[[#This Row],[计划开始时间]] &lt;= TODAY(),
                        Table1[[#This Row],[结束日期]] &gt;= TODAY()
                    )
                ),
                "In Progress",
                "Not Started"
            )
        )
    )
))</f>
        <v>Cancelled</v>
      </c>
      <c r="Y16" s="2"/>
      <c r="Z16" s="302"/>
      <c r="AA16" s="302"/>
      <c r="AB16" s="1" t="s">
        <v>44</v>
      </c>
      <c r="AC16" s="213"/>
      <c r="AD16" s="1" t="s">
        <v>44</v>
      </c>
      <c r="AE16" s="1"/>
      <c r="AF16" s="1" t="s">
        <v>61</v>
      </c>
      <c r="AG16" s="1"/>
      <c r="AH16" s="223">
        <f>IF(Table1[[#This Row],[Dev Pmt]]="",Table1[[#This Row],[YR0 开发费用]]-0,Table1[[#This Row],[YR0 开发费用]]-Table1[[#This Row],[Dev Pmt]])</f>
        <v>19800</v>
      </c>
    </row>
    <row r="17" spans="1:34" ht="15.75" hidden="1" customHeight="1" x14ac:dyDescent="0.4">
      <c r="A17" s="222">
        <v>0</v>
      </c>
      <c r="B17" s="1" t="s">
        <v>122</v>
      </c>
      <c r="C17" s="1" t="s">
        <v>126</v>
      </c>
      <c r="D17" s="193" t="s">
        <v>124</v>
      </c>
      <c r="E17" s="5" t="s">
        <v>119</v>
      </c>
      <c r="F17" s="12" t="s">
        <v>120</v>
      </c>
      <c r="G17" s="5" t="s">
        <v>94</v>
      </c>
      <c r="H17" s="5">
        <v>26</v>
      </c>
      <c r="I17" s="5" t="s">
        <v>88</v>
      </c>
      <c r="J17" s="5" t="s">
        <v>65</v>
      </c>
      <c r="K17" s="2" t="s">
        <v>127</v>
      </c>
      <c r="L17" s="5">
        <v>60</v>
      </c>
      <c r="M17" s="5" t="str">
        <f t="shared" si="0"/>
        <v>2627</v>
      </c>
      <c r="N17" s="1">
        <f t="shared" si="6"/>
        <v>19800</v>
      </c>
      <c r="O17" s="1">
        <f t="shared" si="7"/>
        <v>3960</v>
      </c>
      <c r="P17" s="1">
        <v>100</v>
      </c>
      <c r="Q17" s="234">
        <f t="shared" si="8"/>
        <v>19800</v>
      </c>
      <c r="R17" s="193">
        <f t="shared" si="2"/>
        <v>3960</v>
      </c>
      <c r="S17" s="193">
        <f t="shared" si="5"/>
        <v>50</v>
      </c>
      <c r="T17" s="1" t="s">
        <v>126</v>
      </c>
      <c r="U17" s="1" t="s">
        <v>128</v>
      </c>
      <c r="V17" s="177" t="s">
        <v>44</v>
      </c>
      <c r="W17" s="178" t="s">
        <v>44</v>
      </c>
      <c r="X17" s="1" t="str">
        <f ca="1">IF(
    Table1[[#This Row],[ID]] = 0, "Cancelled",
    IF(
        Table1[[#This Row],[交付YRQTR]] = "TBD", "TBD",
IF(
            ISBLANK(Table1[[#This Row],[计划开始时间]]), "Not Started",
        IF(
            AND(
                NOT(ISBLANK(Table1[[#This Row],[计划开始时间]])),
                Table1[[#This Row],[计划开始时间]] &lt;= TODAY(),
                NOT(ISBLANK(Table1[[#This Row],[结束日期]])),
                Table1[[#This Row],[结束日期]] &lt;= TODAY()
            ),
            "Completed",
            IF(
                OR(
                    AND(
                        Table1[[#This Row],[计划开始时间]] &lt;= TODAY(),
                        ISBLANK(Table1[[#This Row],[结束日期]])
                    ),
                    AND(
                        Table1[[#This Row],[计划开始时间]] &lt;= TODAY(),
                        Table1[[#This Row],[结束日期]] &gt;= TODAY()
                    )
                ),
                "In Progress",
                "Not Started"
            )
        )
    )
))</f>
        <v>Cancelled</v>
      </c>
      <c r="Y17" s="2"/>
      <c r="Z17" s="302"/>
      <c r="AA17" s="302"/>
      <c r="AB17" s="1" t="s">
        <v>44</v>
      </c>
      <c r="AC17" s="198"/>
      <c r="AD17" s="1" t="s">
        <v>44</v>
      </c>
      <c r="AE17" s="1"/>
      <c r="AF17" s="1" t="s">
        <v>74</v>
      </c>
      <c r="AG17" s="1"/>
      <c r="AH17" s="223">
        <f>IF(Table1[[#This Row],[Dev Pmt]]="",Table1[[#This Row],[YR0 开发费用]]-0,Table1[[#This Row],[YR0 开发费用]]-Table1[[#This Row],[Dev Pmt]])</f>
        <v>19800</v>
      </c>
    </row>
    <row r="18" spans="1:34" ht="15.75" hidden="1" customHeight="1" x14ac:dyDescent="0.4">
      <c r="A18" s="222">
        <v>0</v>
      </c>
      <c r="B18" s="1" t="s">
        <v>129</v>
      </c>
      <c r="C18" s="1" t="s">
        <v>130</v>
      </c>
      <c r="D18" s="193" t="s">
        <v>131</v>
      </c>
      <c r="E18" s="5" t="s">
        <v>132</v>
      </c>
      <c r="F18" s="12" t="s">
        <v>133</v>
      </c>
      <c r="G18" s="5" t="s">
        <v>88</v>
      </c>
      <c r="H18" s="5">
        <v>17</v>
      </c>
      <c r="I18" s="5" t="s">
        <v>88</v>
      </c>
      <c r="J18" s="5" t="s">
        <v>65</v>
      </c>
      <c r="K18" s="2" t="s">
        <v>134</v>
      </c>
      <c r="L18" s="5">
        <v>20</v>
      </c>
      <c r="M18" s="5" t="str">
        <f t="shared" si="0"/>
        <v>2526</v>
      </c>
      <c r="N18" s="1">
        <f t="shared" si="6"/>
        <v>6600</v>
      </c>
      <c r="O18" s="1">
        <f t="shared" si="7"/>
        <v>1320</v>
      </c>
      <c r="P18" s="1">
        <v>100</v>
      </c>
      <c r="Q18" s="234">
        <f t="shared" si="8"/>
        <v>6600</v>
      </c>
      <c r="R18" s="1">
        <f t="shared" si="2"/>
        <v>1320</v>
      </c>
      <c r="S18" s="1">
        <f t="shared" si="5"/>
        <v>50</v>
      </c>
      <c r="T18" s="1" t="s">
        <v>130</v>
      </c>
      <c r="U18" s="1" t="s">
        <v>135</v>
      </c>
      <c r="V18" s="177" t="s">
        <v>44</v>
      </c>
      <c r="W18" s="178" t="s">
        <v>44</v>
      </c>
      <c r="X18" s="1" t="str">
        <f ca="1">IF(
    Table1[[#This Row],[ID]] = 0, "Cancelled",
    IF(
        Table1[[#This Row],[交付YRQTR]] = "TBD", "TBD",
IF(
            ISBLANK(Table1[[#This Row],[计划开始时间]]), "Not Started",
        IF(
            AND(
                NOT(ISBLANK(Table1[[#This Row],[计划开始时间]])),
                Table1[[#This Row],[计划开始时间]] &lt;= TODAY(),
                NOT(ISBLANK(Table1[[#This Row],[结束日期]])),
                Table1[[#This Row],[结束日期]] &lt;= TODAY()
            ),
            "Completed",
            IF(
                OR(
                    AND(
                        Table1[[#This Row],[计划开始时间]] &lt;= TODAY(),
                        ISBLANK(Table1[[#This Row],[结束日期]])
                    ),
                    AND(
                        Table1[[#This Row],[计划开始时间]] &lt;= TODAY(),
                        Table1[[#This Row],[结束日期]] &gt;= TODAY()
                    )
                ),
                "In Progress",
                "Not Started"
            )
        )
    )
))</f>
        <v>Cancelled</v>
      </c>
      <c r="Y18" s="2"/>
      <c r="Z18" s="302"/>
      <c r="AA18" s="302"/>
      <c r="AB18" s="1" t="s">
        <v>44</v>
      </c>
      <c r="AC18" s="213"/>
      <c r="AD18" s="1" t="s">
        <v>44</v>
      </c>
      <c r="AE18" s="1"/>
      <c r="AF18" s="1" t="s">
        <v>68</v>
      </c>
      <c r="AG18" s="1"/>
      <c r="AH18" s="223">
        <f>IF(Table1[[#This Row],[Dev Pmt]]="",Table1[[#This Row],[YR0 开发费用]]-0,Table1[[#This Row],[YR0 开发费用]]-Table1[[#This Row],[Dev Pmt]])</f>
        <v>6600</v>
      </c>
    </row>
    <row r="19" spans="1:34" ht="15.75" hidden="1" customHeight="1" x14ac:dyDescent="0.4">
      <c r="A19" s="222">
        <v>0</v>
      </c>
      <c r="B19" s="1" t="s">
        <v>129</v>
      </c>
      <c r="C19" s="1" t="s">
        <v>136</v>
      </c>
      <c r="D19" s="193" t="s">
        <v>137</v>
      </c>
      <c r="E19" s="5" t="s">
        <v>132</v>
      </c>
      <c r="F19" s="12" t="s">
        <v>133</v>
      </c>
      <c r="G19" s="5" t="s">
        <v>88</v>
      </c>
      <c r="H19" s="5">
        <v>17</v>
      </c>
      <c r="I19" s="5" t="s">
        <v>88</v>
      </c>
      <c r="J19" s="5" t="s">
        <v>65</v>
      </c>
      <c r="K19" s="1" t="s">
        <v>138</v>
      </c>
      <c r="L19" s="5">
        <v>20</v>
      </c>
      <c r="M19" s="5" t="str">
        <f t="shared" si="0"/>
        <v>2526</v>
      </c>
      <c r="N19" s="1">
        <f t="shared" si="6"/>
        <v>6600</v>
      </c>
      <c r="O19" s="1">
        <f t="shared" si="7"/>
        <v>1320</v>
      </c>
      <c r="P19" s="1">
        <v>100</v>
      </c>
      <c r="Q19" s="234">
        <f t="shared" si="8"/>
        <v>6600</v>
      </c>
      <c r="R19" s="193">
        <f t="shared" si="2"/>
        <v>1320</v>
      </c>
      <c r="S19" s="193">
        <f t="shared" si="5"/>
        <v>50</v>
      </c>
      <c r="T19" s="1" t="s">
        <v>136</v>
      </c>
      <c r="U19" s="1" t="s">
        <v>67</v>
      </c>
      <c r="V19" s="177" t="s">
        <v>44</v>
      </c>
      <c r="W19" s="178" t="s">
        <v>44</v>
      </c>
      <c r="X19" s="1" t="str">
        <f ca="1">IF(
    Table1[[#This Row],[ID]] = 0, "Cancelled",
    IF(
        Table1[[#This Row],[交付YRQTR]] = "TBD", "TBD",
IF(
            ISBLANK(Table1[[#This Row],[计划开始时间]]), "Not Started",
        IF(
            AND(
                NOT(ISBLANK(Table1[[#This Row],[计划开始时间]])),
                Table1[[#This Row],[计划开始时间]] &lt;= TODAY(),
                NOT(ISBLANK(Table1[[#This Row],[结束日期]])),
                Table1[[#This Row],[结束日期]] &lt;= TODAY()
            ),
            "Completed",
            IF(
                OR(
                    AND(
                        Table1[[#This Row],[计划开始时间]] &lt;= TODAY(),
                        ISBLANK(Table1[[#This Row],[结束日期]])
                    ),
                    AND(
                        Table1[[#This Row],[计划开始时间]] &lt;= TODAY(),
                        Table1[[#This Row],[结束日期]] &gt;= TODAY()
                    )
                ),
                "In Progress",
                "Not Started"
            )
        )
    )
))</f>
        <v>Cancelled</v>
      </c>
      <c r="Y19" s="2"/>
      <c r="Z19" s="302"/>
      <c r="AA19" s="302"/>
      <c r="AB19" s="1" t="s">
        <v>44</v>
      </c>
      <c r="AC19" s="213"/>
      <c r="AD19" s="1" t="s">
        <v>44</v>
      </c>
      <c r="AE19" s="1"/>
      <c r="AF19" s="1" t="s">
        <v>68</v>
      </c>
      <c r="AG19" s="1"/>
      <c r="AH19" s="223">
        <f>IF(Table1[[#This Row],[Dev Pmt]]="",Table1[[#This Row],[YR0 开发费用]]-0,Table1[[#This Row],[YR0 开发费用]]-Table1[[#This Row],[Dev Pmt]])</f>
        <v>6600</v>
      </c>
    </row>
    <row r="20" spans="1:34" ht="15.75" hidden="1" customHeight="1" x14ac:dyDescent="0.4">
      <c r="A20" s="222">
        <v>0</v>
      </c>
      <c r="B20" s="1" t="s">
        <v>129</v>
      </c>
      <c r="C20" s="1" t="s">
        <v>139</v>
      </c>
      <c r="D20" s="193" t="s">
        <v>140</v>
      </c>
      <c r="E20" s="5" t="s">
        <v>132</v>
      </c>
      <c r="F20" s="12" t="s">
        <v>133</v>
      </c>
      <c r="G20" s="5" t="s">
        <v>88</v>
      </c>
      <c r="H20" s="5">
        <v>17</v>
      </c>
      <c r="I20" s="5" t="s">
        <v>88</v>
      </c>
      <c r="J20" s="5" t="s">
        <v>65</v>
      </c>
      <c r="K20" s="1" t="s">
        <v>141</v>
      </c>
      <c r="L20" s="5">
        <v>20</v>
      </c>
      <c r="M20" s="5" t="str">
        <f t="shared" si="0"/>
        <v>2526</v>
      </c>
      <c r="N20" s="1">
        <f t="shared" si="6"/>
        <v>6600</v>
      </c>
      <c r="O20" s="1">
        <f t="shared" si="7"/>
        <v>1320</v>
      </c>
      <c r="P20" s="1">
        <v>100</v>
      </c>
      <c r="Q20" s="234">
        <f t="shared" si="8"/>
        <v>6600</v>
      </c>
      <c r="R20" s="1">
        <f t="shared" si="2"/>
        <v>1320</v>
      </c>
      <c r="S20" s="1">
        <f t="shared" si="5"/>
        <v>50</v>
      </c>
      <c r="T20" s="1" t="s">
        <v>139</v>
      </c>
      <c r="U20" s="1" t="s">
        <v>67</v>
      </c>
      <c r="V20" s="177" t="s">
        <v>44</v>
      </c>
      <c r="W20" s="178" t="s">
        <v>44</v>
      </c>
      <c r="X20" s="1" t="str">
        <f ca="1">IF(
    Table1[[#This Row],[ID]] = 0, "Cancelled",
    IF(
        Table1[[#This Row],[交付YRQTR]] = "TBD", "TBD",
IF(
            ISBLANK(Table1[[#This Row],[计划开始时间]]), "Not Started",
        IF(
            AND(
                NOT(ISBLANK(Table1[[#This Row],[计划开始时间]])),
                Table1[[#This Row],[计划开始时间]] &lt;= TODAY(),
                NOT(ISBLANK(Table1[[#This Row],[结束日期]])),
                Table1[[#This Row],[结束日期]] &lt;= TODAY()
            ),
            "Completed",
            IF(
                OR(
                    AND(
                        Table1[[#This Row],[计划开始时间]] &lt;= TODAY(),
                        ISBLANK(Table1[[#This Row],[结束日期]])
                    ),
                    AND(
                        Table1[[#This Row],[计划开始时间]] &lt;= TODAY(),
                        Table1[[#This Row],[结束日期]] &gt;= TODAY()
                    )
                ),
                "In Progress",
                "Not Started"
            )
        )
    )
))</f>
        <v>Cancelled</v>
      </c>
      <c r="Y20" s="2"/>
      <c r="Z20" s="302"/>
      <c r="AA20" s="302"/>
      <c r="AB20" s="1" t="s">
        <v>44</v>
      </c>
      <c r="AC20" s="213"/>
      <c r="AD20" s="1" t="s">
        <v>44</v>
      </c>
      <c r="AE20" s="1"/>
      <c r="AF20" s="1" t="s">
        <v>68</v>
      </c>
      <c r="AG20" s="1"/>
      <c r="AH20" s="223">
        <f>IF(Table1[[#This Row],[Dev Pmt]]="",Table1[[#This Row],[YR0 开发费用]]-0,Table1[[#This Row],[YR0 开发费用]]-Table1[[#This Row],[Dev Pmt]])</f>
        <v>6600</v>
      </c>
    </row>
    <row r="21" spans="1:34" ht="15.75" hidden="1" customHeight="1" x14ac:dyDescent="0.4">
      <c r="A21" s="222">
        <v>0</v>
      </c>
      <c r="B21" s="1" t="s">
        <v>116</v>
      </c>
      <c r="C21" s="2" t="s">
        <v>142</v>
      </c>
      <c r="D21" s="193" t="s">
        <v>143</v>
      </c>
      <c r="E21" s="5" t="s">
        <v>119</v>
      </c>
      <c r="F21" s="12" t="s">
        <v>120</v>
      </c>
      <c r="G21" s="5" t="s">
        <v>39</v>
      </c>
      <c r="H21" s="5">
        <v>25</v>
      </c>
      <c r="I21" s="5" t="s">
        <v>88</v>
      </c>
      <c r="J21" s="5" t="s">
        <v>65</v>
      </c>
      <c r="K21" s="2"/>
      <c r="L21" s="5">
        <v>60</v>
      </c>
      <c r="M21" s="5" t="str">
        <f t="shared" si="0"/>
        <v>2526</v>
      </c>
      <c r="N21" s="1">
        <f t="shared" si="6"/>
        <v>19800</v>
      </c>
      <c r="O21" s="1">
        <f t="shared" si="7"/>
        <v>3960</v>
      </c>
      <c r="P21" s="1">
        <v>100</v>
      </c>
      <c r="Q21" s="234">
        <f t="shared" si="8"/>
        <v>19800</v>
      </c>
      <c r="R21" s="1">
        <f t="shared" si="2"/>
        <v>3960</v>
      </c>
      <c r="S21" s="1">
        <f t="shared" si="5"/>
        <v>50</v>
      </c>
      <c r="T21" s="1" t="s">
        <v>144</v>
      </c>
      <c r="U21" s="1" t="s">
        <v>60</v>
      </c>
      <c r="V21" s="177" t="s">
        <v>44</v>
      </c>
      <c r="W21" s="178" t="s">
        <v>44</v>
      </c>
      <c r="X21" s="1" t="str">
        <f ca="1">IF(
    Table1[[#This Row],[ID]] = 0, "Cancelled",
    IF(
        Table1[[#This Row],[交付YRQTR]] = "TBD", "TBD",
IF(
            ISBLANK(Table1[[#This Row],[计划开始时间]]), "Not Started",
        IF(
            AND(
                NOT(ISBLANK(Table1[[#This Row],[计划开始时间]])),
                Table1[[#This Row],[计划开始时间]] &lt;= TODAY(),
                NOT(ISBLANK(Table1[[#This Row],[结束日期]])),
                Table1[[#This Row],[结束日期]] &lt;= TODAY()
            ),
            "Completed",
            IF(
                OR(
                    AND(
                        Table1[[#This Row],[计划开始时间]] &lt;= TODAY(),
                        ISBLANK(Table1[[#This Row],[结束日期]])
                    ),
                    AND(
                        Table1[[#This Row],[计划开始时间]] &lt;= TODAY(),
                        Table1[[#This Row],[结束日期]] &gt;= TODAY()
                    )
                ),
                "In Progress",
                "Not Started"
            )
        )
    )
))</f>
        <v>Cancelled</v>
      </c>
      <c r="Y21" s="2"/>
      <c r="Z21" s="302"/>
      <c r="AA21" s="302"/>
      <c r="AB21" s="1" t="s">
        <v>44</v>
      </c>
      <c r="AC21" s="213"/>
      <c r="AD21" s="1" t="s">
        <v>44</v>
      </c>
      <c r="AE21" s="1"/>
      <c r="AF21" s="1" t="s">
        <v>61</v>
      </c>
      <c r="AG21" s="1"/>
      <c r="AH21" s="223">
        <f>IF(Table1[[#This Row],[Dev Pmt]]="",Table1[[#This Row],[YR0 开发费用]]-0,Table1[[#This Row],[YR0 开发费用]]-Table1[[#This Row],[Dev Pmt]])</f>
        <v>19800</v>
      </c>
    </row>
    <row r="22" spans="1:34" ht="14.25" hidden="1" customHeight="1" x14ac:dyDescent="0.4">
      <c r="A22" s="222">
        <v>0</v>
      </c>
      <c r="B22" s="1" t="s">
        <v>145</v>
      </c>
      <c r="C22" s="2" t="s">
        <v>146</v>
      </c>
      <c r="D22" s="1" t="s">
        <v>147</v>
      </c>
      <c r="E22" s="5" t="s">
        <v>148</v>
      </c>
      <c r="F22" s="12" t="s">
        <v>149</v>
      </c>
      <c r="G22" s="5" t="s">
        <v>94</v>
      </c>
      <c r="H22" s="5">
        <v>23</v>
      </c>
      <c r="I22" s="5" t="s">
        <v>40</v>
      </c>
      <c r="J22" s="5" t="s">
        <v>65</v>
      </c>
      <c r="K22" s="2"/>
      <c r="L22" s="5">
        <v>50</v>
      </c>
      <c r="M22" s="5" t="str">
        <f t="shared" si="0"/>
        <v>2526</v>
      </c>
      <c r="N22" s="1">
        <f t="shared" si="6"/>
        <v>16500</v>
      </c>
      <c r="O22" s="1">
        <f t="shared" si="7"/>
        <v>3300</v>
      </c>
      <c r="P22" s="1">
        <v>100</v>
      </c>
      <c r="Q22" s="234">
        <f t="shared" si="8"/>
        <v>16500</v>
      </c>
      <c r="R22" s="1">
        <f t="shared" si="2"/>
        <v>3300</v>
      </c>
      <c r="S22" s="1">
        <f t="shared" si="5"/>
        <v>50</v>
      </c>
      <c r="T22" s="1" t="s">
        <v>150</v>
      </c>
      <c r="U22" s="1" t="s">
        <v>67</v>
      </c>
      <c r="V22" s="177" t="s">
        <v>44</v>
      </c>
      <c r="W22" s="178" t="s">
        <v>44</v>
      </c>
      <c r="X22" s="1" t="str">
        <f ca="1">IF(
    Table1[[#This Row],[ID]] = 0, "Cancelled",
    IF(
        Table1[[#This Row],[交付YRQTR]] = "TBD", "TBD",
IF(
            ISBLANK(Table1[[#This Row],[计划开始时间]]), "Not Started",
        IF(
            AND(
                NOT(ISBLANK(Table1[[#This Row],[计划开始时间]])),
                Table1[[#This Row],[计划开始时间]] &lt;= TODAY(),
                NOT(ISBLANK(Table1[[#This Row],[结束日期]])),
                Table1[[#This Row],[结束日期]] &lt;= TODAY()
            ),
            "Completed",
            IF(
                OR(
                    AND(
                        Table1[[#This Row],[计划开始时间]] &lt;= TODAY(),
                        ISBLANK(Table1[[#This Row],[结束日期]])
                    ),
                    AND(
                        Table1[[#This Row],[计划开始时间]] &lt;= TODAY(),
                        Table1[[#This Row],[结束日期]] &gt;= TODAY()
                    )
                ),
                "In Progress",
                "Not Started"
            )
        )
    )
))</f>
        <v>Cancelled</v>
      </c>
      <c r="Y22" s="2"/>
      <c r="Z22" s="302"/>
      <c r="AA22" s="302"/>
      <c r="AB22" s="1" t="s">
        <v>44</v>
      </c>
      <c r="AC22" s="213"/>
      <c r="AD22" s="1" t="s">
        <v>44</v>
      </c>
      <c r="AE22" s="1"/>
      <c r="AF22" s="1" t="s">
        <v>68</v>
      </c>
      <c r="AG22" s="1"/>
      <c r="AH22" s="223">
        <f>IF(Table1[[#This Row],[Dev Pmt]]="",Table1[[#This Row],[YR0 开发费用]]-0,Table1[[#This Row],[YR0 开发费用]]-Table1[[#This Row],[Dev Pmt]])</f>
        <v>16500</v>
      </c>
    </row>
    <row r="23" spans="1:34" ht="14.25" hidden="1" customHeight="1" x14ac:dyDescent="0.4">
      <c r="A23" s="222">
        <v>0</v>
      </c>
      <c r="B23" s="1" t="s">
        <v>151</v>
      </c>
      <c r="C23" s="321" t="s">
        <v>152</v>
      </c>
      <c r="D23" s="1" t="s">
        <v>153</v>
      </c>
      <c r="E23" s="5" t="s">
        <v>148</v>
      </c>
      <c r="F23" s="12" t="s">
        <v>149</v>
      </c>
      <c r="G23" s="5" t="s">
        <v>94</v>
      </c>
      <c r="H23" s="5"/>
      <c r="I23" s="5" t="s">
        <v>88</v>
      </c>
      <c r="J23" s="5" t="s">
        <v>65</v>
      </c>
      <c r="K23" s="2" t="s">
        <v>154</v>
      </c>
      <c r="L23" s="5"/>
      <c r="M23" s="5" t="str">
        <f t="shared" si="0"/>
        <v>TBD</v>
      </c>
      <c r="N23" s="1">
        <f>L23*360</f>
        <v>0</v>
      </c>
      <c r="O23" s="1">
        <f t="shared" si="7"/>
        <v>0</v>
      </c>
      <c r="P23" s="1">
        <v>100</v>
      </c>
      <c r="Q23" s="194">
        <f>N23*0.7</f>
        <v>0</v>
      </c>
      <c r="R23" s="1">
        <f t="shared" si="2"/>
        <v>0</v>
      </c>
      <c r="S23" s="1">
        <v>0</v>
      </c>
      <c r="T23" s="1" t="s">
        <v>152</v>
      </c>
      <c r="U23" s="1" t="s">
        <v>91</v>
      </c>
      <c r="V23" s="177" t="s">
        <v>44</v>
      </c>
      <c r="W23" s="178" t="s">
        <v>44</v>
      </c>
      <c r="X23" s="1" t="str">
        <f ca="1">IF(
    Table1[[#This Row],[ID]] = 0, "Cancelled",
    IF(
        Table1[[#This Row],[交付YRQTR]] = "TBD", "TBD",
IF(
            ISBLANK(Table1[[#This Row],[计划开始时间]]), "Not Started",
        IF(
            AND(
                NOT(ISBLANK(Table1[[#This Row],[计划开始时间]])),
                Table1[[#This Row],[计划开始时间]] &lt;= TODAY(),
                NOT(ISBLANK(Table1[[#This Row],[结束日期]])),
                Table1[[#This Row],[结束日期]] &lt;= TODAY()
            ),
            "Completed",
            IF(
                OR(
                    AND(
                        Table1[[#This Row],[计划开始时间]] &lt;= TODAY(),
                        ISBLANK(Table1[[#This Row],[结束日期]])
                    ),
                    AND(
                        Table1[[#This Row],[计划开始时间]] &lt;= TODAY(),
                        Table1[[#This Row],[结束日期]] &gt;= TODAY()
                    )
                ),
                "In Progress",
                "Not Started"
            )
        )
    )
))</f>
        <v>Cancelled</v>
      </c>
      <c r="Y23" s="2"/>
      <c r="Z23" s="302"/>
      <c r="AA23" s="302"/>
      <c r="AB23" s="1" t="s">
        <v>44</v>
      </c>
      <c r="AC23" s="213"/>
      <c r="AD23" s="1" t="s">
        <v>44</v>
      </c>
      <c r="AE23" s="1"/>
      <c r="AF23" s="1"/>
      <c r="AG23" s="1"/>
      <c r="AH23" s="223">
        <f>IF(Table1[[#This Row],[Dev Pmt]]="",Table1[[#This Row],[YR0 开发费用]]-0,Table1[[#This Row],[YR0 开发费用]]-Table1[[#This Row],[Dev Pmt]])</f>
        <v>0</v>
      </c>
    </row>
    <row r="24" spans="1:34" ht="15.75" customHeight="1" x14ac:dyDescent="0.4">
      <c r="A24" s="222">
        <v>0</v>
      </c>
      <c r="B24" s="1" t="s">
        <v>47</v>
      </c>
      <c r="C24" s="2" t="s">
        <v>155</v>
      </c>
      <c r="D24" s="12" t="s">
        <v>156</v>
      </c>
      <c r="E24" s="5" t="s">
        <v>119</v>
      </c>
      <c r="F24" s="12" t="s">
        <v>157</v>
      </c>
      <c r="G24" s="5"/>
      <c r="H24" s="5"/>
      <c r="I24" s="5"/>
      <c r="J24" s="5"/>
      <c r="K24" s="1"/>
      <c r="L24" s="5">
        <v>120</v>
      </c>
      <c r="M24" s="5">
        <v>2627</v>
      </c>
      <c r="N24" s="1">
        <f>L24*330</f>
        <v>39600</v>
      </c>
      <c r="O24" s="1">
        <f t="shared" ref="O24:O46" si="9">N24*0.2</f>
        <v>7920</v>
      </c>
      <c r="P24" s="1">
        <v>100</v>
      </c>
      <c r="Q24" s="194">
        <f>N24</f>
        <v>39600</v>
      </c>
      <c r="R24" s="1">
        <f t="shared" ref="R24:R46" si="10">SUM(O24)</f>
        <v>7920</v>
      </c>
      <c r="S24" s="1">
        <f t="shared" ref="S24:S34" si="11">P24*0.5</f>
        <v>50</v>
      </c>
      <c r="T24" s="1" t="s">
        <v>158</v>
      </c>
      <c r="U24" s="1" t="s">
        <v>159</v>
      </c>
      <c r="V24" s="177"/>
      <c r="W24" s="178"/>
      <c r="X24" s="1" t="s">
        <v>160</v>
      </c>
      <c r="Y24" s="2"/>
      <c r="Z24" s="305"/>
      <c r="AA24" s="302"/>
      <c r="AB24" s="1">
        <f>Table1[[#This Row],[YR0 开发费用]]</f>
        <v>39600</v>
      </c>
      <c r="AC24" s="161">
        <v>46155</v>
      </c>
      <c r="AD24" s="1"/>
      <c r="AE24" s="1"/>
      <c r="AF24" s="1" t="s">
        <v>161</v>
      </c>
      <c r="AG24" s="1"/>
      <c r="AH24" s="223">
        <f>IF(Table1[[#This Row],[Dev Pmt]]="",Table1[[#This Row],[YR0 开发费用]]-0,Table1[[#This Row],[YR0 开发费用]]-Table1[[#This Row],[Dev Pmt]])</f>
        <v>0</v>
      </c>
    </row>
    <row r="25" spans="1:34" ht="15.75" customHeight="1" x14ac:dyDescent="0.4">
      <c r="A25" s="222">
        <v>1</v>
      </c>
      <c r="B25" s="1" t="s">
        <v>47</v>
      </c>
      <c r="C25" s="2" t="s">
        <v>162</v>
      </c>
      <c r="D25" s="2" t="s">
        <v>163</v>
      </c>
      <c r="E25" s="5" t="s">
        <v>81</v>
      </c>
      <c r="F25" s="12" t="s">
        <v>82</v>
      </c>
      <c r="G25" s="5" t="s">
        <v>39</v>
      </c>
      <c r="H25" s="5">
        <v>11</v>
      </c>
      <c r="I25" s="5" t="s">
        <v>52</v>
      </c>
      <c r="J25" s="5" t="s">
        <v>41</v>
      </c>
      <c r="K25" s="1"/>
      <c r="L25" s="5">
        <v>12</v>
      </c>
      <c r="M25" s="5" t="str">
        <f>LEFT(U25,4)</f>
        <v>2526</v>
      </c>
      <c r="N25" s="1">
        <f>L25*330</f>
        <v>3960</v>
      </c>
      <c r="O25" s="1">
        <f t="shared" si="9"/>
        <v>792</v>
      </c>
      <c r="P25" s="1">
        <v>100</v>
      </c>
      <c r="Q25" s="194">
        <f>N25*0.7</f>
        <v>2772</v>
      </c>
      <c r="R25" s="1">
        <f t="shared" si="10"/>
        <v>792</v>
      </c>
      <c r="S25" s="1">
        <f t="shared" si="11"/>
        <v>50</v>
      </c>
      <c r="T25" s="1" t="s">
        <v>164</v>
      </c>
      <c r="U25" s="1" t="str">
        <f>IF(OR(ISBLANK(Table1[[#This Row],[起始日期]]),Table1[[#This Row],[起始日期]]=""),RIGHT(YEAR(EDATE(Table1[[#This Row],[计划开始时间]],-3)),2) &amp; RIGHT(YEAR(EDATE(Table1[[#This Row],[计划开始时间]],-3))+1,2) &amp; " Q" &amp; ROUNDUP(MONTH(EDATE(Table1[[#This Row],[计划开始时间]],-3))/3,0),RIGHT(YEAR(EDATE(Table1[[#This Row],[起始日期]],-3)),2) &amp; RIGHT(YEAR(EDATE(Table1[[#This Row],[起始日期]],-3))+1,2) &amp; " Q" &amp; ROUNDUP(MONTH(EDATE(Table1[[#This Row],[起始日期]],-3))/3,0))</f>
        <v>2526 Q1</v>
      </c>
      <c r="V25" s="177">
        <v>45757</v>
      </c>
      <c r="W25" s="178">
        <v>45869</v>
      </c>
      <c r="X25" s="1" t="str">
        <f ca="1">IF(
    Table1[[#This Row],[ID]] = 0, "Cancelled",
    IF(
        Table1[[#This Row],[交付YRQTR]] = "TBD", "TBD",
IF(
            ISBLANK(Table1[[#This Row],[计划开始时间]]), "Not Started",
        IF(
            AND(
                NOT(ISBLANK(Table1[[#This Row],[计划开始时间]])),
                Table1[[#This Row],[计划开始时间]] &lt;= TODAY(),
                NOT(ISBLANK(Table1[[#This Row],[结束日期]])),
                Table1[[#This Row],[结束日期]] &lt;= TODAY()
            ),
            "Completed",
            IF(
                OR(
                    AND(
                        Table1[[#This Row],[计划开始时间]] &lt;= TODAY(),
                        ISBLANK(Table1[[#This Row],[结束日期]])
                    ),
                    AND(
                        Table1[[#This Row],[计划开始时间]] &lt;= TODAY(),
                        Table1[[#This Row],[结束日期]] &gt;= TODAY()
                    )
                ),
                "In Progress",
                "Not Started"
            )
        )
    )
))</f>
        <v>Completed</v>
      </c>
      <c r="Y25" s="191" t="s">
        <v>165</v>
      </c>
      <c r="Z25" s="302">
        <v>45754</v>
      </c>
      <c r="AA25" s="302">
        <v>45869</v>
      </c>
      <c r="AB25" s="1">
        <f>Table1[[#This Row],[YR0 开发费用]]</f>
        <v>2772</v>
      </c>
      <c r="AC25" s="213">
        <v>45776</v>
      </c>
      <c r="AD25" s="1" t="s">
        <v>44</v>
      </c>
      <c r="AE25" s="1"/>
      <c r="AF25" s="1" t="s">
        <v>55</v>
      </c>
      <c r="AG25" s="1"/>
      <c r="AH25" s="223">
        <f>IF(Table1[[#This Row],[Dev Pmt]]="",Table1[[#This Row],[YR0 开发费用]]-0,Table1[[#This Row],[YR0 开发费用]]-Table1[[#This Row],[Dev Pmt]])</f>
        <v>0</v>
      </c>
    </row>
    <row r="26" spans="1:34" ht="15.75" customHeight="1" x14ac:dyDescent="0.4">
      <c r="A26" s="222">
        <v>2</v>
      </c>
      <c r="B26" s="1" t="s">
        <v>47</v>
      </c>
      <c r="C26" s="1" t="s">
        <v>166</v>
      </c>
      <c r="D26" s="1" t="s">
        <v>167</v>
      </c>
      <c r="E26" s="5" t="s">
        <v>168</v>
      </c>
      <c r="F26" s="12" t="s">
        <v>157</v>
      </c>
      <c r="G26" s="5" t="s">
        <v>88</v>
      </c>
      <c r="H26" s="5">
        <v>1</v>
      </c>
      <c r="I26" s="5" t="s">
        <v>52</v>
      </c>
      <c r="J26" s="5" t="s">
        <v>41</v>
      </c>
      <c r="K26" s="1"/>
      <c r="L26" s="5">
        <v>15</v>
      </c>
      <c r="M26" s="5" t="str">
        <f>LEFT(U26,4)</f>
        <v>2425</v>
      </c>
      <c r="N26" s="1">
        <f>L26*360</f>
        <v>5400</v>
      </c>
      <c r="O26" s="1">
        <f t="shared" si="9"/>
        <v>1080</v>
      </c>
      <c r="P26" s="1">
        <v>100</v>
      </c>
      <c r="Q26" s="194">
        <f>N26*0.7</f>
        <v>3779.9999999999995</v>
      </c>
      <c r="R26" s="1">
        <f t="shared" si="10"/>
        <v>1080</v>
      </c>
      <c r="S26" s="1">
        <f t="shared" si="11"/>
        <v>50</v>
      </c>
      <c r="T26" s="1" t="s">
        <v>169</v>
      </c>
      <c r="U26" s="1" t="str">
        <f>IF(OR(ISBLANK(Table1[[#This Row],[起始日期]]),Table1[[#This Row],[起始日期]]=""),RIGHT(YEAR(EDATE(Table1[[#This Row],[计划开始时间]],-3)),2) &amp; RIGHT(YEAR(EDATE(Table1[[#This Row],[计划开始时间]],-3))+1,2) &amp; " Q" &amp; ROUNDUP(MONTH(EDATE(Table1[[#This Row],[计划开始时间]],-3))/3,0),RIGHT(YEAR(EDATE(Table1[[#This Row],[起始日期]],-3)),2) &amp; RIGHT(YEAR(EDATE(Table1[[#This Row],[起始日期]],-3))+1,2) &amp; " Q" &amp; ROUNDUP(MONTH(EDATE(Table1[[#This Row],[起始日期]],-3))/3,0))</f>
        <v>2425 Q2</v>
      </c>
      <c r="V26" s="177">
        <v>45505</v>
      </c>
      <c r="W26" s="178">
        <v>45545</v>
      </c>
      <c r="X26" s="1" t="str">
        <f ca="1">IF(
    Table1[[#This Row],[ID]] = 0, "Cancelled",
    IF(
        Table1[[#This Row],[交付YRQTR]] = "TBD", "TBD",
IF(
            ISBLANK(Table1[[#This Row],[计划开始时间]]), "Not Started",
        IF(
            AND(
                NOT(ISBLANK(Table1[[#This Row],[计划开始时间]])),
                Table1[[#This Row],[计划开始时间]] &lt;= TODAY(),
                NOT(ISBLANK(Table1[[#This Row],[结束日期]])),
                Table1[[#This Row],[结束日期]] &lt;= TODAY()
            ),
            "Completed",
            IF(
                OR(
                    AND(
                        Table1[[#This Row],[计划开始时间]] &lt;= TODAY(),
                        ISBLANK(Table1[[#This Row],[结束日期]])
                    ),
                    AND(
                        Table1[[#This Row],[计划开始时间]] &lt;= TODAY(),
                        Table1[[#This Row],[结束日期]] &gt;= TODAY()
                    )
                ),
                "In Progress",
                "Not Started"
            )
        )
    )
))</f>
        <v>Completed</v>
      </c>
      <c r="Y26" s="191" t="s">
        <v>170</v>
      </c>
      <c r="Z26" s="302">
        <v>45505</v>
      </c>
      <c r="AA26" s="302">
        <v>45536</v>
      </c>
      <c r="AB26" s="1">
        <f>Table1[[#This Row],[YR0 开发费用]]</f>
        <v>3779.9999999999995</v>
      </c>
      <c r="AC26" s="213">
        <v>45562</v>
      </c>
      <c r="AD26" s="1">
        <v>1130</v>
      </c>
      <c r="AE26" s="213">
        <v>45776</v>
      </c>
      <c r="AF26" s="1" t="s">
        <v>46</v>
      </c>
      <c r="AG26" s="1"/>
      <c r="AH26" s="223">
        <f>IF(Table1[[#This Row],[Dev Pmt]]="",Table1[[#This Row],[YR0 开发费用]]-0,Table1[[#This Row],[YR0 开发费用]]-Table1[[#This Row],[Dev Pmt]])</f>
        <v>0</v>
      </c>
    </row>
    <row r="27" spans="1:34" ht="15.75" customHeight="1" x14ac:dyDescent="0.4">
      <c r="A27" s="222">
        <v>3</v>
      </c>
      <c r="B27" s="1" t="s">
        <v>47</v>
      </c>
      <c r="C27" s="1" t="s">
        <v>171</v>
      </c>
      <c r="D27" s="1" t="s">
        <v>172</v>
      </c>
      <c r="E27" s="5" t="s">
        <v>87</v>
      </c>
      <c r="F27" s="12" t="s">
        <v>173</v>
      </c>
      <c r="G27" s="5" t="s">
        <v>88</v>
      </c>
      <c r="H27" s="5">
        <v>3</v>
      </c>
      <c r="I27" s="5" t="s">
        <v>40</v>
      </c>
      <c r="J27" s="5" t="s">
        <v>65</v>
      </c>
      <c r="K27" s="2" t="s">
        <v>174</v>
      </c>
      <c r="L27" s="5">
        <v>20</v>
      </c>
      <c r="M27" s="5" t="str">
        <f>LEFT(U27,4)</f>
        <v>2425</v>
      </c>
      <c r="N27" s="1">
        <f>L27*360</f>
        <v>7200</v>
      </c>
      <c r="O27" s="1">
        <f t="shared" si="9"/>
        <v>1440</v>
      </c>
      <c r="P27" s="1">
        <v>100</v>
      </c>
      <c r="Q27" s="194">
        <f>N27*0.7</f>
        <v>5040</v>
      </c>
      <c r="R27" s="1">
        <f t="shared" si="10"/>
        <v>1440</v>
      </c>
      <c r="S27" s="1">
        <f t="shared" si="11"/>
        <v>50</v>
      </c>
      <c r="T27" s="1" t="s">
        <v>175</v>
      </c>
      <c r="U27" s="1" t="str">
        <f>IF(OR(ISBLANK(Table1[[#This Row],[起始日期]]),Table1[[#This Row],[起始日期]]=""),RIGHT(YEAR(EDATE(Table1[[#This Row],[计划开始时间]],-3)),2) &amp; RIGHT(YEAR(EDATE(Table1[[#This Row],[计划开始时间]],-3))+1,2) &amp; " Q" &amp; ROUNDUP(MONTH(EDATE(Table1[[#This Row],[计划开始时间]],-3))/3,0),RIGHT(YEAR(EDATE(Table1[[#This Row],[起始日期]],-3)),2) &amp; RIGHT(YEAR(EDATE(Table1[[#This Row],[起始日期]],-3))+1,2) &amp; " Q" &amp; ROUNDUP(MONTH(EDATE(Table1[[#This Row],[起始日期]],-3))/3,0))</f>
        <v>2425 Q3</v>
      </c>
      <c r="V27" s="177">
        <v>45581</v>
      </c>
      <c r="W27" s="178">
        <v>45705</v>
      </c>
      <c r="X27" s="1" t="str">
        <f ca="1">IF(
    Table1[[#This Row],[ID]] = 0, "Cancelled",
    IF(
        Table1[[#This Row],[交付YRQTR]] = "TBD", "TBD",
IF(
            ISBLANK(Table1[[#This Row],[计划开始时间]]), "Not Started",
        IF(
            AND(
                NOT(ISBLANK(Table1[[#This Row],[计划开始时间]])),
                Table1[[#This Row],[计划开始时间]] &lt;= TODAY(),
                NOT(ISBLANK(Table1[[#This Row],[结束日期]])),
                Table1[[#This Row],[结束日期]] &lt;= TODAY()
            ),
            "Completed",
            IF(
                OR(
                    AND(
                        Table1[[#This Row],[计划开始时间]] &lt;= TODAY(),
                        ISBLANK(Table1[[#This Row],[结束日期]])
                    ),
                    AND(
                        Table1[[#This Row],[计划开始时间]] &lt;= TODAY(),
                        Table1[[#This Row],[结束日期]] &gt;= TODAY()
                    )
                ),
                "In Progress",
                "Not Started"
            )
        )
    )
))</f>
        <v>Completed</v>
      </c>
      <c r="Y27" s="2" t="s">
        <v>176</v>
      </c>
      <c r="Z27" s="302">
        <v>45573</v>
      </c>
      <c r="AA27" s="302">
        <v>46006</v>
      </c>
      <c r="AB27" s="1">
        <v>5040</v>
      </c>
      <c r="AC27" s="213">
        <v>45562</v>
      </c>
      <c r="AD27" s="1">
        <v>1490</v>
      </c>
      <c r="AE27" s="213">
        <v>45776</v>
      </c>
      <c r="AF27" s="1" t="s">
        <v>46</v>
      </c>
      <c r="AG27" s="1"/>
      <c r="AH27" s="223">
        <f>IF(Table1[[#This Row],[Dev Pmt]]="",Table1[[#This Row],[YR0 开发费用]]-0,Table1[[#This Row],[YR0 开发费用]]-Table1[[#This Row],[Dev Pmt]])</f>
        <v>0</v>
      </c>
    </row>
    <row r="28" spans="1:34" ht="25.15" customHeight="1" x14ac:dyDescent="0.4">
      <c r="A28" s="225">
        <v>3</v>
      </c>
      <c r="B28" s="1" t="s">
        <v>47</v>
      </c>
      <c r="C28" s="330" t="s">
        <v>177</v>
      </c>
      <c r="D28" s="193" t="s">
        <v>178</v>
      </c>
      <c r="E28" s="195" t="s">
        <v>87</v>
      </c>
      <c r="F28" s="196" t="s">
        <v>179</v>
      </c>
      <c r="G28" s="195" t="s">
        <v>88</v>
      </c>
      <c r="H28" s="195">
        <v>19</v>
      </c>
      <c r="I28" s="195" t="s">
        <v>40</v>
      </c>
      <c r="J28" s="195" t="s">
        <v>65</v>
      </c>
      <c r="K28" s="192" t="s">
        <v>180</v>
      </c>
      <c r="L28" s="195">
        <v>30</v>
      </c>
      <c r="M28" s="195" t="str">
        <f>LEFT(U28,4)</f>
        <v>2526</v>
      </c>
      <c r="N28" s="193">
        <f>L28*330</f>
        <v>9900</v>
      </c>
      <c r="O28" s="193">
        <f t="shared" si="9"/>
        <v>1980</v>
      </c>
      <c r="P28" s="193">
        <v>100</v>
      </c>
      <c r="Q28" s="194">
        <f>N28*0.7</f>
        <v>6930</v>
      </c>
      <c r="R28" s="193">
        <f t="shared" si="10"/>
        <v>1980</v>
      </c>
      <c r="S28" s="193">
        <f t="shared" si="11"/>
        <v>50</v>
      </c>
      <c r="T28" s="193" t="s">
        <v>181</v>
      </c>
      <c r="U28" s="193" t="str">
        <f>IF(OR(ISBLANK(Table1[[#This Row],[起始日期]]),Table1[[#This Row],[起始日期]]=""),RIGHT(YEAR(EDATE(Table1[[#This Row],[计划开始时间]],-3)),2) &amp; RIGHT(YEAR(EDATE(Table1[[#This Row],[计划开始时间]],-3))+1,2) &amp; " Q" &amp; ROUNDUP(MONTH(EDATE(Table1[[#This Row],[计划开始时间]],-3))/3,0),RIGHT(YEAR(EDATE(Table1[[#This Row],[起始日期]],-3)),2) &amp; RIGHT(YEAR(EDATE(Table1[[#This Row],[起始日期]],-3))+1,2) &amp; " Q" &amp; ROUNDUP(MONTH(EDATE(Table1[[#This Row],[起始日期]],-3))/3,0))</f>
        <v>2526 Q1</v>
      </c>
      <c r="V28" s="209">
        <v>45796</v>
      </c>
      <c r="W28" s="197">
        <v>45905</v>
      </c>
      <c r="X28" s="193" t="str">
        <f ca="1">IF(
    Table1[[#This Row],[ID]] = 0, "Cancelled",
    IF(
        Table1[[#This Row],[交付YRQTR]] = "TBD", "TBD",
IF(
            ISBLANK(Table1[[#This Row],[计划开始时间]]), "Not Started",
        IF(
            AND(
                NOT(ISBLANK(Table1[[#This Row],[计划开始时间]])),
                Table1[[#This Row],[计划开始时间]] &lt;= TODAY(),
                NOT(ISBLANK(Table1[[#This Row],[结束日期]])),
                Table1[[#This Row],[结束日期]] &lt;= TODAY()
            ),
            "Completed",
            IF(
                OR(
                    AND(
                        Table1[[#This Row],[计划开始时间]] &lt;= TODAY(),
                        ISBLANK(Table1[[#This Row],[结束日期]])
                    ),
                    AND(
                        Table1[[#This Row],[计划开始时间]] &lt;= TODAY(),
                        Table1[[#This Row],[结束日期]] &gt;= TODAY()
                    )
                ),
                "In Progress",
                "Not Started"
            )
        )
    )
))</f>
        <v>Completed</v>
      </c>
      <c r="Y28" s="192" t="s">
        <v>182</v>
      </c>
      <c r="Z28" s="302">
        <v>45796</v>
      </c>
      <c r="AA28" s="302">
        <v>45905</v>
      </c>
      <c r="AB28" s="1">
        <f>Table1[[#This Row],[YR0 开发费用]]</f>
        <v>6930</v>
      </c>
      <c r="AC28" s="213">
        <v>45776</v>
      </c>
      <c r="AD28" s="1" t="s">
        <v>44</v>
      </c>
      <c r="AE28" s="1"/>
      <c r="AF28" s="1" t="s">
        <v>55</v>
      </c>
      <c r="AG28" s="1"/>
      <c r="AH28" s="223">
        <f>IF(Table1[[#This Row],[Dev Pmt]]="",Table1[[#This Row],[YR0 开发费用]]-0,Table1[[#This Row],[YR0 开发费用]]-Table1[[#This Row],[Dev Pmt]])</f>
        <v>0</v>
      </c>
    </row>
    <row r="29" spans="1:34" ht="42.75" customHeight="1" x14ac:dyDescent="0.4">
      <c r="A29" s="222">
        <v>3</v>
      </c>
      <c r="B29" s="1" t="s">
        <v>47</v>
      </c>
      <c r="C29" s="331" t="s">
        <v>183</v>
      </c>
      <c r="D29" s="1" t="s">
        <v>184</v>
      </c>
      <c r="E29" s="5" t="s">
        <v>87</v>
      </c>
      <c r="F29" s="12" t="s">
        <v>185</v>
      </c>
      <c r="G29" s="5" t="s">
        <v>88</v>
      </c>
      <c r="H29" s="5"/>
      <c r="I29" s="5" t="s">
        <v>40</v>
      </c>
      <c r="J29" s="5" t="s">
        <v>65</v>
      </c>
      <c r="K29" s="2"/>
      <c r="L29" s="5">
        <v>55</v>
      </c>
      <c r="M29" s="5">
        <v>2627</v>
      </c>
      <c r="N29" s="1">
        <f>L29*330</f>
        <v>18150</v>
      </c>
      <c r="O29" s="1">
        <f t="shared" si="9"/>
        <v>3630</v>
      </c>
      <c r="P29" s="1">
        <v>100</v>
      </c>
      <c r="Q29" s="194">
        <f>N29</f>
        <v>18150</v>
      </c>
      <c r="R29" s="1">
        <f t="shared" si="10"/>
        <v>3630</v>
      </c>
      <c r="S29" s="1">
        <f t="shared" si="11"/>
        <v>50</v>
      </c>
      <c r="T29" s="1" t="s">
        <v>186</v>
      </c>
      <c r="U29" s="193" t="str">
        <f>IF(OR(ISBLANK(Table1[[#This Row],[起始日期]]),Table1[[#This Row],[起始日期]]=""),RIGHT(YEAR(EDATE(Table1[[#This Row],[计划开始时间]],-3)),2) &amp; RIGHT(YEAR(EDATE(Table1[[#This Row],[计划开始时间]],-3))+1,2) &amp; " Q" &amp; ROUNDUP(MONTH(EDATE(Table1[[#This Row],[计划开始时间]],-3))/3,0),RIGHT(YEAR(EDATE(Table1[[#This Row],[起始日期]],-3)),2) &amp; RIGHT(YEAR(EDATE(Table1[[#This Row],[起始日期]],-3))+1,2) &amp; " Q" &amp; ROUNDUP(MONTH(EDATE(Table1[[#This Row],[起始日期]],-3))/3,0))</f>
        <v>2526 Q4</v>
      </c>
      <c r="V29" s="178"/>
      <c r="W29" s="178"/>
      <c r="X29" s="193" t="str">
        <f ca="1">IF(
    Table1[[#This Row],[ID]] = 0, "Cancelled",
    IF(
        Table1[[#This Row],[交付YRQTR]] = "TBD", "TBD",
IF(
            ISBLANK(Table1[[#This Row],[计划开始时间]]), "Not Started",
        IF(
            AND(
                NOT(ISBLANK(Table1[[#This Row],[计划开始时间]])),
                Table1[[#This Row],[计划开始时间]] &lt;= TODAY(),
                NOT(ISBLANK(Table1[[#This Row],[结束日期]])),
                Table1[[#This Row],[结束日期]] &lt;= TODAY()
            ),
            "Completed",
            IF(
                OR(
                    AND(
                        Table1[[#This Row],[计划开始时间]] &lt;= TODAY(),
                        ISBLANK(Table1[[#This Row],[结束日期]])
                    ),
                    AND(
                        Table1[[#This Row],[计划开始时间]] &lt;= TODAY(),
                        Table1[[#This Row],[结束日期]] &gt;= TODAY()
                    )
                ),
                "In Progress",
                "Not Started"
            )
        )
    )
))</f>
        <v>In Progress</v>
      </c>
      <c r="Y29" s="2"/>
      <c r="Z29" s="302">
        <v>46105</v>
      </c>
      <c r="AA29" s="302">
        <v>46173</v>
      </c>
      <c r="AB29" s="1"/>
      <c r="AC29" s="213">
        <v>46155</v>
      </c>
      <c r="AD29" s="1"/>
      <c r="AE29" s="1"/>
      <c r="AF29" s="1" t="e">
        <f>VLOOKUP(Table1[[#This Row],[Task Name]],[1]AI_Jenny!$B$60:$E$99,4,0)</f>
        <v>#N/A</v>
      </c>
      <c r="AG29" s="1"/>
      <c r="AH29" s="223">
        <f>IF(Table1[[#This Row],[Dev Pmt]]="",Table1[[#This Row],[YR0 开发费用]]-0,Table1[[#This Row],[YR0 开发费用]]-Table1[[#This Row],[Dev Pmt]])</f>
        <v>18150</v>
      </c>
    </row>
    <row r="30" spans="1:34" ht="32.25" customHeight="1" x14ac:dyDescent="0.4">
      <c r="A30" s="222">
        <v>4</v>
      </c>
      <c r="B30" s="1" t="s">
        <v>47</v>
      </c>
      <c r="C30" s="329" t="s">
        <v>187</v>
      </c>
      <c r="D30" s="12" t="s">
        <v>188</v>
      </c>
      <c r="E30" s="5" t="s">
        <v>87</v>
      </c>
      <c r="F30" s="12" t="s">
        <v>179</v>
      </c>
      <c r="G30" s="5" t="s">
        <v>88</v>
      </c>
      <c r="H30" s="5"/>
      <c r="I30" s="5" t="s">
        <v>40</v>
      </c>
      <c r="J30" s="5" t="s">
        <v>41</v>
      </c>
      <c r="K30" s="1"/>
      <c r="L30" s="5">
        <v>20</v>
      </c>
      <c r="M30" s="5" t="str">
        <f>LEFT(U30,4)</f>
        <v>2526</v>
      </c>
      <c r="N30" s="1">
        <f>L30*330</f>
        <v>6600</v>
      </c>
      <c r="O30" s="1">
        <f t="shared" si="9"/>
        <v>1320</v>
      </c>
      <c r="P30" s="1">
        <v>100</v>
      </c>
      <c r="Q30" s="194">
        <f>N30</f>
        <v>6600</v>
      </c>
      <c r="R30" s="1">
        <f t="shared" si="10"/>
        <v>1320</v>
      </c>
      <c r="S30" s="1">
        <f t="shared" si="11"/>
        <v>50</v>
      </c>
      <c r="T30" s="1" t="s">
        <v>189</v>
      </c>
      <c r="U30" s="193" t="s">
        <v>60</v>
      </c>
      <c r="V30" s="178"/>
      <c r="W30" s="178" t="s">
        <v>44</v>
      </c>
      <c r="X30" s="1" t="str">
        <f ca="1">IF(
    Table1[[#This Row],[ID]] = 0, "Cancelled",
    IF(
        Table1[[#This Row],[交付YRQTR]] = "TBD", "TBD",
IF(
            ISBLANK(Table1[[#This Row],[计划开始时间]]), "Not Started",
        IF(
            AND(
                NOT(ISBLANK(Table1[[#This Row],[计划开始时间]])),
                Table1[[#This Row],[计划开始时间]] &lt;= TODAY(),
                NOT(ISBLANK(Table1[[#This Row],[结束日期]])),
                Table1[[#This Row],[结束日期]] &lt;= TODAY()
            ),
            "Completed",
            IF(
                OR(
                    AND(
                        Table1[[#This Row],[计划开始时间]] &lt;= TODAY(),
                        ISBLANK(Table1[[#This Row],[结束日期]])
                    ),
                    AND(
                        Table1[[#This Row],[计划开始时间]] &lt;= TODAY(),
                        Table1[[#This Row],[结束日期]] &gt;= TODAY()
                    )
                ),
                "In Progress",
                "Not Started"
            )
        )
    )
))</f>
        <v>Not Started</v>
      </c>
      <c r="Y30" s="2"/>
      <c r="Z30" s="197"/>
      <c r="AA30" s="302"/>
      <c r="AB30" s="1">
        <v>6600</v>
      </c>
      <c r="AC30" s="213">
        <v>46038</v>
      </c>
      <c r="AD30" s="1" t="s">
        <v>44</v>
      </c>
      <c r="AE30" s="1"/>
      <c r="AF30" s="1" t="s">
        <v>68</v>
      </c>
      <c r="AG30" s="1"/>
      <c r="AH30" s="223">
        <f>IF(Table1[[#This Row],[Dev Pmt]]="",Table1[[#This Row],[YR0 开发费用]]-0,Table1[[#This Row],[YR0 开发费用]]-Table1[[#This Row],[Dev Pmt]])</f>
        <v>0</v>
      </c>
    </row>
    <row r="31" spans="1:34" ht="152.65" x14ac:dyDescent="0.4">
      <c r="A31" s="224">
        <v>4</v>
      </c>
      <c r="B31" s="194" t="s">
        <v>47</v>
      </c>
      <c r="C31" s="328" t="s">
        <v>190</v>
      </c>
      <c r="D31" s="211" t="s">
        <v>191</v>
      </c>
      <c r="E31" s="210" t="s">
        <v>87</v>
      </c>
      <c r="F31" s="212" t="s">
        <v>179</v>
      </c>
      <c r="G31" s="210" t="s">
        <v>88</v>
      </c>
      <c r="H31" s="210">
        <v>2</v>
      </c>
      <c r="I31" s="210" t="s">
        <v>40</v>
      </c>
      <c r="J31" s="210" t="s">
        <v>41</v>
      </c>
      <c r="K31" s="194"/>
      <c r="L31" s="210">
        <v>15</v>
      </c>
      <c r="M31" s="210" t="str">
        <f>LEFT(U31,4)</f>
        <v>2425</v>
      </c>
      <c r="N31" s="194">
        <f>L31*360</f>
        <v>5400</v>
      </c>
      <c r="O31" s="194">
        <f t="shared" si="9"/>
        <v>1080</v>
      </c>
      <c r="P31" s="194">
        <v>100</v>
      </c>
      <c r="Q31" s="194">
        <f>N31*0.7</f>
        <v>3779.9999999999995</v>
      </c>
      <c r="R31" s="194">
        <f t="shared" si="10"/>
        <v>1080</v>
      </c>
      <c r="S31" s="194">
        <f t="shared" si="11"/>
        <v>50</v>
      </c>
      <c r="T31" s="194" t="s">
        <v>192</v>
      </c>
      <c r="U31" s="194" t="str">
        <f>IF(OR(ISBLANK(Table1[[#This Row],[起始日期]]),Table1[[#This Row],[起始日期]]=""),RIGHT(YEAR(EDATE(Table1[[#This Row],[计划开始时间]],-3)),2) &amp; RIGHT(YEAR(EDATE(Table1[[#This Row],[计划开始时间]],-3))+1,2) &amp; " Q" &amp; ROUNDUP(MONTH(EDATE(Table1[[#This Row],[计划开始时间]],-3))/3,0),RIGHT(YEAR(EDATE(Table1[[#This Row],[起始日期]],-3)),2) &amp; RIGHT(YEAR(EDATE(Table1[[#This Row],[起始日期]],-3))+1,2) &amp; " Q" &amp; ROUNDUP(MONTH(EDATE(Table1[[#This Row],[起始日期]],-3))/3,0))</f>
        <v>2425 Q2</v>
      </c>
      <c r="V31" s="177">
        <v>45534</v>
      </c>
      <c r="W31" s="177">
        <v>45595</v>
      </c>
      <c r="X31" s="194" t="str">
        <f ca="1">IF(
    Table1[[#This Row],[ID]] = 0, "Cancelled",
    IF(
        Table1[[#This Row],[交付YRQTR]] = "TBD", "TBD",
IF(
            ISBLANK(Table1[[#This Row],[计划开始时间]]), "Not Started",
        IF(
            AND(
                NOT(ISBLANK(Table1[[#This Row],[计划开始时间]])),
                Table1[[#This Row],[计划开始时间]] &lt;= TODAY(),
                NOT(ISBLANK(Table1[[#This Row],[结束日期]])),
                Table1[[#This Row],[结束日期]] &lt;= TODAY()
            ),
            "Completed",
            IF(
                OR(
                    AND(
                        Table1[[#This Row],[计划开始时间]] &lt;= TODAY(),
                        ISBLANK(Table1[[#This Row],[结束日期]])
                    ),
                    AND(
                        Table1[[#This Row],[计划开始时间]] &lt;= TODAY(),
                        Table1[[#This Row],[结束日期]] &gt;= TODAY()
                    )
                ),
                "In Progress",
                "Not Started"
            )
        )
    )
))</f>
        <v>Completed</v>
      </c>
      <c r="Y31" s="211" t="s">
        <v>193</v>
      </c>
      <c r="Z31" s="302">
        <v>45537</v>
      </c>
      <c r="AA31" s="302">
        <v>45565</v>
      </c>
      <c r="AB31" s="1">
        <v>3779.9999999999995</v>
      </c>
      <c r="AC31" s="213">
        <v>45562</v>
      </c>
      <c r="AD31" s="1">
        <v>1130</v>
      </c>
      <c r="AE31" s="213">
        <v>45776</v>
      </c>
      <c r="AF31" s="1" t="s">
        <v>46</v>
      </c>
      <c r="AG31" s="1"/>
      <c r="AH31" s="223">
        <f>IF(Table1[[#This Row],[Dev Pmt]]="",Table1[[#This Row],[YR0 开发费用]]-0,Table1[[#This Row],[YR0 开发费用]]-Table1[[#This Row],[Dev Pmt]])</f>
        <v>0</v>
      </c>
    </row>
    <row r="32" spans="1:34" ht="15.75" customHeight="1" x14ac:dyDescent="0.4">
      <c r="A32" s="222">
        <v>4</v>
      </c>
      <c r="B32" s="1" t="s">
        <v>47</v>
      </c>
      <c r="C32" s="329" t="s">
        <v>194</v>
      </c>
      <c r="D32" s="12" t="s">
        <v>195</v>
      </c>
      <c r="E32" s="5" t="s">
        <v>87</v>
      </c>
      <c r="F32" s="12" t="s">
        <v>179</v>
      </c>
      <c r="G32" s="5" t="s">
        <v>88</v>
      </c>
      <c r="H32" s="5"/>
      <c r="I32" s="5" t="s">
        <v>40</v>
      </c>
      <c r="J32" s="5" t="s">
        <v>41</v>
      </c>
      <c r="K32" s="1"/>
      <c r="L32" s="5">
        <v>50</v>
      </c>
      <c r="M32" s="5" t="str">
        <f>LEFT(U32,4)</f>
        <v>2425</v>
      </c>
      <c r="N32" s="1">
        <f>L32*330</f>
        <v>16500</v>
      </c>
      <c r="O32" s="1">
        <f t="shared" si="9"/>
        <v>3300</v>
      </c>
      <c r="P32" s="1">
        <v>100</v>
      </c>
      <c r="Q32" s="1">
        <f>N32*0.7</f>
        <v>11550</v>
      </c>
      <c r="R32" s="1">
        <f t="shared" si="10"/>
        <v>3300</v>
      </c>
      <c r="S32" s="1">
        <f t="shared" si="11"/>
        <v>50</v>
      </c>
      <c r="T32" s="1" t="s">
        <v>196</v>
      </c>
      <c r="U32" s="1" t="str">
        <f>IF(OR(ISBLANK(Table1[[#This Row],[起始日期]]),Table1[[#This Row],[起始日期]]=""),RIGHT(YEAR(EDATE(Table1[[#This Row],[计划开始时间]],-3)),2) &amp; RIGHT(YEAR(EDATE(Table1[[#This Row],[计划开始时间]],-3))+1,2) &amp; " Q" &amp; ROUNDUP(MONTH(EDATE(Table1[[#This Row],[计划开始时间]],-3))/3,0),RIGHT(YEAR(EDATE(Table1[[#This Row],[起始日期]],-3)),2) &amp; RIGHT(YEAR(EDATE(Table1[[#This Row],[起始日期]],-3))+1,2) &amp; " Q" &amp; ROUNDUP(MONTH(EDATE(Table1[[#This Row],[起始日期]],-3))/3,0))</f>
        <v>2425 Q4</v>
      </c>
      <c r="V32" s="177">
        <v>45707</v>
      </c>
      <c r="W32" s="178">
        <v>45793</v>
      </c>
      <c r="X32" s="1" t="str">
        <f ca="1">IF(
    Table1[[#This Row],[ID]] = 0, "Cancelled",
    IF(
        Table1[[#This Row],[交付YRQTR]] = "TBD", "TBD",
IF(
            ISBLANK(Table1[[#This Row],[计划开始时间]]), "Not Started",
        IF(
            AND(
                NOT(ISBLANK(Table1[[#This Row],[计划开始时间]])),
                Table1[[#This Row],[计划开始时间]] &lt;= TODAY(),
                NOT(ISBLANK(Table1[[#This Row],[结束日期]])),
                Table1[[#This Row],[结束日期]] &lt;= TODAY()
            ),
            "Completed",
            IF(
                OR(
                    AND(
                        Table1[[#This Row],[计划开始时间]] &lt;= TODAY(),
                        ISBLANK(Table1[[#This Row],[结束日期]])
                    ),
                    AND(
                        Table1[[#This Row],[计划开始时间]] &lt;= TODAY(),
                        Table1[[#This Row],[结束日期]] &gt;= TODAY()
                    )
                ),
                "In Progress",
                "Not Started"
            )
        )
    )
))</f>
        <v>Completed</v>
      </c>
      <c r="Y32" s="2" t="s">
        <v>182</v>
      </c>
      <c r="Z32" s="302">
        <v>45707</v>
      </c>
      <c r="AA32" s="302">
        <v>45793</v>
      </c>
      <c r="AB32" s="1">
        <f>Table1[[#This Row],[YR0 开发费用]]</f>
        <v>11550</v>
      </c>
      <c r="AC32" s="213">
        <v>45776</v>
      </c>
      <c r="AD32" s="1" t="s">
        <v>44</v>
      </c>
      <c r="AE32" s="1"/>
      <c r="AF32" s="1" t="s">
        <v>55</v>
      </c>
      <c r="AG32" s="1"/>
      <c r="AH32" s="223">
        <f>IF(Table1[[#This Row],[Dev Pmt]]="",Table1[[#This Row],[YR0 开发费用]]-0,Table1[[#This Row],[YR0 开发费用]]-Table1[[#This Row],[Dev Pmt]])</f>
        <v>0</v>
      </c>
    </row>
    <row r="33" spans="1:16380" ht="15.75" customHeight="1" x14ac:dyDescent="0.4">
      <c r="A33" s="222">
        <v>5</v>
      </c>
      <c r="B33" s="1" t="s">
        <v>47</v>
      </c>
      <c r="C33" s="331" t="s">
        <v>197</v>
      </c>
      <c r="D33" s="2" t="s">
        <v>198</v>
      </c>
      <c r="E33" s="5" t="s">
        <v>87</v>
      </c>
      <c r="F33" s="12" t="s">
        <v>173</v>
      </c>
      <c r="G33" s="5" t="s">
        <v>88</v>
      </c>
      <c r="H33" s="5">
        <v>4</v>
      </c>
      <c r="I33" s="5" t="s">
        <v>52</v>
      </c>
      <c r="J33" s="5" t="s">
        <v>41</v>
      </c>
      <c r="K33" s="1"/>
      <c r="L33" s="5">
        <v>5</v>
      </c>
      <c r="M33" s="5" t="str">
        <f>LEFT(U33,4)</f>
        <v>2526</v>
      </c>
      <c r="N33" s="1">
        <f>L33*360</f>
        <v>1800</v>
      </c>
      <c r="O33" s="1">
        <f t="shared" si="9"/>
        <v>360</v>
      </c>
      <c r="P33" s="1">
        <v>100</v>
      </c>
      <c r="Q33" s="1">
        <f>N33*0.7</f>
        <v>1260</v>
      </c>
      <c r="R33" s="1">
        <f t="shared" si="10"/>
        <v>360</v>
      </c>
      <c r="S33" s="1">
        <f t="shared" si="11"/>
        <v>50</v>
      </c>
      <c r="T33" s="1" t="s">
        <v>199</v>
      </c>
      <c r="U33" s="1" t="str">
        <f>IF(OR(ISBLANK(Table1[[#This Row],[起始日期]]),Table1[[#This Row],[起始日期]]=""),RIGHT(YEAR(EDATE(Table1[[#This Row],[计划开始时间]],-3)),2) &amp; RIGHT(YEAR(EDATE(Table1[[#This Row],[计划开始时间]],-3))+1,2) &amp; " Q" &amp; ROUNDUP(MONTH(EDATE(Table1[[#This Row],[计划开始时间]],-3))/3,0),RIGHT(YEAR(EDATE(Table1[[#This Row],[起始日期]],-3)),2) &amp; RIGHT(YEAR(EDATE(Table1[[#This Row],[起始日期]],-3))+1,2) &amp; " Q" &amp; ROUNDUP(MONTH(EDATE(Table1[[#This Row],[起始日期]],-3))/3,0))</f>
        <v>2526 Q1</v>
      </c>
      <c r="V33" s="177">
        <v>45812</v>
      </c>
      <c r="W33" s="178">
        <v>45905</v>
      </c>
      <c r="X33" s="1" t="str">
        <f ca="1">IF(
    Table1[[#This Row],[ID]] = 0, "Cancelled",
    IF(
        Table1[[#This Row],[交付YRQTR]] = "TBD", "TBD",
IF(
            ISBLANK(Table1[[#This Row],[计划开始时间]]), "Not Started",
        IF(
            AND(
                NOT(ISBLANK(Table1[[#This Row],[计划开始时间]])),
                Table1[[#This Row],[计划开始时间]] &lt;= TODAY(),
                NOT(ISBLANK(Table1[[#This Row],[结束日期]])),
                Table1[[#This Row],[结束日期]] &lt;= TODAY()
            ),
            "Completed",
            IF(
                OR(
                    AND(
                        Table1[[#This Row],[计划开始时间]] &lt;= TODAY(),
                        ISBLANK(Table1[[#This Row],[结束日期]])
                    ),
                    AND(
                        Table1[[#This Row],[计划开始时间]] &lt;= TODAY(),
                        Table1[[#This Row],[结束日期]] &gt;= TODAY()
                    )
                ),
                "In Progress",
                "Not Started"
            )
        )
    )
))</f>
        <v>Completed</v>
      </c>
      <c r="Y33" s="2"/>
      <c r="Z33" s="302">
        <v>45812</v>
      </c>
      <c r="AA33" s="302">
        <v>45905</v>
      </c>
      <c r="AB33" s="1">
        <v>1260</v>
      </c>
      <c r="AC33" s="213">
        <v>45562</v>
      </c>
      <c r="AD33" s="1"/>
      <c r="AE33" s="1"/>
      <c r="AF33" s="1" t="s">
        <v>46</v>
      </c>
      <c r="AG33" s="1"/>
      <c r="AH33" s="223">
        <f>IF(Table1[[#This Row],[Dev Pmt]]="",Table1[[#This Row],[YR0 开发费用]]-0,Table1[[#This Row],[YR0 开发费用]]-Table1[[#This Row],[Dev Pmt]])</f>
        <v>0</v>
      </c>
    </row>
    <row r="34" spans="1:16380" ht="15.75" customHeight="1" x14ac:dyDescent="0.4">
      <c r="A34" s="222">
        <v>6</v>
      </c>
      <c r="B34" s="1" t="s">
        <v>47</v>
      </c>
      <c r="C34" s="331" t="s">
        <v>200</v>
      </c>
      <c r="D34" s="1" t="s">
        <v>201</v>
      </c>
      <c r="E34" s="5" t="s">
        <v>119</v>
      </c>
      <c r="F34" s="12" t="s">
        <v>157</v>
      </c>
      <c r="G34" s="5" t="s">
        <v>94</v>
      </c>
      <c r="H34" s="5">
        <v>21</v>
      </c>
      <c r="I34" s="5" t="s">
        <v>40</v>
      </c>
      <c r="J34" s="5" t="s">
        <v>65</v>
      </c>
      <c r="K34" s="2" t="s">
        <v>202</v>
      </c>
      <c r="L34" s="5">
        <v>105</v>
      </c>
      <c r="M34" s="5">
        <v>2627</v>
      </c>
      <c r="N34" s="1">
        <f>L34*330</f>
        <v>34650</v>
      </c>
      <c r="O34" s="1">
        <f t="shared" si="9"/>
        <v>6930</v>
      </c>
      <c r="P34" s="1">
        <v>100</v>
      </c>
      <c r="Q34" s="1">
        <f>N34</f>
        <v>34650</v>
      </c>
      <c r="R34" s="1">
        <f t="shared" si="10"/>
        <v>6930</v>
      </c>
      <c r="S34" s="1">
        <f t="shared" si="11"/>
        <v>50</v>
      </c>
      <c r="T34" s="1" t="s">
        <v>158</v>
      </c>
      <c r="U34" s="1" t="s">
        <v>54</v>
      </c>
      <c r="V34" s="177">
        <v>45799</v>
      </c>
      <c r="W34" s="178"/>
      <c r="X34" s="1"/>
      <c r="Y34" s="2"/>
      <c r="Z34" s="302"/>
      <c r="AA34" s="302"/>
      <c r="AB34" s="1">
        <f>Table1[[#This Row],[YR0 开发费用]]</f>
        <v>34650</v>
      </c>
      <c r="AC34" s="161">
        <v>46232</v>
      </c>
      <c r="AD34" s="1"/>
      <c r="AE34" s="1"/>
      <c r="AF34" s="1" t="e">
        <f>VLOOKUP(Table1[[#This Row],[Task Name]],[1]AI_Jenny!$B$60:$E$99,4,0)</f>
        <v>#N/A</v>
      </c>
      <c r="AG34" s="1"/>
      <c r="AH34" s="223">
        <f>IF(Table1[[#This Row],[Dev Pmt]]="",Table1[[#This Row],[YR0 开发费用]]-0,Table1[[#This Row],[YR0 开发费用]]-Table1[[#This Row],[Dev Pmt]])</f>
        <v>0</v>
      </c>
    </row>
    <row r="35" spans="1:16380" ht="55.5" x14ac:dyDescent="0.4">
      <c r="A35" s="222">
        <v>6</v>
      </c>
      <c r="B35" s="1" t="s">
        <v>47</v>
      </c>
      <c r="C35" s="331" t="s">
        <v>203</v>
      </c>
      <c r="D35" s="1" t="s">
        <v>204</v>
      </c>
      <c r="E35" s="5" t="s">
        <v>119</v>
      </c>
      <c r="F35" s="12" t="s">
        <v>157</v>
      </c>
      <c r="G35" s="5" t="s">
        <v>94</v>
      </c>
      <c r="H35" s="5">
        <v>21</v>
      </c>
      <c r="I35" s="5" t="s">
        <v>40</v>
      </c>
      <c r="J35" s="5" t="s">
        <v>65</v>
      </c>
      <c r="K35" s="2" t="s">
        <v>202</v>
      </c>
      <c r="L35" s="5">
        <v>180</v>
      </c>
      <c r="M35" s="5" t="str">
        <f>LEFT(U35,4)</f>
        <v>2526</v>
      </c>
      <c r="N35" s="1">
        <f>L35*400</f>
        <v>72000</v>
      </c>
      <c r="O35" s="1">
        <f t="shared" si="9"/>
        <v>14400</v>
      </c>
      <c r="P35" s="1">
        <v>100</v>
      </c>
      <c r="Q35" s="1">
        <f>N35</f>
        <v>72000</v>
      </c>
      <c r="R35" s="1">
        <f t="shared" si="10"/>
        <v>14400</v>
      </c>
      <c r="S35" s="1">
        <f>P35</f>
        <v>100</v>
      </c>
      <c r="T35" s="1" t="s">
        <v>205</v>
      </c>
      <c r="U35" s="1" t="str">
        <f>IF(OR(ISBLANK(Table1[[#This Row],[起始日期]]),Table1[[#This Row],[起始日期]]=""),RIGHT(YEAR(EDATE(Table1[[#This Row],[计划开始时间]],-3)),2) &amp; RIGHT(YEAR(EDATE(Table1[[#This Row],[计划开始时间]],-3))+1,2) &amp; " Q" &amp; ROUNDUP(MONTH(EDATE(Table1[[#This Row],[计划开始时间]],-3))/3,0),RIGHT(YEAR(EDATE(Table1[[#This Row],[起始日期]],-3)),2) &amp; RIGHT(YEAR(EDATE(Table1[[#This Row],[起始日期]],-3))+1,2) &amp; " Q" &amp; ROUNDUP(MONTH(EDATE(Table1[[#This Row],[起始日期]],-3))/3,0))</f>
        <v>2526 Q1</v>
      </c>
      <c r="V35" s="178">
        <v>45820</v>
      </c>
      <c r="W35" s="178">
        <v>45798</v>
      </c>
      <c r="X35" s="1" t="str">
        <f ca="1">IF(
    Table1[[#This Row],[ID]] = 0, "Cancelled",
    IF(
        Table1[[#This Row],[交付YRQTR]] = "TBD", "TBD",
IF(
            ISBLANK(Table1[[#This Row],[计划开始时间]]), "Not Started",
        IF(
            AND(
                NOT(ISBLANK(Table1[[#This Row],[计划开始时间]])),
                Table1[[#This Row],[计划开始时间]] &lt;= TODAY(),
                NOT(ISBLANK(Table1[[#This Row],[结束日期]])),
                Table1[[#This Row],[结束日期]] &lt;= TODAY()
            ),
            "Completed",
            IF(
                OR(
                    AND(
                        Table1[[#This Row],[计划开始时间]] &lt;= TODAY(),
                        ISBLANK(Table1[[#This Row],[结束日期]])
                    ),
                    AND(
                        Table1[[#This Row],[计划开始时间]] &lt;= TODAY(),
                        Table1[[#This Row],[结束日期]] &gt;= TODAY()
                    )
                ),
                "In Progress",
                "Not Started"
            )
        )
    )
))</f>
        <v>Completed</v>
      </c>
      <c r="Y35" s="2"/>
      <c r="Z35" s="302">
        <v>45820</v>
      </c>
      <c r="AA35" s="302">
        <v>45930</v>
      </c>
      <c r="AB35" s="1">
        <v>22000</v>
      </c>
      <c r="AC35" s="213">
        <v>45954</v>
      </c>
      <c r="AD35" s="1"/>
      <c r="AE35" s="1"/>
      <c r="AF35" s="1" t="s">
        <v>61</v>
      </c>
      <c r="AG35" s="1"/>
      <c r="AH35" s="223">
        <f>IF(Table1[[#This Row],[Dev Pmt]]="",Table1[[#This Row],[YR0 开发费用]]-0,Table1[[#This Row],[YR0 开发费用]]-Table1[[#This Row],[Dev Pmt]])</f>
        <v>50000</v>
      </c>
    </row>
    <row r="36" spans="1:16380" ht="15.75" customHeight="1" x14ac:dyDescent="0.4">
      <c r="A36" s="222">
        <v>6</v>
      </c>
      <c r="B36" s="1" t="s">
        <v>47</v>
      </c>
      <c r="C36" s="1" t="s">
        <v>206</v>
      </c>
      <c r="D36" s="1" t="s">
        <v>207</v>
      </c>
      <c r="E36" s="5" t="s">
        <v>119</v>
      </c>
      <c r="F36" s="12" t="s">
        <v>157</v>
      </c>
      <c r="G36" s="5" t="s">
        <v>94</v>
      </c>
      <c r="H36" s="5">
        <v>5</v>
      </c>
      <c r="I36" s="5" t="s">
        <v>40</v>
      </c>
      <c r="J36" s="5" t="s">
        <v>65</v>
      </c>
      <c r="K36" s="2" t="s">
        <v>208</v>
      </c>
      <c r="L36" s="5">
        <v>70</v>
      </c>
      <c r="M36" s="5" t="str">
        <f>LEFT(U36,4)</f>
        <v>2425</v>
      </c>
      <c r="N36" s="1">
        <f>L36*330</f>
        <v>23100</v>
      </c>
      <c r="O36" s="1">
        <f t="shared" si="9"/>
        <v>4620</v>
      </c>
      <c r="P36" s="1">
        <v>100</v>
      </c>
      <c r="Q36" s="1">
        <f>N36+28000</f>
        <v>51100</v>
      </c>
      <c r="R36" s="1">
        <f t="shared" si="10"/>
        <v>4620</v>
      </c>
      <c r="S36" s="1">
        <f>P36</f>
        <v>100</v>
      </c>
      <c r="T36" s="1" t="s">
        <v>209</v>
      </c>
      <c r="U36" s="1" t="str">
        <f>IF(OR(ISBLANK(Table1[[#This Row],[起始日期]]),Table1[[#This Row],[起始日期]]=""),RIGHT(YEAR(EDATE(Table1[[#This Row],[计划开始时间]],-3)),2) &amp; RIGHT(YEAR(EDATE(Table1[[#This Row],[计划开始时间]],-3))+1,2) &amp; " Q" &amp; ROUNDUP(MONTH(EDATE(Table1[[#This Row],[计划开始时间]],-3))/3,0),RIGHT(YEAR(EDATE(Table1[[#This Row],[起始日期]],-3)),2) &amp; RIGHT(YEAR(EDATE(Table1[[#This Row],[起始日期]],-3))+1,2) &amp; " Q" &amp; ROUNDUP(MONTH(EDATE(Table1[[#This Row],[起始日期]],-3))/3,0))</f>
        <v>2425 Q3</v>
      </c>
      <c r="V36" s="177">
        <v>45601</v>
      </c>
      <c r="W36" s="178">
        <v>45819</v>
      </c>
      <c r="X36" s="1" t="str">
        <f ca="1">IF(
    Table1[[#This Row],[ID]] = 0, "Cancelled",
    IF(
        Table1[[#This Row],[交付YRQTR]] = "TBD", "TBD",
IF(
            ISBLANK(Table1[[#This Row],[计划开始时间]]), "Not Started",
        IF(
            AND(
                NOT(ISBLANK(Table1[[#This Row],[计划开始时间]])),
                Table1[[#This Row],[计划开始时间]] &lt;= TODAY(),
                NOT(ISBLANK(Table1[[#This Row],[结束日期]])),
                Table1[[#This Row],[结束日期]] &lt;= TODAY()
            ),
            "Completed",
            IF(
                OR(
                    AND(
                        Table1[[#This Row],[计划开始时间]] &lt;= TODAY(),
                        ISBLANK(Table1[[#This Row],[结束日期]])
                    ),
                    AND(
                        Table1[[#This Row],[计划开始时间]] &lt;= TODAY(),
                        Table1[[#This Row],[结束日期]] &gt;= TODAY()
                    )
                ),
                "In Progress",
                "Not Started"
            )
        )
    )
))</f>
        <v>Completed</v>
      </c>
      <c r="Y36" s="2" t="s">
        <v>210</v>
      </c>
      <c r="Z36" s="302">
        <v>45601</v>
      </c>
      <c r="AA36" s="302">
        <v>45808</v>
      </c>
      <c r="AB36" s="1">
        <f>7056+(51100-7056)</f>
        <v>51100</v>
      </c>
      <c r="AC36" s="213">
        <v>45776</v>
      </c>
      <c r="AD36" s="1"/>
      <c r="AE36" s="1"/>
      <c r="AF36" s="1" t="s">
        <v>55</v>
      </c>
      <c r="AG36" s="1" t="s">
        <v>211</v>
      </c>
      <c r="AH36" s="223">
        <f>IF(Table1[[#This Row],[Dev Pmt]]="",Table1[[#This Row],[YR0 开发费用]]-0,Table1[[#This Row],[YR0 开发费用]]-Table1[[#This Row],[Dev Pmt]])</f>
        <v>0</v>
      </c>
    </row>
    <row r="37" spans="1:16380" ht="55.5" x14ac:dyDescent="0.4">
      <c r="A37" s="222">
        <v>6</v>
      </c>
      <c r="B37" s="1" t="s">
        <v>47</v>
      </c>
      <c r="C37" s="331" t="s">
        <v>212</v>
      </c>
      <c r="D37" s="1" t="s">
        <v>213</v>
      </c>
      <c r="E37" s="5" t="s">
        <v>119</v>
      </c>
      <c r="F37" s="12" t="s">
        <v>157</v>
      </c>
      <c r="G37" s="5" t="s">
        <v>94</v>
      </c>
      <c r="H37" s="5">
        <v>21</v>
      </c>
      <c r="I37" s="5" t="s">
        <v>40</v>
      </c>
      <c r="J37" s="5" t="s">
        <v>65</v>
      </c>
      <c r="K37" s="2" t="s">
        <v>202</v>
      </c>
      <c r="L37" s="5">
        <v>65</v>
      </c>
      <c r="M37" s="5">
        <v>2627</v>
      </c>
      <c r="N37" s="1">
        <f>L37*330</f>
        <v>21450</v>
      </c>
      <c r="O37" s="1">
        <f t="shared" si="9"/>
        <v>4290</v>
      </c>
      <c r="P37" s="1">
        <v>100</v>
      </c>
      <c r="Q37" s="1">
        <f>N37</f>
        <v>21450</v>
      </c>
      <c r="R37" s="1">
        <f t="shared" si="10"/>
        <v>4290</v>
      </c>
      <c r="S37" s="1">
        <f t="shared" ref="S37:S46" si="12">P37*0.5</f>
        <v>50</v>
      </c>
      <c r="T37" s="1" t="s">
        <v>214</v>
      </c>
      <c r="U37" s="1" t="s">
        <v>54</v>
      </c>
      <c r="V37" s="177"/>
      <c r="W37" s="178"/>
      <c r="X37" s="1" t="str">
        <f ca="1">IF(
    Table1[[#This Row],[ID]] = 0, "Cancelled",
    IF(
        Table1[[#This Row],[交付YRQTR]] = "TBD", "TBD",
IF(
            ISBLANK(Table1[[#This Row],[计划开始时间]]), "Not Started",
        IF(
            AND(
                NOT(ISBLANK(Table1[[#This Row],[计划开始时间]])),
                Table1[[#This Row],[计划开始时间]] &lt;= TODAY(),
                NOT(ISBLANK(Table1[[#This Row],[结束日期]])),
                Table1[[#This Row],[结束日期]] &lt;= TODAY()
            ),
            "Completed",
            IF(
                OR(
                    AND(
                        Table1[[#This Row],[计划开始时间]] &lt;= TODAY(),
                        ISBLANK(Table1[[#This Row],[结束日期]])
                    ),
                    AND(
                        Table1[[#This Row],[计划开始时间]] &lt;= TODAY(),
                        Table1[[#This Row],[结束日期]] &gt;= TODAY()
                    )
                ),
                "In Progress",
                "Not Started"
            )
        )
    )
))</f>
        <v>Not Started</v>
      </c>
      <c r="Y37" s="2"/>
      <c r="Z37" s="302"/>
      <c r="AA37" s="302"/>
      <c r="AB37" s="1">
        <f>Table1[[#This Row],[YR0 开发费用]]</f>
        <v>21450</v>
      </c>
      <c r="AC37" s="161">
        <v>46232</v>
      </c>
      <c r="AD37" s="1"/>
      <c r="AE37" s="1"/>
      <c r="AF37" s="1" t="s">
        <v>74</v>
      </c>
      <c r="AG37" s="1"/>
      <c r="AH37" s="223">
        <f>IF(Table1[[#This Row],[Dev Pmt]]="",Table1[[#This Row],[YR0 开发费用]]-0,Table1[[#This Row],[YR0 开发费用]]-Table1[[#This Row],[Dev Pmt]])</f>
        <v>0</v>
      </c>
    </row>
    <row r="38" spans="1:16380" ht="13.9" x14ac:dyDescent="0.4">
      <c r="A38" s="222">
        <v>6</v>
      </c>
      <c r="B38" s="1" t="s">
        <v>47</v>
      </c>
      <c r="C38" s="2" t="s">
        <v>215</v>
      </c>
      <c r="D38" s="12" t="s">
        <v>216</v>
      </c>
      <c r="E38" s="5" t="s">
        <v>119</v>
      </c>
      <c r="F38" s="12" t="s">
        <v>157</v>
      </c>
      <c r="G38" s="5"/>
      <c r="H38" s="5"/>
      <c r="I38" s="5"/>
      <c r="J38" s="5"/>
      <c r="K38" s="1"/>
      <c r="L38" s="5">
        <v>55</v>
      </c>
      <c r="M38" s="5">
        <v>2627</v>
      </c>
      <c r="N38" s="1">
        <f>L38*330</f>
        <v>18150</v>
      </c>
      <c r="O38" s="1">
        <f t="shared" si="9"/>
        <v>3630</v>
      </c>
      <c r="P38" s="1">
        <v>100</v>
      </c>
      <c r="Q38" s="1">
        <f>N38</f>
        <v>18150</v>
      </c>
      <c r="R38" s="1">
        <f t="shared" si="10"/>
        <v>3630</v>
      </c>
      <c r="S38" s="1">
        <f t="shared" si="12"/>
        <v>50</v>
      </c>
      <c r="T38" s="1" t="s">
        <v>158</v>
      </c>
      <c r="U38" s="1" t="s">
        <v>159</v>
      </c>
      <c r="V38" s="178"/>
      <c r="W38" s="178"/>
      <c r="X38" s="193" t="s">
        <v>217</v>
      </c>
      <c r="Y38" s="2"/>
      <c r="Z38" s="302"/>
      <c r="AA38" s="302"/>
      <c r="AB38" s="1">
        <f>Table1[[#This Row],[YR0 开发费用]]</f>
        <v>18150</v>
      </c>
      <c r="AC38" s="161">
        <v>46155</v>
      </c>
      <c r="AD38" s="1"/>
      <c r="AE38" s="1"/>
      <c r="AF38" s="1" t="s">
        <v>161</v>
      </c>
      <c r="AG38" s="1"/>
      <c r="AH38" s="1">
        <f>IF(Table1[[#This Row],[Dev Pmt]]="",Table1[[#This Row],[YR0 开发费用]]-0,Table1[[#This Row],[YR0 开发费用]]-Table1[[#This Row],[Dev Pmt]])</f>
        <v>0</v>
      </c>
      <c r="AI38" s="1"/>
      <c r="AJ38" s="1"/>
      <c r="AK38" s="1"/>
      <c r="AL38" s="1"/>
      <c r="AM38" s="1"/>
      <c r="AN38" s="178"/>
      <c r="AO38" s="178"/>
      <c r="AP38" s="1"/>
      <c r="AQ38" s="2"/>
      <c r="AR38" s="161"/>
      <c r="AS38" s="161"/>
      <c r="AT38" s="1"/>
      <c r="AU38" s="213"/>
      <c r="AV38" s="1"/>
      <c r="AW38" s="1"/>
      <c r="AX38" s="1"/>
      <c r="AY38" s="1"/>
      <c r="AZ38" s="223"/>
      <c r="BA38" s="222"/>
      <c r="BB38" s="1"/>
      <c r="BC38" s="301"/>
      <c r="BD38" s="214"/>
      <c r="BE38" s="5"/>
      <c r="BF38" s="12"/>
      <c r="BG38" s="5"/>
      <c r="BH38" s="5"/>
      <c r="BI38" s="1"/>
      <c r="BJ38" s="1"/>
      <c r="BK38" s="1"/>
      <c r="BL38" s="1"/>
      <c r="BM38" s="1"/>
      <c r="BN38" s="178"/>
      <c r="BO38" s="178"/>
      <c r="BP38" s="1"/>
      <c r="BQ38" s="2"/>
      <c r="BR38" s="161"/>
      <c r="BS38" s="161"/>
      <c r="BT38" s="1"/>
      <c r="BU38" s="213"/>
      <c r="BV38" s="1"/>
      <c r="BW38" s="1"/>
      <c r="BX38" s="1"/>
      <c r="BY38" s="1"/>
      <c r="BZ38" s="223"/>
      <c r="CA38" s="222"/>
      <c r="CB38" s="1"/>
      <c r="CC38" s="301"/>
      <c r="CD38" s="214"/>
      <c r="CE38" s="5"/>
      <c r="CF38" s="12"/>
      <c r="CG38" s="5"/>
      <c r="CH38" s="5"/>
      <c r="CI38" s="1"/>
      <c r="CJ38" s="1"/>
      <c r="CK38" s="1"/>
      <c r="CL38" s="1"/>
      <c r="CM38" s="1"/>
      <c r="CN38" s="178"/>
      <c r="CO38" s="178"/>
      <c r="CP38" s="1"/>
      <c r="CQ38" s="2"/>
      <c r="CR38" s="161"/>
      <c r="CS38" s="161"/>
      <c r="CT38" s="1"/>
      <c r="CU38" s="213"/>
      <c r="CV38" s="1"/>
      <c r="CW38" s="1"/>
      <c r="CX38" s="1"/>
      <c r="CY38" s="1"/>
      <c r="CZ38" s="223"/>
      <c r="DA38" s="222"/>
      <c r="DB38" s="1"/>
      <c r="DC38" s="301"/>
      <c r="DD38" s="214"/>
      <c r="DE38" s="5"/>
      <c r="DF38" s="12"/>
      <c r="DG38" s="5"/>
      <c r="DH38" s="5"/>
      <c r="DI38" s="1"/>
      <c r="DJ38" s="1"/>
      <c r="DK38" s="1"/>
      <c r="DL38" s="1"/>
      <c r="DM38" s="1"/>
      <c r="DN38" s="178"/>
      <c r="DO38" s="178"/>
      <c r="DP38" s="1"/>
      <c r="DQ38" s="2"/>
      <c r="DR38" s="161"/>
      <c r="DS38" s="161"/>
      <c r="DT38" s="1"/>
      <c r="DU38" s="213"/>
      <c r="DV38" s="1"/>
      <c r="DW38" s="1"/>
      <c r="DX38" s="1"/>
      <c r="DY38" s="1"/>
      <c r="DZ38" s="223"/>
      <c r="EA38" s="222"/>
      <c r="EB38" s="1"/>
      <c r="EC38" s="301"/>
      <c r="ED38" s="214"/>
      <c r="EE38" s="5"/>
      <c r="EF38" s="12"/>
      <c r="EG38" s="5"/>
      <c r="EH38" s="5"/>
      <c r="EI38" s="1"/>
      <c r="EJ38" s="1"/>
      <c r="EK38" s="1"/>
      <c r="EL38" s="1"/>
      <c r="EM38" s="1"/>
      <c r="EN38" s="178"/>
      <c r="EO38" s="178"/>
      <c r="EP38" s="1"/>
      <c r="EQ38" s="2"/>
      <c r="ER38" s="161"/>
      <c r="ES38" s="161"/>
      <c r="ET38" s="1"/>
      <c r="EU38" s="213"/>
      <c r="EV38" s="1"/>
      <c r="EW38" s="1"/>
      <c r="EX38" s="1"/>
      <c r="EY38" s="1"/>
      <c r="EZ38" s="223"/>
      <c r="FA38" s="222"/>
      <c r="FB38" s="1"/>
      <c r="FC38" s="301"/>
      <c r="FD38" s="214"/>
      <c r="FE38" s="5"/>
      <c r="FF38" s="12"/>
      <c r="FG38" s="5"/>
      <c r="FH38" s="5"/>
      <c r="FI38" s="1"/>
      <c r="FJ38" s="1"/>
      <c r="FK38" s="1"/>
      <c r="FL38" s="1"/>
      <c r="FM38" s="1"/>
      <c r="FN38" s="178"/>
      <c r="FO38" s="178"/>
      <c r="FP38" s="1"/>
      <c r="FQ38" s="2"/>
      <c r="FR38" s="161"/>
      <c r="FS38" s="161"/>
      <c r="FT38" s="1"/>
      <c r="FU38" s="213"/>
      <c r="FV38" s="1"/>
      <c r="FW38" s="1"/>
      <c r="FX38" s="1"/>
      <c r="FY38" s="1"/>
      <c r="FZ38" s="223"/>
      <c r="GA38" s="222"/>
      <c r="GB38" s="1"/>
      <c r="GC38" s="301"/>
      <c r="GD38" s="214"/>
      <c r="GE38" s="5"/>
      <c r="GF38" s="12"/>
      <c r="GG38" s="5"/>
      <c r="GH38" s="5"/>
      <c r="GI38" s="1"/>
      <c r="GJ38" s="1"/>
      <c r="GK38" s="1"/>
      <c r="GL38" s="1"/>
      <c r="GM38" s="1"/>
      <c r="GN38" s="178"/>
      <c r="GO38" s="178"/>
      <c r="GP38" s="1"/>
      <c r="GQ38" s="2"/>
      <c r="GR38" s="161"/>
      <c r="GS38" s="161"/>
      <c r="GT38" s="1"/>
      <c r="GU38" s="213"/>
      <c r="GV38" s="1"/>
      <c r="GW38" s="1"/>
      <c r="GX38" s="1"/>
      <c r="GY38" s="1"/>
      <c r="GZ38" s="223"/>
      <c r="HA38" s="222"/>
      <c r="HB38" s="1"/>
      <c r="HC38" s="301"/>
      <c r="HD38" s="214"/>
      <c r="HE38" s="5"/>
      <c r="HF38" s="12"/>
      <c r="HG38" s="5"/>
      <c r="HH38" s="5"/>
      <c r="HI38" s="1"/>
      <c r="HJ38" s="1"/>
      <c r="HK38" s="1"/>
      <c r="HL38" s="1"/>
      <c r="HM38" s="1"/>
      <c r="HN38" s="178"/>
      <c r="HO38" s="178"/>
      <c r="HP38" s="1"/>
      <c r="HQ38" s="2"/>
      <c r="HR38" s="161"/>
      <c r="HS38" s="161"/>
      <c r="HT38" s="1"/>
      <c r="HU38" s="213"/>
      <c r="HV38" s="1"/>
      <c r="HW38" s="1"/>
      <c r="HX38" s="1"/>
      <c r="HY38" s="1"/>
      <c r="HZ38" s="223"/>
      <c r="IA38" s="222"/>
      <c r="IB38" s="1"/>
      <c r="IC38" s="301"/>
      <c r="ID38" s="214"/>
      <c r="IE38" s="5"/>
      <c r="IF38" s="12"/>
      <c r="IG38" s="5"/>
      <c r="IH38" s="5"/>
      <c r="II38" s="1"/>
      <c r="IJ38" s="1"/>
      <c r="IK38" s="1"/>
      <c r="IL38" s="1"/>
      <c r="IM38" s="1"/>
      <c r="IN38" s="178"/>
      <c r="IO38" s="178"/>
      <c r="IP38" s="1"/>
      <c r="IQ38" s="2"/>
      <c r="IR38" s="161"/>
      <c r="IS38" s="161"/>
      <c r="IT38" s="1"/>
      <c r="IU38" s="213"/>
      <c r="IV38" s="1"/>
      <c r="IW38" s="1"/>
      <c r="IX38" s="1"/>
      <c r="IY38" s="1"/>
      <c r="IZ38" s="223"/>
      <c r="JA38" s="222"/>
      <c r="JB38" s="1"/>
      <c r="JC38" s="301"/>
      <c r="JD38" s="214"/>
      <c r="JE38" s="5"/>
      <c r="JF38" s="12"/>
      <c r="JG38" s="5"/>
      <c r="JH38" s="5"/>
      <c r="JI38" s="1"/>
      <c r="JJ38" s="1"/>
      <c r="JK38" s="1"/>
      <c r="JL38" s="1"/>
      <c r="JM38" s="1"/>
      <c r="JN38" s="178"/>
      <c r="JO38" s="178"/>
      <c r="JP38" s="1"/>
      <c r="JQ38" s="2"/>
      <c r="JR38" s="161"/>
      <c r="JS38" s="161"/>
      <c r="JT38" s="1"/>
      <c r="JU38" s="213"/>
      <c r="JV38" s="1"/>
      <c r="JW38" s="1"/>
      <c r="JX38" s="1"/>
      <c r="JY38" s="1"/>
      <c r="JZ38" s="223"/>
      <c r="KA38" s="222"/>
      <c r="KB38" s="1"/>
      <c r="KC38" s="301"/>
      <c r="KD38" s="214"/>
      <c r="KE38" s="5"/>
      <c r="KF38" s="12"/>
      <c r="KG38" s="5"/>
      <c r="KH38" s="5"/>
      <c r="KI38" s="1"/>
      <c r="KJ38" s="1"/>
      <c r="KK38" s="1"/>
      <c r="KL38" s="1"/>
      <c r="KM38" s="1"/>
      <c r="KN38" s="178"/>
      <c r="KO38" s="178"/>
      <c r="KP38" s="1"/>
      <c r="KQ38" s="2"/>
      <c r="KR38" s="161"/>
      <c r="KS38" s="161"/>
      <c r="KT38" s="1"/>
      <c r="KU38" s="213"/>
      <c r="KV38" s="1"/>
      <c r="KW38" s="1"/>
      <c r="KX38" s="1"/>
      <c r="KY38" s="1"/>
      <c r="KZ38" s="223"/>
      <c r="LA38" s="222"/>
      <c r="LB38" s="1"/>
      <c r="LC38" s="301"/>
      <c r="LD38" s="214"/>
      <c r="LE38" s="5"/>
      <c r="LF38" s="12"/>
      <c r="LG38" s="5"/>
      <c r="LH38" s="5"/>
      <c r="LI38" s="1"/>
      <c r="LJ38" s="1"/>
      <c r="LK38" s="1"/>
      <c r="LL38" s="1"/>
      <c r="LM38" s="1"/>
      <c r="LN38" s="178"/>
      <c r="LO38" s="178"/>
      <c r="LP38" s="1"/>
      <c r="LQ38" s="2"/>
      <c r="LR38" s="161"/>
      <c r="LS38" s="161"/>
      <c r="LT38" s="1"/>
      <c r="LU38" s="213"/>
      <c r="LV38" s="1"/>
      <c r="LW38" s="1"/>
      <c r="LX38" s="1"/>
      <c r="LY38" s="1"/>
      <c r="LZ38" s="223"/>
      <c r="MA38" s="222"/>
      <c r="MB38" s="1"/>
      <c r="MC38" s="301"/>
      <c r="MD38" s="214"/>
      <c r="ME38" s="5"/>
      <c r="MF38" s="12"/>
      <c r="MG38" s="5"/>
      <c r="MH38" s="5"/>
      <c r="MI38" s="1"/>
      <c r="MJ38" s="1"/>
      <c r="MK38" s="1"/>
      <c r="ML38" s="1"/>
      <c r="MM38" s="1"/>
      <c r="MN38" s="178"/>
      <c r="MO38" s="178"/>
      <c r="MP38" s="1"/>
      <c r="MQ38" s="2"/>
      <c r="MR38" s="161"/>
      <c r="MS38" s="161"/>
      <c r="MT38" s="1"/>
      <c r="MU38" s="213"/>
      <c r="MV38" s="1"/>
      <c r="MW38" s="1"/>
      <c r="MX38" s="1"/>
      <c r="MY38" s="1"/>
      <c r="MZ38" s="223"/>
      <c r="NA38" s="222"/>
      <c r="NB38" s="1"/>
      <c r="NC38" s="301"/>
      <c r="ND38" s="214"/>
      <c r="NE38" s="5"/>
      <c r="NF38" s="12"/>
      <c r="NG38" s="5"/>
      <c r="NH38" s="5"/>
      <c r="NI38" s="1"/>
      <c r="NJ38" s="1"/>
      <c r="NK38" s="1"/>
      <c r="NL38" s="1"/>
      <c r="NM38" s="1"/>
      <c r="NN38" s="178"/>
      <c r="NO38" s="178"/>
      <c r="NP38" s="1"/>
      <c r="NQ38" s="2"/>
      <c r="NR38" s="161"/>
      <c r="NS38" s="161"/>
      <c r="NT38" s="1"/>
      <c r="NU38" s="213"/>
      <c r="NV38" s="1"/>
      <c r="NW38" s="1"/>
      <c r="NX38" s="1"/>
      <c r="NY38" s="1"/>
      <c r="NZ38" s="223"/>
      <c r="OA38" s="222"/>
      <c r="OB38" s="1"/>
      <c r="OC38" s="301"/>
      <c r="OD38" s="214"/>
      <c r="OE38" s="5"/>
      <c r="OF38" s="12"/>
      <c r="OG38" s="5"/>
      <c r="OH38" s="5"/>
      <c r="OI38" s="1"/>
      <c r="OJ38" s="1"/>
      <c r="OK38" s="1"/>
      <c r="OL38" s="1"/>
      <c r="OM38" s="1"/>
      <c r="ON38" s="178"/>
      <c r="OO38" s="178"/>
      <c r="OP38" s="1"/>
      <c r="OQ38" s="2"/>
      <c r="OR38" s="161"/>
      <c r="OS38" s="161"/>
      <c r="OT38" s="1"/>
      <c r="OU38" s="213"/>
      <c r="OV38" s="1"/>
      <c r="OW38" s="1"/>
      <c r="OX38" s="1"/>
      <c r="OY38" s="1"/>
      <c r="OZ38" s="223"/>
      <c r="PA38" s="222"/>
      <c r="PB38" s="1"/>
      <c r="PC38" s="301"/>
      <c r="PD38" s="214"/>
      <c r="PE38" s="5"/>
      <c r="PF38" s="12"/>
      <c r="PG38" s="5"/>
      <c r="PH38" s="5"/>
      <c r="PI38" s="1"/>
      <c r="PJ38" s="1"/>
      <c r="PK38" s="1"/>
      <c r="PL38" s="1"/>
      <c r="PM38" s="1"/>
      <c r="PN38" s="178"/>
      <c r="PO38" s="178"/>
      <c r="PP38" s="1"/>
      <c r="PQ38" s="2"/>
      <c r="PR38" s="161"/>
      <c r="PS38" s="161"/>
      <c r="PT38" s="1"/>
      <c r="PU38" s="213"/>
      <c r="PV38" s="1"/>
      <c r="PW38" s="1"/>
      <c r="PX38" s="1"/>
      <c r="PY38" s="1"/>
      <c r="PZ38" s="223"/>
      <c r="QA38" s="222"/>
      <c r="QB38" s="1"/>
      <c r="QC38" s="301"/>
      <c r="QD38" s="214"/>
      <c r="QE38" s="5"/>
      <c r="QF38" s="12"/>
      <c r="QG38" s="5"/>
      <c r="QH38" s="5"/>
      <c r="QI38" s="1"/>
      <c r="QJ38" s="1"/>
      <c r="QK38" s="1"/>
      <c r="QL38" s="1"/>
      <c r="QM38" s="1"/>
      <c r="QN38" s="178"/>
      <c r="QO38" s="178"/>
      <c r="QP38" s="1"/>
      <c r="QQ38" s="2"/>
      <c r="QR38" s="161"/>
      <c r="QS38" s="161"/>
      <c r="QT38" s="1"/>
      <c r="QU38" s="213"/>
      <c r="QV38" s="1"/>
      <c r="QW38" s="1"/>
      <c r="QX38" s="1"/>
      <c r="QY38" s="1"/>
      <c r="QZ38" s="223"/>
      <c r="RA38" s="222"/>
      <c r="RB38" s="1"/>
      <c r="RC38" s="301"/>
      <c r="RD38" s="214"/>
      <c r="RE38" s="5"/>
      <c r="RF38" s="12"/>
      <c r="RG38" s="5"/>
      <c r="RH38" s="5"/>
      <c r="RI38" s="1"/>
      <c r="RJ38" s="1"/>
      <c r="RK38" s="1"/>
      <c r="RL38" s="1"/>
      <c r="RM38" s="1"/>
      <c r="RN38" s="178"/>
      <c r="RO38" s="178"/>
      <c r="RP38" s="1"/>
      <c r="RQ38" s="2"/>
      <c r="RR38" s="161"/>
      <c r="RS38" s="161"/>
      <c r="RT38" s="1"/>
      <c r="RU38" s="213"/>
      <c r="RV38" s="1"/>
      <c r="RW38" s="1"/>
      <c r="RX38" s="1"/>
      <c r="RY38" s="1"/>
      <c r="RZ38" s="223"/>
      <c r="SA38" s="222"/>
      <c r="SB38" s="1"/>
      <c r="SC38" s="301"/>
      <c r="SD38" s="214"/>
      <c r="SE38" s="5"/>
      <c r="SF38" s="12"/>
      <c r="SG38" s="5"/>
      <c r="SH38" s="5"/>
      <c r="SI38" s="1"/>
      <c r="SJ38" s="1"/>
      <c r="SK38" s="1"/>
      <c r="SL38" s="1"/>
      <c r="SM38" s="1"/>
      <c r="SN38" s="178"/>
      <c r="SO38" s="178"/>
      <c r="SP38" s="1"/>
      <c r="SQ38" s="2"/>
      <c r="SR38" s="161"/>
      <c r="SS38" s="161"/>
      <c r="ST38" s="1"/>
      <c r="SU38" s="213"/>
      <c r="SV38" s="1"/>
      <c r="SW38" s="1"/>
      <c r="SX38" s="1"/>
      <c r="SY38" s="1"/>
      <c r="SZ38" s="223"/>
      <c r="TA38" s="222"/>
      <c r="TB38" s="1"/>
      <c r="TC38" s="301"/>
      <c r="TD38" s="214"/>
      <c r="TE38" s="5"/>
      <c r="TF38" s="12"/>
      <c r="TG38" s="5"/>
      <c r="TH38" s="5"/>
      <c r="TI38" s="1"/>
      <c r="TJ38" s="1"/>
      <c r="TK38" s="1"/>
      <c r="TL38" s="1"/>
      <c r="TM38" s="1"/>
      <c r="TN38" s="178"/>
      <c r="TO38" s="178"/>
      <c r="TP38" s="1"/>
      <c r="TQ38" s="2"/>
      <c r="TR38" s="161"/>
      <c r="TS38" s="161"/>
      <c r="TT38" s="1"/>
      <c r="TU38" s="213"/>
      <c r="TV38" s="1"/>
      <c r="TW38" s="1"/>
      <c r="TX38" s="1"/>
      <c r="TY38" s="1"/>
      <c r="TZ38" s="223"/>
      <c r="UA38" s="222"/>
      <c r="UB38" s="1"/>
      <c r="UC38" s="301"/>
      <c r="UD38" s="214"/>
      <c r="UE38" s="5"/>
      <c r="UF38" s="12"/>
      <c r="UG38" s="5"/>
      <c r="UH38" s="5"/>
      <c r="UI38" s="1"/>
      <c r="UJ38" s="1"/>
      <c r="UK38" s="1"/>
      <c r="UL38" s="1"/>
      <c r="UM38" s="1"/>
      <c r="UN38" s="178"/>
      <c r="UO38" s="178"/>
      <c r="UP38" s="1"/>
      <c r="UQ38" s="2"/>
      <c r="UR38" s="161"/>
      <c r="US38" s="161"/>
      <c r="UT38" s="1"/>
      <c r="UU38" s="213"/>
      <c r="UV38" s="1"/>
      <c r="UW38" s="1"/>
      <c r="UX38" s="1"/>
      <c r="UY38" s="1"/>
      <c r="UZ38" s="223"/>
      <c r="VA38" s="222"/>
      <c r="VB38" s="1"/>
      <c r="VC38" s="301"/>
      <c r="VD38" s="214"/>
      <c r="VE38" s="5"/>
      <c r="VF38" s="12"/>
      <c r="VG38" s="5"/>
      <c r="VH38" s="5"/>
      <c r="VI38" s="1"/>
      <c r="VJ38" s="1"/>
      <c r="VK38" s="1"/>
      <c r="VL38" s="1"/>
      <c r="VM38" s="1"/>
      <c r="VN38" s="178"/>
      <c r="VO38" s="178"/>
      <c r="VP38" s="1"/>
      <c r="VQ38" s="2"/>
      <c r="VR38" s="161"/>
      <c r="VS38" s="161"/>
      <c r="VT38" s="1"/>
      <c r="VU38" s="213"/>
      <c r="VV38" s="1"/>
      <c r="VW38" s="1"/>
      <c r="VX38" s="1"/>
      <c r="VY38" s="1"/>
      <c r="VZ38" s="223"/>
      <c r="WA38" s="222"/>
      <c r="WB38" s="1"/>
      <c r="WC38" s="301"/>
      <c r="WD38" s="214"/>
      <c r="WE38" s="5"/>
      <c r="WF38" s="12"/>
      <c r="WG38" s="5"/>
      <c r="WH38" s="5"/>
      <c r="WI38" s="1"/>
      <c r="WJ38" s="1"/>
      <c r="WK38" s="1"/>
      <c r="WL38" s="1"/>
      <c r="WM38" s="1"/>
      <c r="WN38" s="178"/>
      <c r="WO38" s="178"/>
      <c r="WP38" s="1"/>
      <c r="WQ38" s="2"/>
      <c r="WR38" s="161"/>
      <c r="WS38" s="161"/>
      <c r="WT38" s="1"/>
      <c r="WU38" s="213"/>
      <c r="WV38" s="1"/>
      <c r="WW38" s="1"/>
      <c r="WX38" s="1"/>
      <c r="WY38" s="1"/>
      <c r="WZ38" s="223"/>
      <c r="XA38" s="222"/>
      <c r="XB38" s="1"/>
      <c r="XC38" s="301"/>
      <c r="XD38" s="214"/>
      <c r="XE38" s="5"/>
      <c r="XF38" s="12"/>
      <c r="XG38" s="5"/>
      <c r="XH38" s="5"/>
      <c r="XI38" s="1"/>
      <c r="XJ38" s="1"/>
      <c r="XK38" s="1"/>
      <c r="XL38" s="1"/>
      <c r="XM38" s="1"/>
      <c r="XN38" s="178"/>
      <c r="XO38" s="178"/>
      <c r="XP38" s="1"/>
      <c r="XQ38" s="2"/>
      <c r="XR38" s="161"/>
      <c r="XS38" s="161"/>
      <c r="XT38" s="1"/>
      <c r="XU38" s="213"/>
      <c r="XV38" s="1"/>
      <c r="XW38" s="1"/>
      <c r="XX38" s="1"/>
      <c r="XY38" s="1"/>
      <c r="XZ38" s="223"/>
      <c r="YA38" s="222"/>
      <c r="YB38" s="1"/>
      <c r="YC38" s="301"/>
      <c r="YD38" s="214"/>
      <c r="YE38" s="5"/>
      <c r="YF38" s="12"/>
      <c r="YG38" s="5"/>
      <c r="YH38" s="5"/>
      <c r="YI38" s="1"/>
      <c r="YJ38" s="1"/>
      <c r="YK38" s="1"/>
      <c r="YL38" s="1"/>
      <c r="YM38" s="1"/>
      <c r="YN38" s="178"/>
      <c r="YO38" s="178"/>
      <c r="YP38" s="1"/>
      <c r="YQ38" s="2"/>
      <c r="YR38" s="161"/>
      <c r="YS38" s="161"/>
      <c r="YT38" s="1"/>
      <c r="YU38" s="213"/>
      <c r="YV38" s="1"/>
      <c r="YW38" s="1"/>
      <c r="YX38" s="1"/>
      <c r="YY38" s="1"/>
      <c r="YZ38" s="223"/>
      <c r="ZA38" s="222"/>
      <c r="ZB38" s="1"/>
      <c r="ZC38" s="301"/>
      <c r="ZD38" s="214"/>
      <c r="ZE38" s="5"/>
      <c r="ZF38" s="12"/>
      <c r="ZG38" s="5"/>
      <c r="ZH38" s="5"/>
      <c r="ZI38" s="1"/>
      <c r="ZJ38" s="1"/>
      <c r="ZK38" s="1"/>
      <c r="ZL38" s="1"/>
      <c r="ZM38" s="1"/>
      <c r="ZN38" s="178"/>
      <c r="ZO38" s="178"/>
      <c r="ZP38" s="1"/>
      <c r="ZQ38" s="2"/>
      <c r="ZR38" s="161"/>
      <c r="ZS38" s="161"/>
      <c r="ZT38" s="1"/>
      <c r="ZU38" s="213"/>
      <c r="ZV38" s="1"/>
      <c r="ZW38" s="1"/>
      <c r="ZX38" s="1"/>
      <c r="ZY38" s="1"/>
      <c r="ZZ38" s="223"/>
      <c r="AAA38" s="222"/>
      <c r="AAB38" s="1"/>
      <c r="AAC38" s="301"/>
      <c r="AAD38" s="214"/>
      <c r="AAE38" s="5"/>
      <c r="AAF38" s="12"/>
      <c r="AAG38" s="5"/>
      <c r="AAH38" s="5"/>
      <c r="AAI38" s="1"/>
      <c r="AAJ38" s="1"/>
      <c r="AAK38" s="1"/>
      <c r="AAL38" s="1"/>
      <c r="AAM38" s="1"/>
      <c r="AAN38" s="178"/>
      <c r="AAO38" s="178"/>
      <c r="AAP38" s="1"/>
      <c r="AAQ38" s="2"/>
      <c r="AAR38" s="161"/>
      <c r="AAS38" s="161"/>
      <c r="AAT38" s="1"/>
      <c r="AAU38" s="213"/>
      <c r="AAV38" s="1"/>
      <c r="AAW38" s="1"/>
      <c r="AAX38" s="1"/>
      <c r="AAY38" s="1"/>
      <c r="AAZ38" s="223"/>
      <c r="ABA38" s="222"/>
      <c r="ABB38" s="1"/>
      <c r="ABC38" s="301"/>
      <c r="ABD38" s="214"/>
      <c r="ABE38" s="5"/>
      <c r="ABF38" s="12"/>
      <c r="ABG38" s="5"/>
      <c r="ABH38" s="5"/>
      <c r="ABI38" s="1"/>
      <c r="ABJ38" s="1"/>
      <c r="ABK38" s="1"/>
      <c r="ABL38" s="1"/>
      <c r="ABM38" s="1"/>
      <c r="ABN38" s="178"/>
      <c r="ABO38" s="178"/>
      <c r="ABP38" s="1"/>
      <c r="ABQ38" s="2"/>
      <c r="ABR38" s="161"/>
      <c r="ABS38" s="161"/>
      <c r="ABT38" s="1"/>
      <c r="ABU38" s="213"/>
      <c r="ABV38" s="1"/>
      <c r="ABW38" s="1"/>
      <c r="ABX38" s="1"/>
      <c r="ABY38" s="1"/>
      <c r="ABZ38" s="223"/>
      <c r="ACA38" s="222"/>
      <c r="ACB38" s="1"/>
      <c r="ACC38" s="301"/>
      <c r="ACD38" s="214"/>
      <c r="ACE38" s="5"/>
      <c r="ACF38" s="12"/>
      <c r="ACG38" s="5"/>
      <c r="ACH38" s="5"/>
      <c r="ACI38" s="1"/>
      <c r="ACJ38" s="1"/>
      <c r="ACK38" s="1"/>
      <c r="ACL38" s="1"/>
      <c r="ACM38" s="1"/>
      <c r="ACN38" s="178"/>
      <c r="ACO38" s="178"/>
      <c r="ACP38" s="1"/>
      <c r="ACQ38" s="2"/>
      <c r="ACR38" s="161"/>
      <c r="ACS38" s="161"/>
      <c r="ACT38" s="1"/>
      <c r="ACU38" s="213"/>
      <c r="ACV38" s="1"/>
      <c r="ACW38" s="1"/>
      <c r="ACX38" s="1"/>
      <c r="ACY38" s="1"/>
      <c r="ACZ38" s="223"/>
      <c r="ADA38" s="222"/>
      <c r="ADB38" s="1"/>
      <c r="ADC38" s="301"/>
      <c r="ADD38" s="214"/>
      <c r="ADE38" s="5"/>
      <c r="ADF38" s="12"/>
      <c r="ADG38" s="5"/>
      <c r="ADH38" s="5"/>
      <c r="ADI38" s="1"/>
      <c r="ADJ38" s="1"/>
      <c r="ADK38" s="1"/>
      <c r="ADL38" s="1"/>
      <c r="ADM38" s="1"/>
      <c r="ADN38" s="178"/>
      <c r="ADO38" s="178"/>
      <c r="ADP38" s="1"/>
      <c r="ADQ38" s="2"/>
      <c r="ADR38" s="161"/>
      <c r="ADS38" s="161"/>
      <c r="ADT38" s="1"/>
      <c r="ADU38" s="213"/>
      <c r="ADV38" s="1"/>
      <c r="ADW38" s="1"/>
      <c r="ADX38" s="1"/>
      <c r="ADY38" s="1"/>
      <c r="ADZ38" s="223"/>
      <c r="AEA38" s="222"/>
      <c r="AEB38" s="1"/>
      <c r="AEC38" s="301"/>
      <c r="AED38" s="214"/>
      <c r="AEE38" s="5"/>
      <c r="AEF38" s="12"/>
      <c r="AEG38" s="5"/>
      <c r="AEH38" s="5"/>
      <c r="AEI38" s="1"/>
      <c r="AEJ38" s="1"/>
      <c r="AEK38" s="1"/>
      <c r="AEL38" s="1"/>
      <c r="AEM38" s="1"/>
      <c r="AEN38" s="178"/>
      <c r="AEO38" s="178"/>
      <c r="AEP38" s="1"/>
      <c r="AEQ38" s="2"/>
      <c r="AER38" s="161"/>
      <c r="AES38" s="161"/>
      <c r="AET38" s="1"/>
      <c r="AEU38" s="213"/>
      <c r="AEV38" s="1"/>
      <c r="AEW38" s="1"/>
      <c r="AEX38" s="1"/>
      <c r="AEY38" s="1"/>
      <c r="AEZ38" s="223"/>
      <c r="AFA38" s="222"/>
      <c r="AFB38" s="1"/>
      <c r="AFC38" s="301"/>
      <c r="AFD38" s="214"/>
      <c r="AFE38" s="5"/>
      <c r="AFF38" s="12"/>
      <c r="AFG38" s="5"/>
      <c r="AFH38" s="5"/>
      <c r="AFI38" s="1"/>
      <c r="AFJ38" s="1"/>
      <c r="AFK38" s="1"/>
      <c r="AFL38" s="1"/>
      <c r="AFM38" s="1"/>
      <c r="AFN38" s="178"/>
      <c r="AFO38" s="178"/>
      <c r="AFP38" s="1"/>
      <c r="AFQ38" s="2"/>
      <c r="AFR38" s="161"/>
      <c r="AFS38" s="161"/>
      <c r="AFT38" s="1"/>
      <c r="AFU38" s="213"/>
      <c r="AFV38" s="1"/>
      <c r="AFW38" s="1"/>
      <c r="AFX38" s="1"/>
      <c r="AFY38" s="1"/>
      <c r="AFZ38" s="223"/>
      <c r="AGA38" s="222"/>
      <c r="AGB38" s="1"/>
      <c r="AGC38" s="301"/>
      <c r="AGD38" s="214"/>
      <c r="AGE38" s="5"/>
      <c r="AGF38" s="12"/>
      <c r="AGG38" s="5"/>
      <c r="AGH38" s="5"/>
      <c r="AGI38" s="1"/>
      <c r="AGJ38" s="1"/>
      <c r="AGK38" s="1"/>
      <c r="AGL38" s="1"/>
      <c r="AGM38" s="1"/>
      <c r="AGN38" s="178"/>
      <c r="AGO38" s="178"/>
      <c r="AGP38" s="1"/>
      <c r="AGQ38" s="2"/>
      <c r="AGR38" s="161"/>
      <c r="AGS38" s="161"/>
      <c r="AGT38" s="1"/>
      <c r="AGU38" s="213"/>
      <c r="AGV38" s="1"/>
      <c r="AGW38" s="1"/>
      <c r="AGX38" s="1"/>
      <c r="AGY38" s="1"/>
      <c r="AGZ38" s="223"/>
      <c r="AHA38" s="222"/>
      <c r="AHB38" s="1"/>
      <c r="AHC38" s="301"/>
      <c r="AHD38" s="214"/>
      <c r="AHE38" s="5"/>
      <c r="AHF38" s="12"/>
      <c r="AHG38" s="5"/>
      <c r="AHH38" s="5"/>
      <c r="AHI38" s="1"/>
      <c r="AHJ38" s="1"/>
      <c r="AHK38" s="1"/>
      <c r="AHL38" s="1"/>
      <c r="AHM38" s="1"/>
      <c r="AHN38" s="178"/>
      <c r="AHO38" s="178"/>
      <c r="AHP38" s="1"/>
      <c r="AHQ38" s="2"/>
      <c r="AHR38" s="161"/>
      <c r="AHS38" s="161"/>
      <c r="AHT38" s="1"/>
      <c r="AHU38" s="213"/>
      <c r="AHV38" s="1"/>
      <c r="AHW38" s="1"/>
      <c r="AHX38" s="1"/>
      <c r="AHY38" s="1"/>
      <c r="AHZ38" s="223"/>
      <c r="AIA38" s="222"/>
      <c r="AIB38" s="1"/>
      <c r="AIC38" s="301"/>
      <c r="AID38" s="214"/>
      <c r="AIE38" s="5"/>
      <c r="AIF38" s="12"/>
      <c r="AIG38" s="5"/>
      <c r="AIH38" s="5"/>
      <c r="AII38" s="1"/>
      <c r="AIJ38" s="1"/>
      <c r="AIK38" s="1"/>
      <c r="AIL38" s="1"/>
      <c r="AIM38" s="1"/>
      <c r="AIN38" s="178"/>
      <c r="AIO38" s="178"/>
      <c r="AIP38" s="1"/>
      <c r="AIQ38" s="2"/>
      <c r="AIR38" s="161"/>
      <c r="AIS38" s="161"/>
      <c r="AIT38" s="1"/>
      <c r="AIU38" s="213"/>
      <c r="AIV38" s="1"/>
      <c r="AIW38" s="1"/>
      <c r="AIX38" s="1"/>
      <c r="AIY38" s="1"/>
      <c r="AIZ38" s="223"/>
      <c r="AJA38" s="222"/>
      <c r="AJB38" s="1"/>
      <c r="AJC38" s="301"/>
      <c r="AJD38" s="214"/>
      <c r="AJE38" s="5"/>
      <c r="AJF38" s="12"/>
      <c r="AJG38" s="5"/>
      <c r="AJH38" s="5"/>
      <c r="AJI38" s="1"/>
      <c r="AJJ38" s="1"/>
      <c r="AJK38" s="1"/>
      <c r="AJL38" s="1"/>
      <c r="AJM38" s="1"/>
      <c r="AJN38" s="178"/>
      <c r="AJO38" s="178"/>
      <c r="AJP38" s="1"/>
      <c r="AJQ38" s="2"/>
      <c r="AJR38" s="161"/>
      <c r="AJS38" s="161"/>
      <c r="AJT38" s="1"/>
      <c r="AJU38" s="213"/>
      <c r="AJV38" s="1"/>
      <c r="AJW38" s="1"/>
      <c r="AJX38" s="1"/>
      <c r="AJY38" s="1"/>
      <c r="AJZ38" s="223"/>
      <c r="AKA38" s="222"/>
      <c r="AKB38" s="1"/>
      <c r="AKC38" s="301"/>
      <c r="AKD38" s="214"/>
      <c r="AKE38" s="5"/>
      <c r="AKF38" s="12"/>
      <c r="AKG38" s="5"/>
      <c r="AKH38" s="5"/>
      <c r="AKI38" s="1"/>
      <c r="AKJ38" s="1"/>
      <c r="AKK38" s="1"/>
      <c r="AKL38" s="1"/>
      <c r="AKM38" s="1"/>
      <c r="AKN38" s="178"/>
      <c r="AKO38" s="178"/>
      <c r="AKP38" s="1"/>
      <c r="AKQ38" s="2"/>
      <c r="AKR38" s="161"/>
      <c r="AKS38" s="161"/>
      <c r="AKT38" s="1"/>
      <c r="AKU38" s="213"/>
      <c r="AKV38" s="1"/>
      <c r="AKW38" s="1"/>
      <c r="AKX38" s="1"/>
      <c r="AKY38" s="1"/>
      <c r="AKZ38" s="223"/>
      <c r="ALA38" s="222"/>
      <c r="ALB38" s="1"/>
      <c r="ALC38" s="301"/>
      <c r="ALD38" s="214"/>
      <c r="ALE38" s="5"/>
      <c r="ALF38" s="12"/>
      <c r="ALG38" s="5"/>
      <c r="ALH38" s="5"/>
      <c r="ALI38" s="1"/>
      <c r="ALJ38" s="1"/>
      <c r="ALK38" s="1"/>
      <c r="ALL38" s="1"/>
      <c r="ALM38" s="1"/>
      <c r="ALN38" s="178"/>
      <c r="ALO38" s="178"/>
      <c r="ALP38" s="1"/>
      <c r="ALQ38" s="2"/>
      <c r="ALR38" s="161"/>
      <c r="ALS38" s="161"/>
      <c r="ALT38" s="1"/>
      <c r="ALU38" s="213"/>
      <c r="ALV38" s="1"/>
      <c r="ALW38" s="1"/>
      <c r="ALX38" s="1"/>
      <c r="ALY38" s="1"/>
      <c r="ALZ38" s="223"/>
      <c r="AMA38" s="222"/>
      <c r="AMB38" s="1"/>
      <c r="AMC38" s="301"/>
      <c r="AMD38" s="214"/>
      <c r="AME38" s="5"/>
      <c r="AMF38" s="12"/>
      <c r="AMG38" s="5"/>
      <c r="AMH38" s="5"/>
      <c r="AMI38" s="1"/>
      <c r="AMJ38" s="1"/>
      <c r="AMK38" s="1"/>
      <c r="AML38" s="1"/>
      <c r="AMM38" s="1"/>
      <c r="AMN38" s="178"/>
      <c r="AMO38" s="178"/>
      <c r="AMP38" s="1"/>
      <c r="AMQ38" s="2"/>
      <c r="AMR38" s="161"/>
      <c r="AMS38" s="161"/>
      <c r="AMT38" s="1"/>
      <c r="AMU38" s="213"/>
      <c r="AMV38" s="1"/>
      <c r="AMW38" s="1"/>
      <c r="AMX38" s="1"/>
      <c r="AMY38" s="1"/>
      <c r="AMZ38" s="223"/>
      <c r="ANA38" s="222"/>
      <c r="ANB38" s="1"/>
      <c r="ANC38" s="301"/>
      <c r="AND38" s="214"/>
      <c r="ANE38" s="5"/>
      <c r="ANF38" s="12"/>
      <c r="ANG38" s="5"/>
      <c r="ANH38" s="5"/>
      <c r="ANI38" s="1"/>
      <c r="ANJ38" s="1"/>
      <c r="ANK38" s="1"/>
      <c r="ANL38" s="1"/>
      <c r="ANM38" s="1"/>
      <c r="ANN38" s="178"/>
      <c r="ANO38" s="178"/>
      <c r="ANP38" s="1"/>
      <c r="ANQ38" s="2"/>
      <c r="ANR38" s="161"/>
      <c r="ANS38" s="161"/>
      <c r="ANT38" s="1"/>
      <c r="ANU38" s="213"/>
      <c r="ANV38" s="1"/>
      <c r="ANW38" s="1"/>
      <c r="ANX38" s="1"/>
      <c r="ANY38" s="1"/>
      <c r="ANZ38" s="223"/>
      <c r="AOA38" s="222"/>
      <c r="AOB38" s="1"/>
      <c r="AOC38" s="301"/>
      <c r="AOD38" s="214"/>
      <c r="AOE38" s="5"/>
      <c r="AOF38" s="12"/>
      <c r="AOG38" s="5"/>
      <c r="AOH38" s="5"/>
      <c r="AOI38" s="1"/>
      <c r="AOJ38" s="1"/>
      <c r="AOK38" s="1"/>
      <c r="AOL38" s="1"/>
      <c r="AOM38" s="1"/>
      <c r="AON38" s="178"/>
      <c r="AOO38" s="178"/>
      <c r="AOP38" s="1"/>
      <c r="AOQ38" s="2"/>
      <c r="AOR38" s="161"/>
      <c r="AOS38" s="161"/>
      <c r="AOT38" s="1"/>
      <c r="AOU38" s="213"/>
      <c r="AOV38" s="1"/>
      <c r="AOW38" s="1"/>
      <c r="AOX38" s="1"/>
      <c r="AOY38" s="1"/>
      <c r="AOZ38" s="223"/>
      <c r="APA38" s="222"/>
      <c r="APB38" s="1"/>
      <c r="APC38" s="301"/>
      <c r="APD38" s="214"/>
      <c r="APE38" s="5"/>
      <c r="APF38" s="12"/>
      <c r="APG38" s="5"/>
      <c r="APH38" s="5"/>
      <c r="API38" s="1"/>
      <c r="APJ38" s="1"/>
      <c r="APK38" s="1"/>
      <c r="APL38" s="1"/>
      <c r="APM38" s="1"/>
      <c r="APN38" s="178"/>
      <c r="APO38" s="178"/>
      <c r="APP38" s="1"/>
      <c r="APQ38" s="2"/>
      <c r="APR38" s="161"/>
      <c r="APS38" s="161"/>
      <c r="APT38" s="1"/>
      <c r="APU38" s="213"/>
      <c r="APV38" s="1"/>
      <c r="APW38" s="1"/>
      <c r="APX38" s="1"/>
      <c r="APY38" s="1"/>
      <c r="APZ38" s="223"/>
      <c r="AQA38" s="222"/>
      <c r="AQB38" s="1"/>
      <c r="AQC38" s="301"/>
      <c r="AQD38" s="214"/>
      <c r="AQE38" s="5"/>
      <c r="AQF38" s="12"/>
      <c r="AQG38" s="5"/>
      <c r="AQH38" s="5"/>
      <c r="AQI38" s="1"/>
      <c r="AQJ38" s="1"/>
      <c r="AQK38" s="1"/>
      <c r="AQL38" s="1"/>
      <c r="AQM38" s="1"/>
      <c r="AQN38" s="178"/>
      <c r="AQO38" s="178"/>
      <c r="AQP38" s="1"/>
      <c r="AQQ38" s="2"/>
      <c r="AQR38" s="161"/>
      <c r="AQS38" s="161"/>
      <c r="AQT38" s="1"/>
      <c r="AQU38" s="213"/>
      <c r="AQV38" s="1"/>
      <c r="AQW38" s="1"/>
      <c r="AQX38" s="1"/>
      <c r="AQY38" s="1"/>
      <c r="AQZ38" s="223"/>
      <c r="ARA38" s="222"/>
      <c r="ARB38" s="1"/>
      <c r="ARC38" s="301"/>
      <c r="ARD38" s="214"/>
      <c r="ARE38" s="5"/>
      <c r="ARF38" s="12"/>
      <c r="ARG38" s="5"/>
      <c r="ARH38" s="5"/>
      <c r="ARI38" s="1"/>
      <c r="ARJ38" s="1"/>
      <c r="ARK38" s="1"/>
      <c r="ARL38" s="1"/>
      <c r="ARM38" s="1"/>
      <c r="ARN38" s="178"/>
      <c r="ARO38" s="178"/>
      <c r="ARP38" s="1"/>
      <c r="ARQ38" s="2"/>
      <c r="ARR38" s="161"/>
      <c r="ARS38" s="161"/>
      <c r="ART38" s="1"/>
      <c r="ARU38" s="213"/>
      <c r="ARV38" s="1"/>
      <c r="ARW38" s="1"/>
      <c r="ARX38" s="1"/>
      <c r="ARY38" s="1"/>
      <c r="ARZ38" s="223"/>
      <c r="ASA38" s="222"/>
      <c r="ASB38" s="1"/>
      <c r="ASC38" s="301"/>
      <c r="ASD38" s="214"/>
      <c r="ASE38" s="5"/>
      <c r="ASF38" s="12"/>
      <c r="ASG38" s="5"/>
      <c r="ASH38" s="5"/>
      <c r="ASI38" s="1"/>
      <c r="ASJ38" s="1"/>
      <c r="ASK38" s="1"/>
      <c r="ASL38" s="1"/>
      <c r="ASM38" s="1"/>
      <c r="ASN38" s="178"/>
      <c r="ASO38" s="178"/>
      <c r="ASP38" s="1"/>
      <c r="ASQ38" s="2"/>
      <c r="ASR38" s="161"/>
      <c r="ASS38" s="161"/>
      <c r="AST38" s="1"/>
      <c r="ASU38" s="213"/>
      <c r="ASV38" s="1"/>
      <c r="ASW38" s="1"/>
      <c r="ASX38" s="1"/>
      <c r="ASY38" s="1"/>
      <c r="ASZ38" s="223"/>
      <c r="ATA38" s="222"/>
      <c r="ATB38" s="1"/>
      <c r="ATC38" s="301"/>
      <c r="ATD38" s="214"/>
      <c r="ATE38" s="5"/>
      <c r="ATF38" s="12"/>
      <c r="ATG38" s="5"/>
      <c r="ATH38" s="5"/>
      <c r="ATI38" s="1"/>
      <c r="ATJ38" s="1"/>
      <c r="ATK38" s="1"/>
      <c r="ATL38" s="1"/>
      <c r="ATM38" s="1"/>
      <c r="ATN38" s="178"/>
      <c r="ATO38" s="178"/>
      <c r="ATP38" s="1"/>
      <c r="ATQ38" s="2"/>
      <c r="ATR38" s="161"/>
      <c r="ATS38" s="161"/>
      <c r="ATT38" s="1"/>
      <c r="ATU38" s="213"/>
      <c r="ATV38" s="1"/>
      <c r="ATW38" s="1"/>
      <c r="ATX38" s="1"/>
      <c r="ATY38" s="1"/>
      <c r="ATZ38" s="223"/>
      <c r="AUA38" s="222"/>
      <c r="AUB38" s="1"/>
      <c r="AUC38" s="301"/>
      <c r="AUD38" s="214"/>
      <c r="AUE38" s="5"/>
      <c r="AUF38" s="12"/>
      <c r="AUG38" s="5"/>
      <c r="AUH38" s="5"/>
      <c r="AUI38" s="1"/>
      <c r="AUJ38" s="1"/>
      <c r="AUK38" s="1"/>
      <c r="AUL38" s="1"/>
      <c r="AUM38" s="1"/>
      <c r="AUN38" s="178"/>
      <c r="AUO38" s="178"/>
      <c r="AUP38" s="1"/>
      <c r="AUQ38" s="2"/>
      <c r="AUR38" s="161"/>
      <c r="AUS38" s="161"/>
      <c r="AUT38" s="1"/>
      <c r="AUU38" s="213"/>
      <c r="AUV38" s="1"/>
      <c r="AUW38" s="1"/>
      <c r="AUX38" s="1"/>
      <c r="AUY38" s="1"/>
      <c r="AUZ38" s="223"/>
      <c r="AVA38" s="222"/>
      <c r="AVB38" s="1"/>
      <c r="AVC38" s="301"/>
      <c r="AVD38" s="214"/>
      <c r="AVE38" s="5"/>
      <c r="AVF38" s="12"/>
      <c r="AVG38" s="5"/>
      <c r="AVH38" s="5"/>
      <c r="AVI38" s="1"/>
      <c r="AVJ38" s="1"/>
      <c r="AVK38" s="1"/>
      <c r="AVL38" s="1"/>
      <c r="AVM38" s="1"/>
      <c r="AVN38" s="178"/>
      <c r="AVO38" s="178"/>
      <c r="AVP38" s="1"/>
      <c r="AVQ38" s="2"/>
      <c r="AVR38" s="161"/>
      <c r="AVS38" s="161"/>
      <c r="AVT38" s="1"/>
      <c r="AVU38" s="213"/>
      <c r="AVV38" s="1"/>
      <c r="AVW38" s="1"/>
      <c r="AVX38" s="1"/>
      <c r="AVY38" s="1"/>
      <c r="AVZ38" s="223"/>
      <c r="AWA38" s="222"/>
      <c r="AWB38" s="1"/>
      <c r="AWC38" s="301"/>
      <c r="AWD38" s="214"/>
      <c r="AWE38" s="5"/>
      <c r="AWF38" s="12"/>
      <c r="AWG38" s="5"/>
      <c r="AWH38" s="5"/>
      <c r="AWI38" s="1"/>
      <c r="AWJ38" s="1"/>
      <c r="AWK38" s="1"/>
      <c r="AWL38" s="1"/>
      <c r="AWM38" s="1"/>
      <c r="AWN38" s="178"/>
      <c r="AWO38" s="178"/>
      <c r="AWP38" s="1"/>
      <c r="AWQ38" s="2"/>
      <c r="AWR38" s="161"/>
      <c r="AWS38" s="161"/>
      <c r="AWT38" s="1"/>
      <c r="AWU38" s="213"/>
      <c r="AWV38" s="1"/>
      <c r="AWW38" s="1"/>
      <c r="AWX38" s="1"/>
      <c r="AWY38" s="1"/>
      <c r="AWZ38" s="223"/>
      <c r="AXA38" s="222"/>
      <c r="AXB38" s="1"/>
      <c r="AXC38" s="301"/>
      <c r="AXD38" s="214"/>
      <c r="AXE38" s="5"/>
      <c r="AXF38" s="12"/>
      <c r="AXG38" s="5"/>
      <c r="AXH38" s="5"/>
      <c r="AXI38" s="1"/>
      <c r="AXJ38" s="1"/>
      <c r="AXK38" s="1"/>
      <c r="AXL38" s="1"/>
      <c r="AXM38" s="1"/>
      <c r="AXN38" s="178"/>
      <c r="AXO38" s="178"/>
      <c r="AXP38" s="1"/>
      <c r="AXQ38" s="2"/>
      <c r="AXR38" s="161"/>
      <c r="AXS38" s="161"/>
      <c r="AXT38" s="1"/>
      <c r="AXU38" s="213"/>
      <c r="AXV38" s="1"/>
      <c r="AXW38" s="1"/>
      <c r="AXX38" s="1"/>
      <c r="AXY38" s="1"/>
      <c r="AXZ38" s="223"/>
      <c r="AYA38" s="222"/>
      <c r="AYB38" s="1"/>
      <c r="AYC38" s="301"/>
      <c r="AYD38" s="214"/>
      <c r="AYE38" s="5"/>
      <c r="AYF38" s="12"/>
      <c r="AYG38" s="5"/>
      <c r="AYH38" s="5"/>
      <c r="AYI38" s="1"/>
      <c r="AYJ38" s="1"/>
      <c r="AYK38" s="1"/>
      <c r="AYL38" s="1"/>
      <c r="AYM38" s="1"/>
      <c r="AYN38" s="178"/>
      <c r="AYO38" s="178"/>
      <c r="AYP38" s="1"/>
      <c r="AYQ38" s="2"/>
      <c r="AYR38" s="161"/>
      <c r="AYS38" s="161"/>
      <c r="AYT38" s="1"/>
      <c r="AYU38" s="213"/>
      <c r="AYV38" s="1"/>
      <c r="AYW38" s="1"/>
      <c r="AYX38" s="1"/>
      <c r="AYY38" s="1"/>
      <c r="AYZ38" s="223"/>
      <c r="AZA38" s="222"/>
      <c r="AZB38" s="1"/>
      <c r="AZC38" s="301"/>
      <c r="AZD38" s="214"/>
      <c r="AZE38" s="5"/>
      <c r="AZF38" s="12"/>
      <c r="AZG38" s="5"/>
      <c r="AZH38" s="5"/>
      <c r="AZI38" s="1"/>
      <c r="AZJ38" s="1"/>
      <c r="AZK38" s="1"/>
      <c r="AZL38" s="1"/>
      <c r="AZM38" s="1"/>
      <c r="AZN38" s="178"/>
      <c r="AZO38" s="178"/>
      <c r="AZP38" s="1"/>
      <c r="AZQ38" s="2"/>
      <c r="AZR38" s="161"/>
      <c r="AZS38" s="161"/>
      <c r="AZT38" s="1"/>
      <c r="AZU38" s="213"/>
      <c r="AZV38" s="1"/>
      <c r="AZW38" s="1"/>
      <c r="AZX38" s="1"/>
      <c r="AZY38" s="1"/>
      <c r="AZZ38" s="223"/>
      <c r="BAA38" s="222"/>
      <c r="BAB38" s="1"/>
      <c r="BAC38" s="301"/>
      <c r="BAD38" s="214"/>
      <c r="BAE38" s="5"/>
      <c r="BAF38" s="12"/>
      <c r="BAG38" s="5"/>
      <c r="BAH38" s="5"/>
      <c r="BAI38" s="1"/>
      <c r="BAJ38" s="1"/>
      <c r="BAK38" s="1"/>
      <c r="BAL38" s="1"/>
      <c r="BAM38" s="1"/>
      <c r="BAN38" s="178"/>
      <c r="BAO38" s="178"/>
      <c r="BAP38" s="1"/>
      <c r="BAQ38" s="2"/>
      <c r="BAR38" s="161"/>
      <c r="BAS38" s="161"/>
      <c r="BAT38" s="1"/>
      <c r="BAU38" s="213"/>
      <c r="BAV38" s="1"/>
      <c r="BAW38" s="1"/>
      <c r="BAX38" s="1"/>
      <c r="BAY38" s="1"/>
      <c r="BAZ38" s="223"/>
      <c r="BBA38" s="222"/>
      <c r="BBB38" s="1"/>
      <c r="BBC38" s="301"/>
      <c r="BBD38" s="214"/>
      <c r="BBE38" s="5"/>
      <c r="BBF38" s="12"/>
      <c r="BBG38" s="5"/>
      <c r="BBH38" s="5"/>
      <c r="BBI38" s="1"/>
      <c r="BBJ38" s="1"/>
      <c r="BBK38" s="1"/>
      <c r="BBL38" s="1"/>
      <c r="BBM38" s="1"/>
      <c r="BBN38" s="178"/>
      <c r="BBO38" s="178"/>
      <c r="BBP38" s="1"/>
      <c r="BBQ38" s="2"/>
      <c r="BBR38" s="161"/>
      <c r="BBS38" s="161"/>
      <c r="BBT38" s="1"/>
      <c r="BBU38" s="213"/>
      <c r="BBV38" s="1"/>
      <c r="BBW38" s="1"/>
      <c r="BBX38" s="1"/>
      <c r="BBY38" s="1"/>
      <c r="BBZ38" s="223"/>
      <c r="BCA38" s="222"/>
      <c r="BCB38" s="1"/>
      <c r="BCC38" s="301"/>
      <c r="BCD38" s="214"/>
      <c r="BCE38" s="5"/>
      <c r="BCF38" s="12"/>
      <c r="BCG38" s="5"/>
      <c r="BCH38" s="5"/>
      <c r="BCI38" s="1"/>
      <c r="BCJ38" s="1"/>
      <c r="BCK38" s="1"/>
      <c r="BCL38" s="1"/>
      <c r="BCM38" s="1"/>
      <c r="BCN38" s="178"/>
      <c r="BCO38" s="178"/>
      <c r="BCP38" s="1"/>
      <c r="BCQ38" s="2"/>
      <c r="BCR38" s="161"/>
      <c r="BCS38" s="161"/>
      <c r="BCT38" s="1"/>
      <c r="BCU38" s="213"/>
      <c r="BCV38" s="1"/>
      <c r="BCW38" s="1"/>
      <c r="BCX38" s="1"/>
      <c r="BCY38" s="1"/>
      <c r="BCZ38" s="223"/>
      <c r="BDA38" s="222"/>
      <c r="BDB38" s="1"/>
      <c r="BDC38" s="301"/>
      <c r="BDD38" s="214"/>
      <c r="BDE38" s="5"/>
      <c r="BDF38" s="12"/>
      <c r="BDG38" s="5"/>
      <c r="BDH38" s="5"/>
      <c r="BDI38" s="1"/>
      <c r="BDJ38" s="1"/>
      <c r="BDK38" s="1"/>
      <c r="BDL38" s="1"/>
      <c r="BDM38" s="1"/>
      <c r="BDN38" s="178"/>
      <c r="BDO38" s="178"/>
      <c r="BDP38" s="1"/>
      <c r="BDQ38" s="2"/>
      <c r="BDR38" s="161"/>
      <c r="BDS38" s="161"/>
      <c r="BDT38" s="1"/>
      <c r="BDU38" s="213"/>
      <c r="BDV38" s="1"/>
      <c r="BDW38" s="1"/>
      <c r="BDX38" s="1"/>
      <c r="BDY38" s="1"/>
      <c r="BDZ38" s="223"/>
      <c r="BEA38" s="222"/>
      <c r="BEB38" s="1"/>
      <c r="BEC38" s="301"/>
      <c r="BED38" s="214"/>
      <c r="BEE38" s="5"/>
      <c r="BEF38" s="12"/>
      <c r="BEG38" s="5"/>
      <c r="BEH38" s="5"/>
      <c r="BEI38" s="1"/>
      <c r="BEJ38" s="1"/>
      <c r="BEK38" s="1"/>
      <c r="BEL38" s="1"/>
      <c r="BEM38" s="1"/>
      <c r="BEN38" s="178"/>
      <c r="BEO38" s="178"/>
      <c r="BEP38" s="1"/>
      <c r="BEQ38" s="2"/>
      <c r="BER38" s="161"/>
      <c r="BES38" s="161"/>
      <c r="BET38" s="1"/>
      <c r="BEU38" s="213"/>
      <c r="BEV38" s="1"/>
      <c r="BEW38" s="1"/>
      <c r="BEX38" s="1"/>
      <c r="BEY38" s="1"/>
      <c r="BEZ38" s="223"/>
      <c r="BFA38" s="222"/>
      <c r="BFB38" s="1"/>
      <c r="BFC38" s="301"/>
      <c r="BFD38" s="214"/>
      <c r="BFE38" s="5"/>
      <c r="BFF38" s="12"/>
      <c r="BFG38" s="5"/>
      <c r="BFH38" s="5"/>
      <c r="BFI38" s="1"/>
      <c r="BFJ38" s="1"/>
      <c r="BFK38" s="1"/>
      <c r="BFL38" s="1"/>
      <c r="BFM38" s="1"/>
      <c r="BFN38" s="178"/>
      <c r="BFO38" s="178"/>
      <c r="BFP38" s="1"/>
      <c r="BFQ38" s="2"/>
      <c r="BFR38" s="161"/>
      <c r="BFS38" s="161"/>
      <c r="BFT38" s="1"/>
      <c r="BFU38" s="213"/>
      <c r="BFV38" s="1"/>
      <c r="BFW38" s="1"/>
      <c r="BFX38" s="1"/>
      <c r="BFY38" s="1"/>
      <c r="BFZ38" s="223"/>
      <c r="BGA38" s="222"/>
      <c r="BGB38" s="1"/>
      <c r="BGC38" s="301"/>
      <c r="BGD38" s="214"/>
      <c r="BGE38" s="5"/>
      <c r="BGF38" s="12"/>
      <c r="BGG38" s="5"/>
      <c r="BGH38" s="5"/>
      <c r="BGI38" s="1"/>
      <c r="BGJ38" s="1"/>
      <c r="BGK38" s="1"/>
      <c r="BGL38" s="1"/>
      <c r="BGM38" s="1"/>
      <c r="BGN38" s="178"/>
      <c r="BGO38" s="178"/>
      <c r="BGP38" s="1"/>
      <c r="BGQ38" s="2"/>
      <c r="BGR38" s="161"/>
      <c r="BGS38" s="161"/>
      <c r="BGT38" s="1"/>
      <c r="BGU38" s="213"/>
      <c r="BGV38" s="1"/>
      <c r="BGW38" s="1"/>
      <c r="BGX38" s="1"/>
      <c r="BGY38" s="1"/>
      <c r="BGZ38" s="223"/>
      <c r="BHA38" s="222"/>
      <c r="BHB38" s="1"/>
      <c r="BHC38" s="301"/>
      <c r="BHD38" s="214"/>
      <c r="BHE38" s="5"/>
      <c r="BHF38" s="12"/>
      <c r="BHG38" s="5"/>
      <c r="BHH38" s="5"/>
      <c r="BHI38" s="1"/>
      <c r="BHJ38" s="1"/>
      <c r="BHK38" s="1"/>
      <c r="BHL38" s="1"/>
      <c r="BHM38" s="1"/>
      <c r="BHN38" s="178"/>
      <c r="BHO38" s="178"/>
      <c r="BHP38" s="1"/>
      <c r="BHQ38" s="2"/>
      <c r="BHR38" s="161"/>
      <c r="BHS38" s="161"/>
      <c r="BHT38" s="1"/>
      <c r="BHU38" s="213"/>
      <c r="BHV38" s="1"/>
      <c r="BHW38" s="1"/>
      <c r="BHX38" s="1"/>
      <c r="BHY38" s="1"/>
      <c r="BHZ38" s="223"/>
      <c r="BIA38" s="222"/>
      <c r="BIB38" s="1"/>
      <c r="BIC38" s="301"/>
      <c r="BID38" s="214"/>
      <c r="BIE38" s="5"/>
      <c r="BIF38" s="12"/>
      <c r="BIG38" s="5"/>
      <c r="BIH38" s="5"/>
      <c r="BII38" s="1"/>
      <c r="BIJ38" s="1"/>
      <c r="BIK38" s="1"/>
      <c r="BIL38" s="1"/>
      <c r="BIM38" s="1"/>
      <c r="BIN38" s="178"/>
      <c r="BIO38" s="178"/>
      <c r="BIP38" s="1"/>
      <c r="BIQ38" s="2"/>
      <c r="BIR38" s="161"/>
      <c r="BIS38" s="161"/>
      <c r="BIT38" s="1"/>
      <c r="BIU38" s="213"/>
      <c r="BIV38" s="1"/>
      <c r="BIW38" s="1"/>
      <c r="BIX38" s="1"/>
      <c r="BIY38" s="1"/>
      <c r="BIZ38" s="223"/>
      <c r="BJA38" s="222"/>
      <c r="BJB38" s="1"/>
      <c r="BJC38" s="301"/>
      <c r="BJD38" s="214"/>
      <c r="BJE38" s="5"/>
      <c r="BJF38" s="12"/>
      <c r="BJG38" s="5"/>
      <c r="BJH38" s="5"/>
      <c r="BJI38" s="1"/>
      <c r="BJJ38" s="1"/>
      <c r="BJK38" s="1"/>
      <c r="BJL38" s="1"/>
      <c r="BJM38" s="1"/>
      <c r="BJN38" s="178"/>
      <c r="BJO38" s="178"/>
      <c r="BJP38" s="1"/>
      <c r="BJQ38" s="2"/>
      <c r="BJR38" s="161"/>
      <c r="BJS38" s="161"/>
      <c r="BJT38" s="1"/>
      <c r="BJU38" s="213"/>
      <c r="BJV38" s="1"/>
      <c r="BJW38" s="1"/>
      <c r="BJX38" s="1"/>
      <c r="BJY38" s="1"/>
      <c r="BJZ38" s="223"/>
      <c r="BKA38" s="222"/>
      <c r="BKB38" s="1"/>
      <c r="BKC38" s="301"/>
      <c r="BKD38" s="214"/>
      <c r="BKE38" s="5"/>
      <c r="BKF38" s="12"/>
      <c r="BKG38" s="5"/>
      <c r="BKH38" s="5"/>
      <c r="BKI38" s="1"/>
      <c r="BKJ38" s="1"/>
      <c r="BKK38" s="1"/>
      <c r="BKL38" s="1"/>
      <c r="BKM38" s="1"/>
      <c r="BKN38" s="178"/>
      <c r="BKO38" s="178"/>
      <c r="BKP38" s="1"/>
      <c r="BKQ38" s="2"/>
      <c r="BKR38" s="161"/>
      <c r="BKS38" s="161"/>
      <c r="BKT38" s="1"/>
      <c r="BKU38" s="213"/>
      <c r="BKV38" s="1"/>
      <c r="BKW38" s="1"/>
      <c r="BKX38" s="1"/>
      <c r="BKY38" s="1"/>
      <c r="BKZ38" s="223"/>
      <c r="BLA38" s="222"/>
      <c r="BLB38" s="1"/>
      <c r="BLC38" s="301"/>
      <c r="BLD38" s="214"/>
      <c r="BLE38" s="5"/>
      <c r="BLF38" s="12"/>
      <c r="BLG38" s="5"/>
      <c r="BLH38" s="5"/>
      <c r="BLI38" s="1"/>
      <c r="BLJ38" s="1"/>
      <c r="BLK38" s="1"/>
      <c r="BLL38" s="1"/>
      <c r="BLM38" s="1"/>
      <c r="BLN38" s="178"/>
      <c r="BLO38" s="178"/>
      <c r="BLP38" s="1"/>
      <c r="BLQ38" s="2"/>
      <c r="BLR38" s="161"/>
      <c r="BLS38" s="161"/>
      <c r="BLT38" s="1"/>
      <c r="BLU38" s="213"/>
      <c r="BLV38" s="1"/>
      <c r="BLW38" s="1"/>
      <c r="BLX38" s="1"/>
      <c r="BLY38" s="1"/>
      <c r="BLZ38" s="223"/>
      <c r="BMA38" s="222"/>
      <c r="BMB38" s="1"/>
      <c r="BMC38" s="301"/>
      <c r="BMD38" s="214"/>
      <c r="BME38" s="5"/>
      <c r="BMF38" s="12"/>
      <c r="BMG38" s="5"/>
      <c r="BMH38" s="5"/>
      <c r="BMI38" s="1"/>
      <c r="BMJ38" s="1"/>
      <c r="BMK38" s="1"/>
      <c r="BML38" s="1"/>
      <c r="BMM38" s="1"/>
      <c r="BMN38" s="178"/>
      <c r="BMO38" s="178"/>
      <c r="BMP38" s="1"/>
      <c r="BMQ38" s="2"/>
      <c r="BMR38" s="161"/>
      <c r="BMS38" s="161"/>
      <c r="BMT38" s="1"/>
      <c r="BMU38" s="213"/>
      <c r="BMV38" s="1"/>
      <c r="BMW38" s="1"/>
      <c r="BMX38" s="1"/>
      <c r="BMY38" s="1"/>
      <c r="BMZ38" s="223"/>
      <c r="BNA38" s="222"/>
      <c r="BNB38" s="1"/>
      <c r="BNC38" s="301"/>
      <c r="BND38" s="214"/>
      <c r="BNE38" s="5"/>
      <c r="BNF38" s="12"/>
      <c r="BNG38" s="5"/>
      <c r="BNH38" s="5"/>
      <c r="BNI38" s="1"/>
      <c r="BNJ38" s="1"/>
      <c r="BNK38" s="1"/>
      <c r="BNL38" s="1"/>
      <c r="BNM38" s="1"/>
      <c r="BNN38" s="178"/>
      <c r="BNO38" s="178"/>
      <c r="BNP38" s="1"/>
      <c r="BNQ38" s="2"/>
      <c r="BNR38" s="161"/>
      <c r="BNS38" s="161"/>
      <c r="BNT38" s="1"/>
      <c r="BNU38" s="213"/>
      <c r="BNV38" s="1"/>
      <c r="BNW38" s="1"/>
      <c r="BNX38" s="1"/>
      <c r="BNY38" s="1"/>
      <c r="BNZ38" s="223"/>
      <c r="BOA38" s="222"/>
      <c r="BOB38" s="1"/>
      <c r="BOC38" s="301"/>
      <c r="BOD38" s="214"/>
      <c r="BOE38" s="5"/>
      <c r="BOF38" s="12"/>
      <c r="BOG38" s="5"/>
      <c r="BOH38" s="5"/>
      <c r="BOI38" s="1"/>
      <c r="BOJ38" s="1"/>
      <c r="BOK38" s="1"/>
      <c r="BOL38" s="1"/>
      <c r="BOM38" s="1"/>
      <c r="BON38" s="178"/>
      <c r="BOO38" s="178"/>
      <c r="BOP38" s="1"/>
      <c r="BOQ38" s="2"/>
      <c r="BOR38" s="161"/>
      <c r="BOS38" s="161"/>
      <c r="BOT38" s="1"/>
      <c r="BOU38" s="213"/>
      <c r="BOV38" s="1"/>
      <c r="BOW38" s="1"/>
      <c r="BOX38" s="1"/>
      <c r="BOY38" s="1"/>
      <c r="BOZ38" s="223"/>
      <c r="BPA38" s="222"/>
      <c r="BPB38" s="1"/>
      <c r="BPC38" s="301"/>
      <c r="BPD38" s="214"/>
      <c r="BPE38" s="5"/>
      <c r="BPF38" s="12"/>
      <c r="BPG38" s="5"/>
      <c r="BPH38" s="5"/>
      <c r="BPI38" s="1"/>
      <c r="BPJ38" s="1"/>
      <c r="BPK38" s="1"/>
      <c r="BPL38" s="1"/>
      <c r="BPM38" s="1"/>
      <c r="BPN38" s="178"/>
      <c r="BPO38" s="178"/>
      <c r="BPP38" s="1"/>
      <c r="BPQ38" s="2"/>
      <c r="BPR38" s="161"/>
      <c r="BPS38" s="161"/>
      <c r="BPT38" s="1"/>
      <c r="BPU38" s="213"/>
      <c r="BPV38" s="1"/>
      <c r="BPW38" s="1"/>
      <c r="BPX38" s="1"/>
      <c r="BPY38" s="1"/>
      <c r="BPZ38" s="223"/>
      <c r="BQA38" s="222"/>
      <c r="BQB38" s="1"/>
      <c r="BQC38" s="301"/>
      <c r="BQD38" s="214"/>
      <c r="BQE38" s="5"/>
      <c r="BQF38" s="12"/>
      <c r="BQG38" s="5"/>
      <c r="BQH38" s="5"/>
      <c r="BQI38" s="1"/>
      <c r="BQJ38" s="1"/>
      <c r="BQK38" s="1"/>
      <c r="BQL38" s="1"/>
      <c r="BQM38" s="1"/>
      <c r="BQN38" s="178"/>
      <c r="BQO38" s="178"/>
      <c r="BQP38" s="1"/>
      <c r="BQQ38" s="2"/>
      <c r="BQR38" s="161"/>
      <c r="BQS38" s="161"/>
      <c r="BQT38" s="1"/>
      <c r="BQU38" s="213"/>
      <c r="BQV38" s="1"/>
      <c r="BQW38" s="1"/>
      <c r="BQX38" s="1"/>
      <c r="BQY38" s="1"/>
      <c r="BQZ38" s="223"/>
      <c r="BRA38" s="222"/>
      <c r="BRB38" s="1"/>
      <c r="BRC38" s="301"/>
      <c r="BRD38" s="214"/>
      <c r="BRE38" s="5"/>
      <c r="BRF38" s="12"/>
      <c r="BRG38" s="5"/>
      <c r="BRH38" s="5"/>
      <c r="BRI38" s="1"/>
      <c r="BRJ38" s="1"/>
      <c r="BRK38" s="1"/>
      <c r="BRL38" s="1"/>
      <c r="BRM38" s="1"/>
      <c r="BRN38" s="178"/>
      <c r="BRO38" s="178"/>
      <c r="BRP38" s="1"/>
      <c r="BRQ38" s="2"/>
      <c r="BRR38" s="161"/>
      <c r="BRS38" s="161"/>
      <c r="BRT38" s="1"/>
      <c r="BRU38" s="213"/>
      <c r="BRV38" s="1"/>
      <c r="BRW38" s="1"/>
      <c r="BRX38" s="1"/>
      <c r="BRY38" s="1"/>
      <c r="BRZ38" s="223"/>
      <c r="BSA38" s="222"/>
      <c r="BSB38" s="1"/>
      <c r="BSC38" s="301"/>
      <c r="BSD38" s="214"/>
      <c r="BSE38" s="5"/>
      <c r="BSF38" s="12"/>
      <c r="BSG38" s="5"/>
      <c r="BSH38" s="5"/>
      <c r="BSI38" s="1"/>
      <c r="BSJ38" s="1"/>
      <c r="BSK38" s="1"/>
      <c r="BSL38" s="1"/>
      <c r="BSM38" s="1"/>
      <c r="BSN38" s="178"/>
      <c r="BSO38" s="178"/>
      <c r="BSP38" s="1"/>
      <c r="BSQ38" s="2"/>
      <c r="BSR38" s="161"/>
      <c r="BSS38" s="161"/>
      <c r="BST38" s="1"/>
      <c r="BSU38" s="213"/>
      <c r="BSV38" s="1"/>
      <c r="BSW38" s="1"/>
      <c r="BSX38" s="1"/>
      <c r="BSY38" s="1"/>
      <c r="BSZ38" s="223"/>
      <c r="BTA38" s="222"/>
      <c r="BTB38" s="1"/>
      <c r="BTC38" s="301"/>
      <c r="BTD38" s="214"/>
      <c r="BTE38" s="5"/>
      <c r="BTF38" s="12"/>
      <c r="BTG38" s="5"/>
      <c r="BTH38" s="5"/>
      <c r="BTI38" s="1"/>
      <c r="BTJ38" s="1"/>
      <c r="BTK38" s="1"/>
      <c r="BTL38" s="1"/>
      <c r="BTM38" s="1"/>
      <c r="BTN38" s="178"/>
      <c r="BTO38" s="178"/>
      <c r="BTP38" s="1"/>
      <c r="BTQ38" s="2"/>
      <c r="BTR38" s="161"/>
      <c r="BTS38" s="161"/>
      <c r="BTT38" s="1"/>
      <c r="BTU38" s="213"/>
      <c r="BTV38" s="1"/>
      <c r="BTW38" s="1"/>
      <c r="BTX38" s="1"/>
      <c r="BTY38" s="1"/>
      <c r="BTZ38" s="223"/>
      <c r="BUA38" s="222"/>
      <c r="BUB38" s="1"/>
      <c r="BUC38" s="301"/>
      <c r="BUD38" s="214"/>
      <c r="BUE38" s="5"/>
      <c r="BUF38" s="12"/>
      <c r="BUG38" s="5"/>
      <c r="BUH38" s="5"/>
      <c r="BUI38" s="1"/>
      <c r="BUJ38" s="1"/>
      <c r="BUK38" s="1"/>
      <c r="BUL38" s="1"/>
      <c r="BUM38" s="1"/>
      <c r="BUN38" s="178"/>
      <c r="BUO38" s="178"/>
      <c r="BUP38" s="1"/>
      <c r="BUQ38" s="2"/>
      <c r="BUR38" s="161"/>
      <c r="BUS38" s="161"/>
      <c r="BUT38" s="1"/>
      <c r="BUU38" s="213"/>
      <c r="BUV38" s="1"/>
      <c r="BUW38" s="1"/>
      <c r="BUX38" s="1"/>
      <c r="BUY38" s="1"/>
      <c r="BUZ38" s="223"/>
      <c r="BVA38" s="222"/>
      <c r="BVB38" s="1"/>
      <c r="BVC38" s="301"/>
      <c r="BVD38" s="214"/>
      <c r="BVE38" s="5"/>
      <c r="BVF38" s="12"/>
      <c r="BVG38" s="5"/>
      <c r="BVH38" s="5"/>
      <c r="BVI38" s="1"/>
      <c r="BVJ38" s="1"/>
      <c r="BVK38" s="1"/>
      <c r="BVL38" s="1"/>
      <c r="BVM38" s="1"/>
      <c r="BVN38" s="178"/>
      <c r="BVO38" s="178"/>
      <c r="BVP38" s="1"/>
      <c r="BVQ38" s="2"/>
      <c r="BVR38" s="161"/>
      <c r="BVS38" s="161"/>
      <c r="BVT38" s="1"/>
      <c r="BVU38" s="213"/>
      <c r="BVV38" s="1"/>
      <c r="BVW38" s="1"/>
      <c r="BVX38" s="1"/>
      <c r="BVY38" s="1"/>
      <c r="BVZ38" s="223"/>
      <c r="BWA38" s="222"/>
      <c r="BWB38" s="1"/>
      <c r="BWC38" s="301"/>
      <c r="BWD38" s="214"/>
      <c r="BWE38" s="5"/>
      <c r="BWF38" s="12"/>
      <c r="BWG38" s="5"/>
      <c r="BWH38" s="5"/>
      <c r="BWI38" s="1"/>
      <c r="BWJ38" s="1"/>
      <c r="BWK38" s="1"/>
      <c r="BWL38" s="1"/>
      <c r="BWM38" s="1"/>
      <c r="BWN38" s="178"/>
      <c r="BWO38" s="178"/>
      <c r="BWP38" s="1"/>
      <c r="BWQ38" s="2"/>
      <c r="BWR38" s="161"/>
      <c r="BWS38" s="161"/>
      <c r="BWT38" s="1"/>
      <c r="BWU38" s="213"/>
      <c r="BWV38" s="1"/>
      <c r="BWW38" s="1"/>
      <c r="BWX38" s="1"/>
      <c r="BWY38" s="1"/>
      <c r="BWZ38" s="223"/>
      <c r="BXA38" s="222"/>
      <c r="BXB38" s="1"/>
      <c r="BXC38" s="301"/>
      <c r="BXD38" s="214"/>
      <c r="BXE38" s="5"/>
      <c r="BXF38" s="12"/>
      <c r="BXG38" s="5"/>
      <c r="BXH38" s="5"/>
      <c r="BXI38" s="1"/>
      <c r="BXJ38" s="1"/>
      <c r="BXK38" s="1"/>
      <c r="BXL38" s="1"/>
      <c r="BXM38" s="1"/>
      <c r="BXN38" s="178"/>
      <c r="BXO38" s="178"/>
      <c r="BXP38" s="1"/>
      <c r="BXQ38" s="2"/>
      <c r="BXR38" s="161"/>
      <c r="BXS38" s="161"/>
      <c r="BXT38" s="1"/>
      <c r="BXU38" s="213"/>
      <c r="BXV38" s="1"/>
      <c r="BXW38" s="1"/>
      <c r="BXX38" s="1"/>
      <c r="BXY38" s="1"/>
      <c r="BXZ38" s="223"/>
      <c r="BYA38" s="222"/>
      <c r="BYB38" s="1"/>
      <c r="BYC38" s="301"/>
      <c r="BYD38" s="214"/>
      <c r="BYE38" s="5"/>
      <c r="BYF38" s="12"/>
      <c r="BYG38" s="5"/>
      <c r="BYH38" s="5"/>
      <c r="BYI38" s="1"/>
      <c r="BYJ38" s="1"/>
      <c r="BYK38" s="1"/>
      <c r="BYL38" s="1"/>
      <c r="BYM38" s="1"/>
      <c r="BYN38" s="178"/>
      <c r="BYO38" s="178"/>
      <c r="BYP38" s="1"/>
      <c r="BYQ38" s="2"/>
      <c r="BYR38" s="161"/>
      <c r="BYS38" s="161"/>
      <c r="BYT38" s="1"/>
      <c r="BYU38" s="213"/>
      <c r="BYV38" s="1"/>
      <c r="BYW38" s="1"/>
      <c r="BYX38" s="1"/>
      <c r="BYY38" s="1"/>
      <c r="BYZ38" s="223"/>
      <c r="BZA38" s="222"/>
      <c r="BZB38" s="1"/>
      <c r="BZC38" s="301"/>
      <c r="BZD38" s="214"/>
      <c r="BZE38" s="5"/>
      <c r="BZF38" s="12"/>
      <c r="BZG38" s="5"/>
      <c r="BZH38" s="5"/>
      <c r="BZI38" s="1"/>
      <c r="BZJ38" s="1"/>
      <c r="BZK38" s="1"/>
      <c r="BZL38" s="1"/>
      <c r="BZM38" s="1"/>
      <c r="BZN38" s="178"/>
      <c r="BZO38" s="178"/>
      <c r="BZP38" s="1"/>
      <c r="BZQ38" s="2"/>
      <c r="BZR38" s="161"/>
      <c r="BZS38" s="161"/>
      <c r="BZT38" s="1"/>
      <c r="BZU38" s="213"/>
      <c r="BZV38" s="1"/>
      <c r="BZW38" s="1"/>
      <c r="BZX38" s="1"/>
      <c r="BZY38" s="1"/>
      <c r="BZZ38" s="223"/>
      <c r="CAA38" s="222"/>
      <c r="CAB38" s="1"/>
      <c r="CAC38" s="301"/>
      <c r="CAD38" s="214"/>
      <c r="CAE38" s="5"/>
      <c r="CAF38" s="12"/>
      <c r="CAG38" s="5"/>
      <c r="CAH38" s="5"/>
      <c r="CAI38" s="1"/>
      <c r="CAJ38" s="1"/>
      <c r="CAK38" s="1"/>
      <c r="CAL38" s="1"/>
      <c r="CAM38" s="1"/>
      <c r="CAN38" s="178"/>
      <c r="CAO38" s="178"/>
      <c r="CAP38" s="1"/>
      <c r="CAQ38" s="2"/>
      <c r="CAR38" s="161"/>
      <c r="CAS38" s="161"/>
      <c r="CAT38" s="1"/>
      <c r="CAU38" s="213"/>
      <c r="CAV38" s="1"/>
      <c r="CAW38" s="1"/>
      <c r="CAX38" s="1"/>
      <c r="CAY38" s="1"/>
      <c r="CAZ38" s="223"/>
      <c r="CBA38" s="222"/>
      <c r="CBB38" s="1"/>
      <c r="CBC38" s="301"/>
      <c r="CBD38" s="214"/>
      <c r="CBE38" s="5"/>
      <c r="CBF38" s="12"/>
      <c r="CBG38" s="5"/>
      <c r="CBH38" s="5"/>
      <c r="CBI38" s="1"/>
      <c r="CBJ38" s="1"/>
      <c r="CBK38" s="1"/>
      <c r="CBL38" s="1"/>
      <c r="CBM38" s="1"/>
      <c r="CBN38" s="178"/>
      <c r="CBO38" s="178"/>
      <c r="CBP38" s="1"/>
      <c r="CBQ38" s="2"/>
      <c r="CBR38" s="161"/>
      <c r="CBS38" s="161"/>
      <c r="CBT38" s="1"/>
      <c r="CBU38" s="213"/>
      <c r="CBV38" s="1"/>
      <c r="CBW38" s="1"/>
      <c r="CBX38" s="1"/>
      <c r="CBY38" s="1"/>
      <c r="CBZ38" s="223"/>
      <c r="CCA38" s="222"/>
      <c r="CCB38" s="1"/>
      <c r="CCC38" s="301"/>
      <c r="CCD38" s="214"/>
      <c r="CCE38" s="5"/>
      <c r="CCF38" s="12"/>
      <c r="CCG38" s="5"/>
      <c r="CCH38" s="5"/>
      <c r="CCI38" s="1"/>
      <c r="CCJ38" s="1"/>
      <c r="CCK38" s="1"/>
      <c r="CCL38" s="1"/>
      <c r="CCM38" s="1"/>
      <c r="CCN38" s="178"/>
      <c r="CCO38" s="178"/>
      <c r="CCP38" s="1"/>
      <c r="CCQ38" s="2"/>
      <c r="CCR38" s="161"/>
      <c r="CCS38" s="161"/>
      <c r="CCT38" s="1"/>
      <c r="CCU38" s="213"/>
      <c r="CCV38" s="1"/>
      <c r="CCW38" s="1"/>
      <c r="CCX38" s="1"/>
      <c r="CCY38" s="1"/>
      <c r="CCZ38" s="223"/>
      <c r="CDA38" s="222"/>
      <c r="CDB38" s="1"/>
      <c r="CDC38" s="301"/>
      <c r="CDD38" s="214"/>
      <c r="CDE38" s="5"/>
      <c r="CDF38" s="12"/>
      <c r="CDG38" s="5"/>
      <c r="CDH38" s="5"/>
      <c r="CDI38" s="1"/>
      <c r="CDJ38" s="1"/>
      <c r="CDK38" s="1"/>
      <c r="CDL38" s="1"/>
      <c r="CDM38" s="1"/>
      <c r="CDN38" s="178"/>
      <c r="CDO38" s="178"/>
      <c r="CDP38" s="1"/>
      <c r="CDQ38" s="2"/>
      <c r="CDR38" s="161"/>
      <c r="CDS38" s="161"/>
      <c r="CDT38" s="1"/>
      <c r="CDU38" s="213"/>
      <c r="CDV38" s="1"/>
      <c r="CDW38" s="1"/>
      <c r="CDX38" s="1"/>
      <c r="CDY38" s="1"/>
      <c r="CDZ38" s="223"/>
      <c r="CEA38" s="222"/>
      <c r="CEB38" s="1"/>
      <c r="CEC38" s="301"/>
      <c r="CED38" s="214"/>
      <c r="CEE38" s="5"/>
      <c r="CEF38" s="12"/>
      <c r="CEG38" s="5"/>
      <c r="CEH38" s="5"/>
      <c r="CEI38" s="1"/>
      <c r="CEJ38" s="1"/>
      <c r="CEK38" s="1"/>
      <c r="CEL38" s="1"/>
      <c r="CEM38" s="1"/>
      <c r="CEN38" s="178"/>
      <c r="CEO38" s="178"/>
      <c r="CEP38" s="1"/>
      <c r="CEQ38" s="2"/>
      <c r="CER38" s="161"/>
      <c r="CES38" s="161"/>
      <c r="CET38" s="1"/>
      <c r="CEU38" s="213"/>
      <c r="CEV38" s="1"/>
      <c r="CEW38" s="1"/>
      <c r="CEX38" s="1"/>
      <c r="CEY38" s="1"/>
      <c r="CEZ38" s="223"/>
      <c r="CFA38" s="222"/>
      <c r="CFB38" s="1"/>
      <c r="CFC38" s="301"/>
      <c r="CFD38" s="214"/>
      <c r="CFE38" s="5"/>
      <c r="CFF38" s="12"/>
      <c r="CFG38" s="5"/>
      <c r="CFH38" s="5"/>
      <c r="CFI38" s="1"/>
      <c r="CFJ38" s="1"/>
      <c r="CFK38" s="1"/>
      <c r="CFL38" s="1"/>
      <c r="CFM38" s="1"/>
      <c r="CFN38" s="178"/>
      <c r="CFO38" s="178"/>
      <c r="CFP38" s="1"/>
      <c r="CFQ38" s="2"/>
      <c r="CFR38" s="161"/>
      <c r="CFS38" s="161"/>
      <c r="CFT38" s="1"/>
      <c r="CFU38" s="213"/>
      <c r="CFV38" s="1"/>
      <c r="CFW38" s="1"/>
      <c r="CFX38" s="1"/>
      <c r="CFY38" s="1"/>
      <c r="CFZ38" s="223"/>
      <c r="CGA38" s="222"/>
      <c r="CGB38" s="1"/>
      <c r="CGC38" s="301"/>
      <c r="CGD38" s="214"/>
      <c r="CGE38" s="5"/>
      <c r="CGF38" s="12"/>
      <c r="CGG38" s="5"/>
      <c r="CGH38" s="5"/>
      <c r="CGI38" s="1"/>
      <c r="CGJ38" s="1"/>
      <c r="CGK38" s="1"/>
      <c r="CGL38" s="1"/>
      <c r="CGM38" s="1"/>
      <c r="CGN38" s="178"/>
      <c r="CGO38" s="178"/>
      <c r="CGP38" s="1"/>
      <c r="CGQ38" s="2"/>
      <c r="CGR38" s="161"/>
      <c r="CGS38" s="161"/>
      <c r="CGT38" s="1"/>
      <c r="CGU38" s="213"/>
      <c r="CGV38" s="1"/>
      <c r="CGW38" s="1"/>
      <c r="CGX38" s="1"/>
      <c r="CGY38" s="1"/>
      <c r="CGZ38" s="223"/>
      <c r="CHA38" s="222"/>
      <c r="CHB38" s="1"/>
      <c r="CHC38" s="301"/>
      <c r="CHD38" s="214"/>
      <c r="CHE38" s="5"/>
      <c r="CHF38" s="12"/>
      <c r="CHG38" s="5"/>
      <c r="CHH38" s="5"/>
      <c r="CHI38" s="1"/>
      <c r="CHJ38" s="1"/>
      <c r="CHK38" s="1"/>
      <c r="CHL38" s="1"/>
      <c r="CHM38" s="1"/>
      <c r="CHN38" s="178"/>
      <c r="CHO38" s="178"/>
      <c r="CHP38" s="1"/>
      <c r="CHQ38" s="2"/>
      <c r="CHR38" s="161"/>
      <c r="CHS38" s="161"/>
      <c r="CHT38" s="1"/>
      <c r="CHU38" s="213"/>
      <c r="CHV38" s="1"/>
      <c r="CHW38" s="1"/>
      <c r="CHX38" s="1"/>
      <c r="CHY38" s="1"/>
      <c r="CHZ38" s="223"/>
      <c r="CIA38" s="222"/>
      <c r="CIB38" s="1"/>
      <c r="CIC38" s="301"/>
      <c r="CID38" s="214"/>
      <c r="CIE38" s="5"/>
      <c r="CIF38" s="12"/>
      <c r="CIG38" s="5"/>
      <c r="CIH38" s="5"/>
      <c r="CII38" s="1"/>
      <c r="CIJ38" s="1"/>
      <c r="CIK38" s="1"/>
      <c r="CIL38" s="1"/>
      <c r="CIM38" s="1"/>
      <c r="CIN38" s="178"/>
      <c r="CIO38" s="178"/>
      <c r="CIP38" s="1"/>
      <c r="CIQ38" s="2"/>
      <c r="CIR38" s="161"/>
      <c r="CIS38" s="161"/>
      <c r="CIT38" s="1"/>
      <c r="CIU38" s="213"/>
      <c r="CIV38" s="1"/>
      <c r="CIW38" s="1"/>
      <c r="CIX38" s="1"/>
      <c r="CIY38" s="1"/>
      <c r="CIZ38" s="223"/>
      <c r="CJA38" s="222"/>
      <c r="CJB38" s="1"/>
      <c r="CJC38" s="301"/>
      <c r="CJD38" s="214"/>
      <c r="CJE38" s="5"/>
      <c r="CJF38" s="12"/>
      <c r="CJG38" s="5"/>
      <c r="CJH38" s="5"/>
      <c r="CJI38" s="1"/>
      <c r="CJJ38" s="1"/>
      <c r="CJK38" s="1"/>
      <c r="CJL38" s="1"/>
      <c r="CJM38" s="1"/>
      <c r="CJN38" s="178"/>
      <c r="CJO38" s="178"/>
      <c r="CJP38" s="1"/>
      <c r="CJQ38" s="2"/>
      <c r="CJR38" s="161"/>
      <c r="CJS38" s="161"/>
      <c r="CJT38" s="1"/>
      <c r="CJU38" s="213"/>
      <c r="CJV38" s="1"/>
      <c r="CJW38" s="1"/>
      <c r="CJX38" s="1"/>
      <c r="CJY38" s="1"/>
      <c r="CJZ38" s="223"/>
      <c r="CKA38" s="222"/>
      <c r="CKB38" s="1"/>
      <c r="CKC38" s="301"/>
      <c r="CKD38" s="214"/>
      <c r="CKE38" s="5"/>
      <c r="CKF38" s="12"/>
      <c r="CKG38" s="5"/>
      <c r="CKH38" s="5"/>
      <c r="CKI38" s="1"/>
      <c r="CKJ38" s="1"/>
      <c r="CKK38" s="1"/>
      <c r="CKL38" s="1"/>
      <c r="CKM38" s="1"/>
      <c r="CKN38" s="178"/>
      <c r="CKO38" s="178"/>
      <c r="CKP38" s="1"/>
      <c r="CKQ38" s="2"/>
      <c r="CKR38" s="161"/>
      <c r="CKS38" s="161"/>
      <c r="CKT38" s="1"/>
      <c r="CKU38" s="213"/>
      <c r="CKV38" s="1"/>
      <c r="CKW38" s="1"/>
      <c r="CKX38" s="1"/>
      <c r="CKY38" s="1"/>
      <c r="CKZ38" s="223"/>
      <c r="CLA38" s="222"/>
      <c r="CLB38" s="1"/>
      <c r="CLC38" s="301"/>
      <c r="CLD38" s="214"/>
      <c r="CLE38" s="5"/>
      <c r="CLF38" s="12"/>
      <c r="CLG38" s="5"/>
      <c r="CLH38" s="5"/>
      <c r="CLI38" s="1"/>
      <c r="CLJ38" s="1"/>
      <c r="CLK38" s="1"/>
      <c r="CLL38" s="1"/>
      <c r="CLM38" s="1"/>
      <c r="CLN38" s="178"/>
      <c r="CLO38" s="178"/>
      <c r="CLP38" s="1"/>
      <c r="CLQ38" s="2"/>
      <c r="CLR38" s="161"/>
      <c r="CLS38" s="161"/>
      <c r="CLT38" s="1"/>
      <c r="CLU38" s="213"/>
      <c r="CLV38" s="1"/>
      <c r="CLW38" s="1"/>
      <c r="CLX38" s="1"/>
      <c r="CLY38" s="1"/>
      <c r="CLZ38" s="223"/>
      <c r="CMA38" s="222"/>
      <c r="CMB38" s="1"/>
      <c r="CMC38" s="301"/>
      <c r="CMD38" s="214"/>
      <c r="CME38" s="5"/>
      <c r="CMF38" s="12"/>
      <c r="CMG38" s="5"/>
      <c r="CMH38" s="5"/>
      <c r="CMI38" s="1"/>
      <c r="CMJ38" s="1"/>
      <c r="CMK38" s="1"/>
      <c r="CML38" s="1"/>
      <c r="CMM38" s="1"/>
      <c r="CMN38" s="178"/>
      <c r="CMO38" s="178"/>
      <c r="CMP38" s="1"/>
      <c r="CMQ38" s="2"/>
      <c r="CMR38" s="161"/>
      <c r="CMS38" s="161"/>
      <c r="CMT38" s="1"/>
      <c r="CMU38" s="213"/>
      <c r="CMV38" s="1"/>
      <c r="CMW38" s="1"/>
      <c r="CMX38" s="1"/>
      <c r="CMY38" s="1"/>
      <c r="CMZ38" s="223"/>
      <c r="CNA38" s="222"/>
      <c r="CNB38" s="1"/>
      <c r="CNC38" s="301"/>
      <c r="CND38" s="214"/>
      <c r="CNE38" s="5"/>
      <c r="CNF38" s="12"/>
      <c r="CNG38" s="5"/>
      <c r="CNH38" s="5"/>
      <c r="CNI38" s="1"/>
      <c r="CNJ38" s="1"/>
      <c r="CNK38" s="1"/>
      <c r="CNL38" s="1"/>
      <c r="CNM38" s="1"/>
      <c r="CNN38" s="178"/>
      <c r="CNO38" s="178"/>
      <c r="CNP38" s="1"/>
      <c r="CNQ38" s="2"/>
      <c r="CNR38" s="161"/>
      <c r="CNS38" s="161"/>
      <c r="CNT38" s="1"/>
      <c r="CNU38" s="213"/>
      <c r="CNV38" s="1"/>
      <c r="CNW38" s="1"/>
      <c r="CNX38" s="1"/>
      <c r="CNY38" s="1"/>
      <c r="CNZ38" s="223"/>
      <c r="COA38" s="222"/>
      <c r="COB38" s="1"/>
      <c r="COC38" s="301"/>
      <c r="COD38" s="214"/>
      <c r="COE38" s="5"/>
      <c r="COF38" s="12"/>
      <c r="COG38" s="5"/>
      <c r="COH38" s="5"/>
      <c r="COI38" s="1"/>
      <c r="COJ38" s="1"/>
      <c r="COK38" s="1"/>
      <c r="COL38" s="1"/>
      <c r="COM38" s="1"/>
      <c r="CON38" s="178"/>
      <c r="COO38" s="178"/>
      <c r="COP38" s="1"/>
      <c r="COQ38" s="2"/>
      <c r="COR38" s="161"/>
      <c r="COS38" s="161"/>
      <c r="COT38" s="1"/>
      <c r="COU38" s="213"/>
      <c r="COV38" s="1"/>
      <c r="COW38" s="1"/>
      <c r="COX38" s="1"/>
      <c r="COY38" s="1"/>
      <c r="COZ38" s="223"/>
      <c r="CPA38" s="222"/>
      <c r="CPB38" s="1"/>
      <c r="CPC38" s="301"/>
      <c r="CPD38" s="214"/>
      <c r="CPE38" s="5"/>
      <c r="CPF38" s="12"/>
      <c r="CPG38" s="5"/>
      <c r="CPH38" s="5"/>
      <c r="CPI38" s="1"/>
      <c r="CPJ38" s="1"/>
      <c r="CPK38" s="1"/>
      <c r="CPL38" s="1"/>
      <c r="CPM38" s="1"/>
      <c r="CPN38" s="178"/>
      <c r="CPO38" s="178"/>
      <c r="CPP38" s="1"/>
      <c r="CPQ38" s="2"/>
      <c r="CPR38" s="161"/>
      <c r="CPS38" s="161"/>
      <c r="CPT38" s="1"/>
      <c r="CPU38" s="213"/>
      <c r="CPV38" s="1"/>
      <c r="CPW38" s="1"/>
      <c r="CPX38" s="1"/>
      <c r="CPY38" s="1"/>
      <c r="CPZ38" s="223"/>
      <c r="CQA38" s="222"/>
      <c r="CQB38" s="1"/>
      <c r="CQC38" s="301"/>
      <c r="CQD38" s="214"/>
      <c r="CQE38" s="5"/>
      <c r="CQF38" s="12"/>
      <c r="CQG38" s="5"/>
      <c r="CQH38" s="5"/>
      <c r="CQI38" s="1"/>
      <c r="CQJ38" s="1"/>
      <c r="CQK38" s="1"/>
      <c r="CQL38" s="1"/>
      <c r="CQM38" s="1"/>
      <c r="CQN38" s="178"/>
      <c r="CQO38" s="178"/>
      <c r="CQP38" s="1"/>
      <c r="CQQ38" s="2"/>
      <c r="CQR38" s="161"/>
      <c r="CQS38" s="161"/>
      <c r="CQT38" s="1"/>
      <c r="CQU38" s="213"/>
      <c r="CQV38" s="1"/>
      <c r="CQW38" s="1"/>
      <c r="CQX38" s="1"/>
      <c r="CQY38" s="1"/>
      <c r="CQZ38" s="223"/>
      <c r="CRA38" s="222"/>
      <c r="CRB38" s="1"/>
      <c r="CRC38" s="301"/>
      <c r="CRD38" s="214"/>
      <c r="CRE38" s="5"/>
      <c r="CRF38" s="12"/>
      <c r="CRG38" s="5"/>
      <c r="CRH38" s="5"/>
      <c r="CRI38" s="1"/>
      <c r="CRJ38" s="1"/>
      <c r="CRK38" s="1"/>
      <c r="CRL38" s="1"/>
      <c r="CRM38" s="1"/>
      <c r="CRN38" s="178"/>
      <c r="CRO38" s="178"/>
      <c r="CRP38" s="1"/>
      <c r="CRQ38" s="2"/>
      <c r="CRR38" s="161"/>
      <c r="CRS38" s="161"/>
      <c r="CRT38" s="1"/>
      <c r="CRU38" s="213"/>
      <c r="CRV38" s="1"/>
      <c r="CRW38" s="1"/>
      <c r="CRX38" s="1"/>
      <c r="CRY38" s="1"/>
      <c r="CRZ38" s="223"/>
      <c r="CSA38" s="222"/>
      <c r="CSB38" s="1"/>
      <c r="CSC38" s="301"/>
      <c r="CSD38" s="214"/>
      <c r="CSE38" s="5"/>
      <c r="CSF38" s="12"/>
      <c r="CSG38" s="5"/>
      <c r="CSH38" s="5"/>
      <c r="CSI38" s="1"/>
      <c r="CSJ38" s="1"/>
      <c r="CSK38" s="1"/>
      <c r="CSL38" s="1"/>
      <c r="CSM38" s="1"/>
      <c r="CSN38" s="178"/>
      <c r="CSO38" s="178"/>
      <c r="CSP38" s="1"/>
      <c r="CSQ38" s="2"/>
      <c r="CSR38" s="161"/>
      <c r="CSS38" s="161"/>
      <c r="CST38" s="1"/>
      <c r="CSU38" s="213"/>
      <c r="CSV38" s="1"/>
      <c r="CSW38" s="1"/>
      <c r="CSX38" s="1"/>
      <c r="CSY38" s="1"/>
      <c r="CSZ38" s="223"/>
      <c r="CTA38" s="222"/>
      <c r="CTB38" s="1"/>
      <c r="CTC38" s="301"/>
      <c r="CTD38" s="214"/>
      <c r="CTE38" s="5"/>
      <c r="CTF38" s="12"/>
      <c r="CTG38" s="5"/>
      <c r="CTH38" s="5"/>
      <c r="CTI38" s="1"/>
      <c r="CTJ38" s="1"/>
      <c r="CTK38" s="1"/>
      <c r="CTL38" s="1"/>
      <c r="CTM38" s="1"/>
      <c r="CTN38" s="178"/>
      <c r="CTO38" s="178"/>
      <c r="CTP38" s="1"/>
      <c r="CTQ38" s="2"/>
      <c r="CTR38" s="161"/>
      <c r="CTS38" s="161"/>
      <c r="CTT38" s="1"/>
      <c r="CTU38" s="213"/>
      <c r="CTV38" s="1"/>
      <c r="CTW38" s="1"/>
      <c r="CTX38" s="1"/>
      <c r="CTY38" s="1"/>
      <c r="CTZ38" s="223"/>
      <c r="CUA38" s="222"/>
      <c r="CUB38" s="1"/>
      <c r="CUC38" s="301"/>
      <c r="CUD38" s="214"/>
      <c r="CUE38" s="5"/>
      <c r="CUF38" s="12"/>
      <c r="CUG38" s="5"/>
      <c r="CUH38" s="5"/>
      <c r="CUI38" s="1"/>
      <c r="CUJ38" s="1"/>
      <c r="CUK38" s="1"/>
      <c r="CUL38" s="1"/>
      <c r="CUM38" s="1"/>
      <c r="CUN38" s="178"/>
      <c r="CUO38" s="178"/>
      <c r="CUP38" s="1"/>
      <c r="CUQ38" s="2"/>
      <c r="CUR38" s="161"/>
      <c r="CUS38" s="161"/>
      <c r="CUT38" s="1"/>
      <c r="CUU38" s="213"/>
      <c r="CUV38" s="1"/>
      <c r="CUW38" s="1"/>
      <c r="CUX38" s="1"/>
      <c r="CUY38" s="1"/>
      <c r="CUZ38" s="223"/>
      <c r="CVA38" s="222"/>
      <c r="CVB38" s="1"/>
      <c r="CVC38" s="301"/>
      <c r="CVD38" s="214"/>
      <c r="CVE38" s="5"/>
      <c r="CVF38" s="12"/>
      <c r="CVG38" s="5"/>
      <c r="CVH38" s="5"/>
      <c r="CVI38" s="1"/>
      <c r="CVJ38" s="1"/>
      <c r="CVK38" s="1"/>
      <c r="CVL38" s="1"/>
      <c r="CVM38" s="1"/>
      <c r="CVN38" s="178"/>
      <c r="CVO38" s="178"/>
      <c r="CVP38" s="1"/>
      <c r="CVQ38" s="2"/>
      <c r="CVR38" s="161"/>
      <c r="CVS38" s="161"/>
      <c r="CVT38" s="1"/>
      <c r="CVU38" s="213"/>
      <c r="CVV38" s="1"/>
      <c r="CVW38" s="1"/>
      <c r="CVX38" s="1"/>
      <c r="CVY38" s="1"/>
      <c r="CVZ38" s="223"/>
      <c r="CWA38" s="222"/>
      <c r="CWB38" s="1"/>
      <c r="CWC38" s="301"/>
      <c r="CWD38" s="214"/>
      <c r="CWE38" s="5"/>
      <c r="CWF38" s="12"/>
      <c r="CWG38" s="5"/>
      <c r="CWH38" s="5"/>
      <c r="CWI38" s="1"/>
      <c r="CWJ38" s="1"/>
      <c r="CWK38" s="1"/>
      <c r="CWL38" s="1"/>
      <c r="CWM38" s="1"/>
      <c r="CWN38" s="178"/>
      <c r="CWO38" s="178"/>
      <c r="CWP38" s="1"/>
      <c r="CWQ38" s="2"/>
      <c r="CWR38" s="161"/>
      <c r="CWS38" s="161"/>
      <c r="CWT38" s="1"/>
      <c r="CWU38" s="213"/>
      <c r="CWV38" s="1"/>
      <c r="CWW38" s="1"/>
      <c r="CWX38" s="1"/>
      <c r="CWY38" s="1"/>
      <c r="CWZ38" s="223"/>
      <c r="CXA38" s="222"/>
      <c r="CXB38" s="1"/>
      <c r="CXC38" s="301"/>
      <c r="CXD38" s="214"/>
      <c r="CXE38" s="5"/>
      <c r="CXF38" s="12"/>
      <c r="CXG38" s="5"/>
      <c r="CXH38" s="5"/>
      <c r="CXI38" s="1"/>
      <c r="CXJ38" s="1"/>
      <c r="CXK38" s="1"/>
      <c r="CXL38" s="1"/>
      <c r="CXM38" s="1"/>
      <c r="CXN38" s="178"/>
      <c r="CXO38" s="178"/>
      <c r="CXP38" s="1"/>
      <c r="CXQ38" s="2"/>
      <c r="CXR38" s="161"/>
      <c r="CXS38" s="161"/>
      <c r="CXT38" s="1"/>
      <c r="CXU38" s="213"/>
      <c r="CXV38" s="1"/>
      <c r="CXW38" s="1"/>
      <c r="CXX38" s="1"/>
      <c r="CXY38" s="1"/>
      <c r="CXZ38" s="223"/>
      <c r="CYA38" s="222"/>
      <c r="CYB38" s="1"/>
      <c r="CYC38" s="301"/>
      <c r="CYD38" s="214"/>
      <c r="CYE38" s="5"/>
      <c r="CYF38" s="12"/>
      <c r="CYG38" s="5"/>
      <c r="CYH38" s="5"/>
      <c r="CYI38" s="1"/>
      <c r="CYJ38" s="1"/>
      <c r="CYK38" s="1"/>
      <c r="CYL38" s="1"/>
      <c r="CYM38" s="1"/>
      <c r="CYN38" s="178"/>
      <c r="CYO38" s="178"/>
      <c r="CYP38" s="1"/>
      <c r="CYQ38" s="2"/>
      <c r="CYR38" s="161"/>
      <c r="CYS38" s="161"/>
      <c r="CYT38" s="1"/>
      <c r="CYU38" s="213"/>
      <c r="CYV38" s="1"/>
      <c r="CYW38" s="1"/>
      <c r="CYX38" s="1"/>
      <c r="CYY38" s="1"/>
      <c r="CYZ38" s="223"/>
      <c r="CZA38" s="222"/>
      <c r="CZB38" s="1"/>
      <c r="CZC38" s="301"/>
      <c r="CZD38" s="214"/>
      <c r="CZE38" s="5"/>
      <c r="CZF38" s="12"/>
      <c r="CZG38" s="5"/>
      <c r="CZH38" s="5"/>
      <c r="CZI38" s="1"/>
      <c r="CZJ38" s="1"/>
      <c r="CZK38" s="1"/>
      <c r="CZL38" s="1"/>
      <c r="CZM38" s="1"/>
      <c r="CZN38" s="178"/>
      <c r="CZO38" s="178"/>
      <c r="CZP38" s="1"/>
      <c r="CZQ38" s="2"/>
      <c r="CZR38" s="161"/>
      <c r="CZS38" s="161"/>
      <c r="CZT38" s="1"/>
      <c r="CZU38" s="213"/>
      <c r="CZV38" s="1"/>
      <c r="CZW38" s="1"/>
      <c r="CZX38" s="1"/>
      <c r="CZY38" s="1"/>
      <c r="CZZ38" s="223"/>
      <c r="DAA38" s="222"/>
      <c r="DAB38" s="1"/>
      <c r="DAC38" s="301"/>
      <c r="DAD38" s="214"/>
      <c r="DAE38" s="5"/>
      <c r="DAF38" s="12"/>
      <c r="DAG38" s="5"/>
      <c r="DAH38" s="5"/>
      <c r="DAI38" s="1"/>
      <c r="DAJ38" s="1"/>
      <c r="DAK38" s="1"/>
      <c r="DAL38" s="1"/>
      <c r="DAM38" s="1"/>
      <c r="DAN38" s="178"/>
      <c r="DAO38" s="178"/>
      <c r="DAP38" s="1"/>
      <c r="DAQ38" s="2"/>
      <c r="DAR38" s="161"/>
      <c r="DAS38" s="161"/>
      <c r="DAT38" s="1"/>
      <c r="DAU38" s="213"/>
      <c r="DAV38" s="1"/>
      <c r="DAW38" s="1"/>
      <c r="DAX38" s="1"/>
      <c r="DAY38" s="1"/>
      <c r="DAZ38" s="223"/>
      <c r="DBA38" s="222"/>
      <c r="DBB38" s="1"/>
      <c r="DBC38" s="301"/>
      <c r="DBD38" s="214"/>
      <c r="DBE38" s="5"/>
      <c r="DBF38" s="12"/>
      <c r="DBG38" s="5"/>
      <c r="DBH38" s="5"/>
      <c r="DBI38" s="1"/>
      <c r="DBJ38" s="1"/>
      <c r="DBK38" s="1"/>
      <c r="DBL38" s="1"/>
      <c r="DBM38" s="1"/>
      <c r="DBN38" s="178"/>
      <c r="DBO38" s="178"/>
      <c r="DBP38" s="1"/>
      <c r="DBQ38" s="2"/>
      <c r="DBR38" s="161"/>
      <c r="DBS38" s="161"/>
      <c r="DBT38" s="1"/>
      <c r="DBU38" s="213"/>
      <c r="DBV38" s="1"/>
      <c r="DBW38" s="1"/>
      <c r="DBX38" s="1"/>
      <c r="DBY38" s="1"/>
      <c r="DBZ38" s="223"/>
      <c r="DCA38" s="222"/>
      <c r="DCB38" s="1"/>
      <c r="DCC38" s="301"/>
      <c r="DCD38" s="214"/>
      <c r="DCE38" s="5"/>
      <c r="DCF38" s="12"/>
      <c r="DCG38" s="5"/>
      <c r="DCH38" s="5"/>
      <c r="DCI38" s="1"/>
      <c r="DCJ38" s="1"/>
      <c r="DCK38" s="1"/>
      <c r="DCL38" s="1"/>
      <c r="DCM38" s="1"/>
      <c r="DCN38" s="178"/>
      <c r="DCO38" s="178"/>
      <c r="DCP38" s="1"/>
      <c r="DCQ38" s="2"/>
      <c r="DCR38" s="161"/>
      <c r="DCS38" s="161"/>
      <c r="DCT38" s="1"/>
      <c r="DCU38" s="213"/>
      <c r="DCV38" s="1"/>
      <c r="DCW38" s="1"/>
      <c r="DCX38" s="1"/>
      <c r="DCY38" s="1"/>
      <c r="DCZ38" s="223"/>
      <c r="DDA38" s="222"/>
      <c r="DDB38" s="1"/>
      <c r="DDC38" s="301"/>
      <c r="DDD38" s="214"/>
      <c r="DDE38" s="5"/>
      <c r="DDF38" s="12"/>
      <c r="DDG38" s="5"/>
      <c r="DDH38" s="5"/>
      <c r="DDI38" s="1"/>
      <c r="DDJ38" s="1"/>
      <c r="DDK38" s="1"/>
      <c r="DDL38" s="1"/>
      <c r="DDM38" s="1"/>
      <c r="DDN38" s="178"/>
      <c r="DDO38" s="178"/>
      <c r="DDP38" s="1"/>
      <c r="DDQ38" s="2"/>
      <c r="DDR38" s="161"/>
      <c r="DDS38" s="161"/>
      <c r="DDT38" s="1"/>
      <c r="DDU38" s="213"/>
      <c r="DDV38" s="1"/>
      <c r="DDW38" s="1"/>
      <c r="DDX38" s="1"/>
      <c r="DDY38" s="1"/>
      <c r="DDZ38" s="223"/>
      <c r="DEA38" s="222"/>
      <c r="DEB38" s="1"/>
      <c r="DEC38" s="301"/>
      <c r="DED38" s="214"/>
      <c r="DEE38" s="5"/>
      <c r="DEF38" s="12"/>
      <c r="DEG38" s="5"/>
      <c r="DEH38" s="5"/>
      <c r="DEI38" s="1"/>
      <c r="DEJ38" s="1"/>
      <c r="DEK38" s="1"/>
      <c r="DEL38" s="1"/>
      <c r="DEM38" s="1"/>
      <c r="DEN38" s="178"/>
      <c r="DEO38" s="178"/>
      <c r="DEP38" s="1"/>
      <c r="DEQ38" s="2"/>
      <c r="DER38" s="161"/>
      <c r="DES38" s="161"/>
      <c r="DET38" s="1"/>
      <c r="DEU38" s="213"/>
      <c r="DEV38" s="1"/>
      <c r="DEW38" s="1"/>
      <c r="DEX38" s="1"/>
      <c r="DEY38" s="1"/>
      <c r="DEZ38" s="223"/>
      <c r="DFA38" s="222"/>
      <c r="DFB38" s="1"/>
      <c r="DFC38" s="301"/>
      <c r="DFD38" s="214"/>
      <c r="DFE38" s="5"/>
      <c r="DFF38" s="12"/>
      <c r="DFG38" s="5"/>
      <c r="DFH38" s="5"/>
      <c r="DFI38" s="1"/>
      <c r="DFJ38" s="1"/>
      <c r="DFK38" s="1"/>
      <c r="DFL38" s="1"/>
      <c r="DFM38" s="1"/>
      <c r="DFN38" s="178"/>
      <c r="DFO38" s="178"/>
      <c r="DFP38" s="1"/>
      <c r="DFQ38" s="2"/>
      <c r="DFR38" s="161"/>
      <c r="DFS38" s="161"/>
      <c r="DFT38" s="1"/>
      <c r="DFU38" s="213"/>
      <c r="DFV38" s="1"/>
      <c r="DFW38" s="1"/>
      <c r="DFX38" s="1"/>
      <c r="DFY38" s="1"/>
      <c r="DFZ38" s="223"/>
      <c r="DGA38" s="222"/>
      <c r="DGB38" s="1"/>
      <c r="DGC38" s="301"/>
      <c r="DGD38" s="214"/>
      <c r="DGE38" s="5"/>
      <c r="DGF38" s="12"/>
      <c r="DGG38" s="5"/>
      <c r="DGH38" s="5"/>
      <c r="DGI38" s="1"/>
      <c r="DGJ38" s="1"/>
      <c r="DGK38" s="1"/>
      <c r="DGL38" s="1"/>
      <c r="DGM38" s="1"/>
      <c r="DGN38" s="178"/>
      <c r="DGO38" s="178"/>
      <c r="DGP38" s="1"/>
      <c r="DGQ38" s="2"/>
      <c r="DGR38" s="161"/>
      <c r="DGS38" s="161"/>
      <c r="DGT38" s="1"/>
      <c r="DGU38" s="213"/>
      <c r="DGV38" s="1"/>
      <c r="DGW38" s="1"/>
      <c r="DGX38" s="1"/>
      <c r="DGY38" s="1"/>
      <c r="DGZ38" s="223"/>
      <c r="DHA38" s="222"/>
      <c r="DHB38" s="1"/>
      <c r="DHC38" s="301"/>
      <c r="DHD38" s="214"/>
      <c r="DHE38" s="5"/>
      <c r="DHF38" s="12"/>
      <c r="DHG38" s="5"/>
      <c r="DHH38" s="5"/>
      <c r="DHI38" s="1"/>
      <c r="DHJ38" s="1"/>
      <c r="DHK38" s="1"/>
      <c r="DHL38" s="1"/>
      <c r="DHM38" s="1"/>
      <c r="DHN38" s="178"/>
      <c r="DHO38" s="178"/>
      <c r="DHP38" s="1"/>
      <c r="DHQ38" s="2"/>
      <c r="DHR38" s="161"/>
      <c r="DHS38" s="161"/>
      <c r="DHT38" s="1"/>
      <c r="DHU38" s="213"/>
      <c r="DHV38" s="1"/>
      <c r="DHW38" s="1"/>
      <c r="DHX38" s="1"/>
      <c r="DHY38" s="1"/>
      <c r="DHZ38" s="223"/>
      <c r="DIA38" s="222"/>
      <c r="DIB38" s="1"/>
      <c r="DIC38" s="301"/>
      <c r="DID38" s="214"/>
      <c r="DIE38" s="5"/>
      <c r="DIF38" s="12"/>
      <c r="DIG38" s="5"/>
      <c r="DIH38" s="5"/>
      <c r="DII38" s="1"/>
      <c r="DIJ38" s="1"/>
      <c r="DIK38" s="1"/>
      <c r="DIL38" s="1"/>
      <c r="DIM38" s="1"/>
      <c r="DIN38" s="178"/>
      <c r="DIO38" s="178"/>
      <c r="DIP38" s="1"/>
      <c r="DIQ38" s="2"/>
      <c r="DIR38" s="161"/>
      <c r="DIS38" s="161"/>
      <c r="DIT38" s="1"/>
      <c r="DIU38" s="213"/>
      <c r="DIV38" s="1"/>
      <c r="DIW38" s="1"/>
      <c r="DIX38" s="1"/>
      <c r="DIY38" s="1"/>
      <c r="DIZ38" s="223"/>
      <c r="DJA38" s="222"/>
      <c r="DJB38" s="1"/>
      <c r="DJC38" s="301"/>
      <c r="DJD38" s="214"/>
      <c r="DJE38" s="5"/>
      <c r="DJF38" s="12"/>
      <c r="DJG38" s="5"/>
      <c r="DJH38" s="5"/>
      <c r="DJI38" s="1"/>
      <c r="DJJ38" s="1"/>
      <c r="DJK38" s="1"/>
      <c r="DJL38" s="1"/>
      <c r="DJM38" s="1"/>
      <c r="DJN38" s="178"/>
      <c r="DJO38" s="178"/>
      <c r="DJP38" s="1"/>
      <c r="DJQ38" s="2"/>
      <c r="DJR38" s="161"/>
      <c r="DJS38" s="161"/>
      <c r="DJT38" s="1"/>
      <c r="DJU38" s="213"/>
      <c r="DJV38" s="1"/>
      <c r="DJW38" s="1"/>
      <c r="DJX38" s="1"/>
      <c r="DJY38" s="1"/>
      <c r="DJZ38" s="223"/>
      <c r="DKA38" s="222"/>
      <c r="DKB38" s="1"/>
      <c r="DKC38" s="301"/>
      <c r="DKD38" s="214"/>
      <c r="DKE38" s="5"/>
      <c r="DKF38" s="12"/>
      <c r="DKG38" s="5"/>
      <c r="DKH38" s="5"/>
      <c r="DKI38" s="1"/>
      <c r="DKJ38" s="1"/>
      <c r="DKK38" s="1"/>
      <c r="DKL38" s="1"/>
      <c r="DKM38" s="1"/>
      <c r="DKN38" s="178"/>
      <c r="DKO38" s="178"/>
      <c r="DKP38" s="1"/>
      <c r="DKQ38" s="2"/>
      <c r="DKR38" s="161"/>
      <c r="DKS38" s="161"/>
      <c r="DKT38" s="1"/>
      <c r="DKU38" s="213"/>
      <c r="DKV38" s="1"/>
      <c r="DKW38" s="1"/>
      <c r="DKX38" s="1"/>
      <c r="DKY38" s="1"/>
      <c r="DKZ38" s="223"/>
      <c r="DLA38" s="222"/>
      <c r="DLB38" s="1"/>
      <c r="DLC38" s="301"/>
      <c r="DLD38" s="214"/>
      <c r="DLE38" s="5"/>
      <c r="DLF38" s="12"/>
      <c r="DLG38" s="5"/>
      <c r="DLH38" s="5"/>
      <c r="DLI38" s="1"/>
      <c r="DLJ38" s="1"/>
      <c r="DLK38" s="1"/>
      <c r="DLL38" s="1"/>
      <c r="DLM38" s="1"/>
      <c r="DLN38" s="178"/>
      <c r="DLO38" s="178"/>
      <c r="DLP38" s="1"/>
      <c r="DLQ38" s="2"/>
      <c r="DLR38" s="161"/>
      <c r="DLS38" s="161"/>
      <c r="DLT38" s="1"/>
      <c r="DLU38" s="213"/>
      <c r="DLV38" s="1"/>
      <c r="DLW38" s="1"/>
      <c r="DLX38" s="1"/>
      <c r="DLY38" s="1"/>
      <c r="DLZ38" s="223"/>
      <c r="DMA38" s="222"/>
      <c r="DMB38" s="1"/>
      <c r="DMC38" s="301"/>
      <c r="DMD38" s="214"/>
      <c r="DME38" s="5"/>
      <c r="DMF38" s="12"/>
      <c r="DMG38" s="5"/>
      <c r="DMH38" s="5"/>
      <c r="DMI38" s="1"/>
      <c r="DMJ38" s="1"/>
      <c r="DMK38" s="1"/>
      <c r="DML38" s="1"/>
      <c r="DMM38" s="1"/>
      <c r="DMN38" s="178"/>
      <c r="DMO38" s="178"/>
      <c r="DMP38" s="1"/>
      <c r="DMQ38" s="2"/>
      <c r="DMR38" s="161"/>
      <c r="DMS38" s="161"/>
      <c r="DMT38" s="1"/>
      <c r="DMU38" s="213"/>
      <c r="DMV38" s="1"/>
      <c r="DMW38" s="1"/>
      <c r="DMX38" s="1"/>
      <c r="DMY38" s="1"/>
      <c r="DMZ38" s="223"/>
      <c r="DNA38" s="222"/>
      <c r="DNB38" s="1"/>
      <c r="DNC38" s="301"/>
      <c r="DND38" s="214"/>
      <c r="DNE38" s="5"/>
      <c r="DNF38" s="12"/>
      <c r="DNG38" s="5"/>
      <c r="DNH38" s="5"/>
      <c r="DNI38" s="1"/>
      <c r="DNJ38" s="1"/>
      <c r="DNK38" s="1"/>
      <c r="DNL38" s="1"/>
      <c r="DNM38" s="1"/>
      <c r="DNN38" s="178"/>
      <c r="DNO38" s="178"/>
      <c r="DNP38" s="1"/>
      <c r="DNQ38" s="2"/>
      <c r="DNR38" s="161"/>
      <c r="DNS38" s="161"/>
      <c r="DNT38" s="1"/>
      <c r="DNU38" s="213"/>
      <c r="DNV38" s="1"/>
      <c r="DNW38" s="1"/>
      <c r="DNX38" s="1"/>
      <c r="DNY38" s="1"/>
      <c r="DNZ38" s="223"/>
      <c r="DOA38" s="222"/>
      <c r="DOB38" s="1"/>
      <c r="DOC38" s="301"/>
      <c r="DOD38" s="214"/>
      <c r="DOE38" s="5"/>
      <c r="DOF38" s="12"/>
      <c r="DOG38" s="5"/>
      <c r="DOH38" s="5"/>
      <c r="DOI38" s="1"/>
      <c r="DOJ38" s="1"/>
      <c r="DOK38" s="1"/>
      <c r="DOL38" s="1"/>
      <c r="DOM38" s="1"/>
      <c r="DON38" s="178"/>
      <c r="DOO38" s="178"/>
      <c r="DOP38" s="1"/>
      <c r="DOQ38" s="2"/>
      <c r="DOR38" s="161"/>
      <c r="DOS38" s="161"/>
      <c r="DOT38" s="1"/>
      <c r="DOU38" s="213"/>
      <c r="DOV38" s="1"/>
      <c r="DOW38" s="1"/>
      <c r="DOX38" s="1"/>
      <c r="DOY38" s="1"/>
      <c r="DOZ38" s="223"/>
      <c r="DPA38" s="222"/>
      <c r="DPB38" s="1"/>
      <c r="DPC38" s="301"/>
      <c r="DPD38" s="214"/>
      <c r="DPE38" s="5"/>
      <c r="DPF38" s="12"/>
      <c r="DPG38" s="5"/>
      <c r="DPH38" s="5"/>
      <c r="DPI38" s="1"/>
      <c r="DPJ38" s="1"/>
      <c r="DPK38" s="1"/>
      <c r="DPL38" s="1"/>
      <c r="DPM38" s="1"/>
      <c r="DPN38" s="178"/>
      <c r="DPO38" s="178"/>
      <c r="DPP38" s="1"/>
      <c r="DPQ38" s="2"/>
      <c r="DPR38" s="161"/>
      <c r="DPS38" s="161"/>
      <c r="DPT38" s="1"/>
      <c r="DPU38" s="213"/>
      <c r="DPV38" s="1"/>
      <c r="DPW38" s="1"/>
      <c r="DPX38" s="1"/>
      <c r="DPY38" s="1"/>
      <c r="DPZ38" s="223"/>
      <c r="DQA38" s="222"/>
      <c r="DQB38" s="1"/>
      <c r="DQC38" s="301"/>
      <c r="DQD38" s="214"/>
      <c r="DQE38" s="5"/>
      <c r="DQF38" s="12"/>
      <c r="DQG38" s="5"/>
      <c r="DQH38" s="5"/>
      <c r="DQI38" s="1"/>
      <c r="DQJ38" s="1"/>
      <c r="DQK38" s="1"/>
      <c r="DQL38" s="1"/>
      <c r="DQM38" s="1"/>
      <c r="DQN38" s="178"/>
      <c r="DQO38" s="178"/>
      <c r="DQP38" s="1"/>
      <c r="DQQ38" s="2"/>
      <c r="DQR38" s="161"/>
      <c r="DQS38" s="161"/>
      <c r="DQT38" s="1"/>
      <c r="DQU38" s="213"/>
      <c r="DQV38" s="1"/>
      <c r="DQW38" s="1"/>
      <c r="DQX38" s="1"/>
      <c r="DQY38" s="1"/>
      <c r="DQZ38" s="223"/>
      <c r="DRA38" s="222"/>
      <c r="DRB38" s="1"/>
      <c r="DRC38" s="301"/>
      <c r="DRD38" s="214"/>
      <c r="DRE38" s="5"/>
      <c r="DRF38" s="12"/>
      <c r="DRG38" s="5"/>
      <c r="DRH38" s="5"/>
      <c r="DRI38" s="1"/>
      <c r="DRJ38" s="1"/>
      <c r="DRK38" s="1"/>
      <c r="DRL38" s="1"/>
      <c r="DRM38" s="1"/>
      <c r="DRN38" s="178"/>
      <c r="DRO38" s="178"/>
      <c r="DRP38" s="1"/>
      <c r="DRQ38" s="2"/>
      <c r="DRR38" s="161"/>
      <c r="DRS38" s="161"/>
      <c r="DRT38" s="1"/>
      <c r="DRU38" s="213"/>
      <c r="DRV38" s="1"/>
      <c r="DRW38" s="1"/>
      <c r="DRX38" s="1"/>
      <c r="DRY38" s="1"/>
      <c r="DRZ38" s="223"/>
      <c r="DSA38" s="222"/>
      <c r="DSB38" s="1"/>
      <c r="DSC38" s="301"/>
      <c r="DSD38" s="214"/>
      <c r="DSE38" s="5"/>
      <c r="DSF38" s="12"/>
      <c r="DSG38" s="5"/>
      <c r="DSH38" s="5"/>
      <c r="DSI38" s="1"/>
      <c r="DSJ38" s="1"/>
      <c r="DSK38" s="1"/>
      <c r="DSL38" s="1"/>
      <c r="DSM38" s="1"/>
      <c r="DSN38" s="178"/>
      <c r="DSO38" s="178"/>
      <c r="DSP38" s="1"/>
      <c r="DSQ38" s="2"/>
      <c r="DSR38" s="161"/>
      <c r="DSS38" s="161"/>
      <c r="DST38" s="1"/>
      <c r="DSU38" s="213"/>
      <c r="DSV38" s="1"/>
      <c r="DSW38" s="1"/>
      <c r="DSX38" s="1"/>
      <c r="DSY38" s="1"/>
      <c r="DSZ38" s="223"/>
      <c r="DTA38" s="222"/>
      <c r="DTB38" s="1"/>
      <c r="DTC38" s="301"/>
      <c r="DTD38" s="214"/>
      <c r="DTE38" s="5"/>
      <c r="DTF38" s="12"/>
      <c r="DTG38" s="5"/>
      <c r="DTH38" s="5"/>
      <c r="DTI38" s="1"/>
      <c r="DTJ38" s="1"/>
      <c r="DTK38" s="1"/>
      <c r="DTL38" s="1"/>
      <c r="DTM38" s="1"/>
      <c r="DTN38" s="178"/>
      <c r="DTO38" s="178"/>
      <c r="DTP38" s="1"/>
      <c r="DTQ38" s="2"/>
      <c r="DTR38" s="161"/>
      <c r="DTS38" s="161"/>
      <c r="DTT38" s="1"/>
      <c r="DTU38" s="213"/>
      <c r="DTV38" s="1"/>
      <c r="DTW38" s="1"/>
      <c r="DTX38" s="1"/>
      <c r="DTY38" s="1"/>
      <c r="DTZ38" s="223"/>
      <c r="DUA38" s="222"/>
      <c r="DUB38" s="1"/>
      <c r="DUC38" s="301"/>
      <c r="DUD38" s="214"/>
      <c r="DUE38" s="5"/>
      <c r="DUF38" s="12"/>
      <c r="DUG38" s="5"/>
      <c r="DUH38" s="5"/>
      <c r="DUI38" s="1"/>
      <c r="DUJ38" s="1"/>
      <c r="DUK38" s="1"/>
      <c r="DUL38" s="1"/>
      <c r="DUM38" s="1"/>
      <c r="DUN38" s="178"/>
      <c r="DUO38" s="178"/>
      <c r="DUP38" s="1"/>
      <c r="DUQ38" s="2"/>
      <c r="DUR38" s="161"/>
      <c r="DUS38" s="161"/>
      <c r="DUT38" s="1"/>
      <c r="DUU38" s="213"/>
      <c r="DUV38" s="1"/>
      <c r="DUW38" s="1"/>
      <c r="DUX38" s="1"/>
      <c r="DUY38" s="1"/>
      <c r="DUZ38" s="223"/>
      <c r="DVA38" s="222"/>
      <c r="DVB38" s="1"/>
      <c r="DVC38" s="301"/>
      <c r="DVD38" s="214"/>
      <c r="DVE38" s="5"/>
      <c r="DVF38" s="12"/>
      <c r="DVG38" s="5"/>
      <c r="DVH38" s="5"/>
      <c r="DVI38" s="1"/>
      <c r="DVJ38" s="1"/>
      <c r="DVK38" s="1"/>
      <c r="DVL38" s="1"/>
      <c r="DVM38" s="1"/>
      <c r="DVN38" s="178"/>
      <c r="DVO38" s="178"/>
      <c r="DVP38" s="1"/>
      <c r="DVQ38" s="2"/>
      <c r="DVR38" s="161"/>
      <c r="DVS38" s="161"/>
      <c r="DVT38" s="1"/>
      <c r="DVU38" s="213"/>
      <c r="DVV38" s="1"/>
      <c r="DVW38" s="1"/>
      <c r="DVX38" s="1"/>
      <c r="DVY38" s="1"/>
      <c r="DVZ38" s="223"/>
      <c r="DWA38" s="222"/>
      <c r="DWB38" s="1"/>
      <c r="DWC38" s="301"/>
      <c r="DWD38" s="214"/>
      <c r="DWE38" s="5"/>
      <c r="DWF38" s="12"/>
      <c r="DWG38" s="5"/>
      <c r="DWH38" s="5"/>
      <c r="DWI38" s="1"/>
      <c r="DWJ38" s="1"/>
      <c r="DWK38" s="1"/>
      <c r="DWL38" s="1"/>
      <c r="DWM38" s="1"/>
      <c r="DWN38" s="178"/>
      <c r="DWO38" s="178"/>
      <c r="DWP38" s="1"/>
      <c r="DWQ38" s="2"/>
      <c r="DWR38" s="161"/>
      <c r="DWS38" s="161"/>
      <c r="DWT38" s="1"/>
      <c r="DWU38" s="213"/>
      <c r="DWV38" s="1"/>
      <c r="DWW38" s="1"/>
      <c r="DWX38" s="1"/>
      <c r="DWY38" s="1"/>
      <c r="DWZ38" s="223"/>
      <c r="DXA38" s="222"/>
      <c r="DXB38" s="1"/>
      <c r="DXC38" s="301"/>
      <c r="DXD38" s="214"/>
      <c r="DXE38" s="5"/>
      <c r="DXF38" s="12"/>
      <c r="DXG38" s="5"/>
      <c r="DXH38" s="5"/>
      <c r="DXI38" s="1"/>
      <c r="DXJ38" s="1"/>
      <c r="DXK38" s="1"/>
      <c r="DXL38" s="1"/>
      <c r="DXM38" s="1"/>
      <c r="DXN38" s="178"/>
      <c r="DXO38" s="178"/>
      <c r="DXP38" s="1"/>
      <c r="DXQ38" s="2"/>
      <c r="DXR38" s="161"/>
      <c r="DXS38" s="161"/>
      <c r="DXT38" s="1"/>
      <c r="DXU38" s="213"/>
      <c r="DXV38" s="1"/>
      <c r="DXW38" s="1"/>
      <c r="DXX38" s="1"/>
      <c r="DXY38" s="1"/>
      <c r="DXZ38" s="223"/>
      <c r="DYA38" s="222"/>
      <c r="DYB38" s="1"/>
      <c r="DYC38" s="301"/>
      <c r="DYD38" s="214"/>
      <c r="DYE38" s="5"/>
      <c r="DYF38" s="12"/>
      <c r="DYG38" s="5"/>
      <c r="DYH38" s="5"/>
      <c r="DYI38" s="1"/>
      <c r="DYJ38" s="1"/>
      <c r="DYK38" s="1"/>
      <c r="DYL38" s="1"/>
      <c r="DYM38" s="1"/>
      <c r="DYN38" s="178"/>
      <c r="DYO38" s="178"/>
      <c r="DYP38" s="1"/>
      <c r="DYQ38" s="2"/>
      <c r="DYR38" s="161"/>
      <c r="DYS38" s="161"/>
      <c r="DYT38" s="1"/>
      <c r="DYU38" s="213"/>
      <c r="DYV38" s="1"/>
      <c r="DYW38" s="1"/>
      <c r="DYX38" s="1"/>
      <c r="DYY38" s="1"/>
      <c r="DYZ38" s="223"/>
      <c r="DZA38" s="222"/>
      <c r="DZB38" s="1"/>
      <c r="DZC38" s="301"/>
      <c r="DZD38" s="214"/>
      <c r="DZE38" s="5"/>
      <c r="DZF38" s="12"/>
      <c r="DZG38" s="5"/>
      <c r="DZH38" s="5"/>
      <c r="DZI38" s="1"/>
      <c r="DZJ38" s="1"/>
      <c r="DZK38" s="1"/>
      <c r="DZL38" s="1"/>
      <c r="DZM38" s="1"/>
      <c r="DZN38" s="178"/>
      <c r="DZO38" s="178"/>
      <c r="DZP38" s="1"/>
      <c r="DZQ38" s="2"/>
      <c r="DZR38" s="161"/>
      <c r="DZS38" s="161"/>
      <c r="DZT38" s="1"/>
      <c r="DZU38" s="213"/>
      <c r="DZV38" s="1"/>
      <c r="DZW38" s="1"/>
      <c r="DZX38" s="1"/>
      <c r="DZY38" s="1"/>
      <c r="DZZ38" s="223"/>
      <c r="EAA38" s="222"/>
      <c r="EAB38" s="1"/>
      <c r="EAC38" s="301"/>
      <c r="EAD38" s="214"/>
      <c r="EAE38" s="5"/>
      <c r="EAF38" s="12"/>
      <c r="EAG38" s="5"/>
      <c r="EAH38" s="5"/>
      <c r="EAI38" s="1"/>
      <c r="EAJ38" s="1"/>
      <c r="EAK38" s="1"/>
      <c r="EAL38" s="1"/>
      <c r="EAM38" s="1"/>
      <c r="EAN38" s="178"/>
      <c r="EAO38" s="178"/>
      <c r="EAP38" s="1"/>
      <c r="EAQ38" s="2"/>
      <c r="EAR38" s="161"/>
      <c r="EAS38" s="161"/>
      <c r="EAT38" s="1"/>
      <c r="EAU38" s="213"/>
      <c r="EAV38" s="1"/>
      <c r="EAW38" s="1"/>
      <c r="EAX38" s="1"/>
      <c r="EAY38" s="1"/>
      <c r="EAZ38" s="223"/>
      <c r="EBA38" s="222"/>
      <c r="EBB38" s="1"/>
      <c r="EBC38" s="301"/>
      <c r="EBD38" s="214"/>
      <c r="EBE38" s="5"/>
      <c r="EBF38" s="12"/>
      <c r="EBG38" s="5"/>
      <c r="EBH38" s="5"/>
      <c r="EBI38" s="1"/>
      <c r="EBJ38" s="1"/>
      <c r="EBK38" s="1"/>
      <c r="EBL38" s="1"/>
      <c r="EBM38" s="1"/>
      <c r="EBN38" s="178"/>
      <c r="EBO38" s="178"/>
      <c r="EBP38" s="1"/>
      <c r="EBQ38" s="2"/>
      <c r="EBR38" s="161"/>
      <c r="EBS38" s="161"/>
      <c r="EBT38" s="1"/>
      <c r="EBU38" s="213"/>
      <c r="EBV38" s="1"/>
      <c r="EBW38" s="1"/>
      <c r="EBX38" s="1"/>
      <c r="EBY38" s="1"/>
      <c r="EBZ38" s="223"/>
      <c r="ECA38" s="222"/>
      <c r="ECB38" s="1"/>
      <c r="ECC38" s="301"/>
      <c r="ECD38" s="214"/>
      <c r="ECE38" s="5"/>
      <c r="ECF38" s="12"/>
      <c r="ECG38" s="5"/>
      <c r="ECH38" s="5"/>
      <c r="ECI38" s="1"/>
      <c r="ECJ38" s="1"/>
      <c r="ECK38" s="1"/>
      <c r="ECL38" s="1"/>
      <c r="ECM38" s="1"/>
      <c r="ECN38" s="178"/>
      <c r="ECO38" s="178"/>
      <c r="ECP38" s="1"/>
      <c r="ECQ38" s="2"/>
      <c r="ECR38" s="161"/>
      <c r="ECS38" s="161"/>
      <c r="ECT38" s="1"/>
      <c r="ECU38" s="213"/>
      <c r="ECV38" s="1"/>
      <c r="ECW38" s="1"/>
      <c r="ECX38" s="1"/>
      <c r="ECY38" s="1"/>
      <c r="ECZ38" s="223"/>
      <c r="EDA38" s="222"/>
      <c r="EDB38" s="1"/>
      <c r="EDC38" s="301"/>
      <c r="EDD38" s="214"/>
      <c r="EDE38" s="5"/>
      <c r="EDF38" s="12"/>
      <c r="EDG38" s="5"/>
      <c r="EDH38" s="5"/>
      <c r="EDI38" s="1"/>
      <c r="EDJ38" s="1"/>
      <c r="EDK38" s="1"/>
      <c r="EDL38" s="1"/>
      <c r="EDM38" s="1"/>
      <c r="EDN38" s="178"/>
      <c r="EDO38" s="178"/>
      <c r="EDP38" s="1"/>
      <c r="EDQ38" s="2"/>
      <c r="EDR38" s="161"/>
      <c r="EDS38" s="161"/>
      <c r="EDT38" s="1"/>
      <c r="EDU38" s="213"/>
      <c r="EDV38" s="1"/>
      <c r="EDW38" s="1"/>
      <c r="EDX38" s="1"/>
      <c r="EDY38" s="1"/>
      <c r="EDZ38" s="223"/>
      <c r="EEA38" s="222"/>
      <c r="EEB38" s="1"/>
      <c r="EEC38" s="301"/>
      <c r="EED38" s="214"/>
      <c r="EEE38" s="5"/>
      <c r="EEF38" s="12"/>
      <c r="EEG38" s="5"/>
      <c r="EEH38" s="5"/>
      <c r="EEI38" s="1"/>
      <c r="EEJ38" s="1"/>
      <c r="EEK38" s="1"/>
      <c r="EEL38" s="1"/>
      <c r="EEM38" s="1"/>
      <c r="EEN38" s="178"/>
      <c r="EEO38" s="178"/>
      <c r="EEP38" s="1"/>
      <c r="EEQ38" s="2"/>
      <c r="EER38" s="161"/>
      <c r="EES38" s="161"/>
      <c r="EET38" s="1"/>
      <c r="EEU38" s="213"/>
      <c r="EEV38" s="1"/>
      <c r="EEW38" s="1"/>
      <c r="EEX38" s="1"/>
      <c r="EEY38" s="1"/>
      <c r="EEZ38" s="223"/>
      <c r="EFA38" s="222"/>
      <c r="EFB38" s="1"/>
      <c r="EFC38" s="301"/>
      <c r="EFD38" s="214"/>
      <c r="EFE38" s="5"/>
      <c r="EFF38" s="12"/>
      <c r="EFG38" s="5"/>
      <c r="EFH38" s="5"/>
      <c r="EFI38" s="1"/>
      <c r="EFJ38" s="1"/>
      <c r="EFK38" s="1"/>
      <c r="EFL38" s="1"/>
      <c r="EFM38" s="1"/>
      <c r="EFN38" s="178"/>
      <c r="EFO38" s="178"/>
      <c r="EFP38" s="1"/>
      <c r="EFQ38" s="2"/>
      <c r="EFR38" s="161"/>
      <c r="EFS38" s="161"/>
      <c r="EFT38" s="1"/>
      <c r="EFU38" s="213"/>
      <c r="EFV38" s="1"/>
      <c r="EFW38" s="1"/>
      <c r="EFX38" s="1"/>
      <c r="EFY38" s="1"/>
      <c r="EFZ38" s="223"/>
      <c r="EGA38" s="222"/>
      <c r="EGB38" s="1"/>
      <c r="EGC38" s="301"/>
      <c r="EGD38" s="214"/>
      <c r="EGE38" s="5"/>
      <c r="EGF38" s="12"/>
      <c r="EGG38" s="5"/>
      <c r="EGH38" s="5"/>
      <c r="EGI38" s="1"/>
      <c r="EGJ38" s="1"/>
      <c r="EGK38" s="1"/>
      <c r="EGL38" s="1"/>
      <c r="EGM38" s="1"/>
      <c r="EGN38" s="178"/>
      <c r="EGO38" s="178"/>
      <c r="EGP38" s="1"/>
      <c r="EGQ38" s="2"/>
      <c r="EGR38" s="161"/>
      <c r="EGS38" s="161"/>
      <c r="EGT38" s="1"/>
      <c r="EGU38" s="213"/>
      <c r="EGV38" s="1"/>
      <c r="EGW38" s="1"/>
      <c r="EGX38" s="1"/>
      <c r="EGY38" s="1"/>
      <c r="EGZ38" s="223"/>
      <c r="EHA38" s="222"/>
      <c r="EHB38" s="1"/>
      <c r="EHC38" s="301"/>
      <c r="EHD38" s="214"/>
      <c r="EHE38" s="5"/>
      <c r="EHF38" s="12"/>
      <c r="EHG38" s="5"/>
      <c r="EHH38" s="5"/>
      <c r="EHI38" s="1"/>
      <c r="EHJ38" s="1"/>
      <c r="EHK38" s="1"/>
      <c r="EHL38" s="1"/>
      <c r="EHM38" s="1"/>
      <c r="EHN38" s="178"/>
      <c r="EHO38" s="178"/>
      <c r="EHP38" s="1"/>
      <c r="EHQ38" s="2"/>
      <c r="EHR38" s="161"/>
      <c r="EHS38" s="161"/>
      <c r="EHT38" s="1"/>
      <c r="EHU38" s="213"/>
      <c r="EHV38" s="1"/>
      <c r="EHW38" s="1"/>
      <c r="EHX38" s="1"/>
      <c r="EHY38" s="1"/>
      <c r="EHZ38" s="223"/>
      <c r="EIA38" s="222"/>
      <c r="EIB38" s="1"/>
      <c r="EIC38" s="301"/>
      <c r="EID38" s="214"/>
      <c r="EIE38" s="5"/>
      <c r="EIF38" s="12"/>
      <c r="EIG38" s="5"/>
      <c r="EIH38" s="5"/>
      <c r="EII38" s="1"/>
      <c r="EIJ38" s="1"/>
      <c r="EIK38" s="1"/>
      <c r="EIL38" s="1"/>
      <c r="EIM38" s="1"/>
      <c r="EIN38" s="178"/>
      <c r="EIO38" s="178"/>
      <c r="EIP38" s="1"/>
      <c r="EIQ38" s="2"/>
      <c r="EIR38" s="161"/>
      <c r="EIS38" s="161"/>
      <c r="EIT38" s="1"/>
      <c r="EIU38" s="213"/>
      <c r="EIV38" s="1"/>
      <c r="EIW38" s="1"/>
      <c r="EIX38" s="1"/>
      <c r="EIY38" s="1"/>
      <c r="EIZ38" s="223"/>
      <c r="EJA38" s="222"/>
      <c r="EJB38" s="1"/>
      <c r="EJC38" s="301"/>
      <c r="EJD38" s="214"/>
      <c r="EJE38" s="5"/>
      <c r="EJF38" s="12"/>
      <c r="EJG38" s="5"/>
      <c r="EJH38" s="5"/>
      <c r="EJI38" s="1"/>
      <c r="EJJ38" s="1"/>
      <c r="EJK38" s="1"/>
      <c r="EJL38" s="1"/>
      <c r="EJM38" s="1"/>
      <c r="EJN38" s="178"/>
      <c r="EJO38" s="178"/>
      <c r="EJP38" s="1"/>
      <c r="EJQ38" s="2"/>
      <c r="EJR38" s="161"/>
      <c r="EJS38" s="161"/>
      <c r="EJT38" s="1"/>
      <c r="EJU38" s="213"/>
      <c r="EJV38" s="1"/>
      <c r="EJW38" s="1"/>
      <c r="EJX38" s="1"/>
      <c r="EJY38" s="1"/>
      <c r="EJZ38" s="223"/>
      <c r="EKA38" s="222"/>
      <c r="EKB38" s="1"/>
      <c r="EKC38" s="301"/>
      <c r="EKD38" s="214"/>
      <c r="EKE38" s="5"/>
      <c r="EKF38" s="12"/>
      <c r="EKG38" s="5"/>
      <c r="EKH38" s="5"/>
      <c r="EKI38" s="1"/>
      <c r="EKJ38" s="1"/>
      <c r="EKK38" s="1"/>
      <c r="EKL38" s="1"/>
      <c r="EKM38" s="1"/>
      <c r="EKN38" s="178"/>
      <c r="EKO38" s="178"/>
      <c r="EKP38" s="1"/>
      <c r="EKQ38" s="2"/>
      <c r="EKR38" s="161"/>
      <c r="EKS38" s="161"/>
      <c r="EKT38" s="1"/>
      <c r="EKU38" s="213"/>
      <c r="EKV38" s="1"/>
      <c r="EKW38" s="1"/>
      <c r="EKX38" s="1"/>
      <c r="EKY38" s="1"/>
      <c r="EKZ38" s="223"/>
      <c r="ELA38" s="222"/>
      <c r="ELB38" s="1"/>
      <c r="ELC38" s="301"/>
      <c r="ELD38" s="214"/>
      <c r="ELE38" s="5"/>
      <c r="ELF38" s="12"/>
      <c r="ELG38" s="5"/>
      <c r="ELH38" s="5"/>
      <c r="ELI38" s="1"/>
      <c r="ELJ38" s="1"/>
      <c r="ELK38" s="1"/>
      <c r="ELL38" s="1"/>
      <c r="ELM38" s="1"/>
      <c r="ELN38" s="178"/>
      <c r="ELO38" s="178"/>
      <c r="ELP38" s="1"/>
      <c r="ELQ38" s="2"/>
      <c r="ELR38" s="161"/>
      <c r="ELS38" s="161"/>
      <c r="ELT38" s="1"/>
      <c r="ELU38" s="213"/>
      <c r="ELV38" s="1"/>
      <c r="ELW38" s="1"/>
      <c r="ELX38" s="1"/>
      <c r="ELY38" s="1"/>
      <c r="ELZ38" s="223"/>
      <c r="EMA38" s="222"/>
      <c r="EMB38" s="1"/>
      <c r="EMC38" s="301"/>
      <c r="EMD38" s="214"/>
      <c r="EME38" s="5"/>
      <c r="EMF38" s="12"/>
      <c r="EMG38" s="5"/>
      <c r="EMH38" s="5"/>
      <c r="EMI38" s="1"/>
      <c r="EMJ38" s="1"/>
      <c r="EMK38" s="1"/>
      <c r="EML38" s="1"/>
      <c r="EMM38" s="1"/>
      <c r="EMN38" s="178"/>
      <c r="EMO38" s="178"/>
      <c r="EMP38" s="1"/>
      <c r="EMQ38" s="2"/>
      <c r="EMR38" s="161"/>
      <c r="EMS38" s="161"/>
      <c r="EMT38" s="1"/>
      <c r="EMU38" s="213"/>
      <c r="EMV38" s="1"/>
      <c r="EMW38" s="1"/>
      <c r="EMX38" s="1"/>
      <c r="EMY38" s="1"/>
      <c r="EMZ38" s="223"/>
      <c r="ENA38" s="222"/>
      <c r="ENB38" s="1"/>
      <c r="ENC38" s="301"/>
      <c r="END38" s="214"/>
      <c r="ENE38" s="5"/>
      <c r="ENF38" s="12"/>
      <c r="ENG38" s="5"/>
      <c r="ENH38" s="5"/>
      <c r="ENI38" s="1"/>
      <c r="ENJ38" s="1"/>
      <c r="ENK38" s="1"/>
      <c r="ENL38" s="1"/>
      <c r="ENM38" s="1"/>
      <c r="ENN38" s="178"/>
      <c r="ENO38" s="178"/>
      <c r="ENP38" s="1"/>
      <c r="ENQ38" s="2"/>
      <c r="ENR38" s="161"/>
      <c r="ENS38" s="161"/>
      <c r="ENT38" s="1"/>
      <c r="ENU38" s="213"/>
      <c r="ENV38" s="1"/>
      <c r="ENW38" s="1"/>
      <c r="ENX38" s="1"/>
      <c r="ENY38" s="1"/>
      <c r="ENZ38" s="223"/>
      <c r="EOA38" s="222"/>
      <c r="EOB38" s="1"/>
      <c r="EOC38" s="301"/>
      <c r="EOD38" s="214"/>
      <c r="EOE38" s="5"/>
      <c r="EOF38" s="12"/>
      <c r="EOG38" s="5"/>
      <c r="EOH38" s="5"/>
      <c r="EOI38" s="1"/>
      <c r="EOJ38" s="1"/>
      <c r="EOK38" s="1"/>
      <c r="EOL38" s="1"/>
      <c r="EOM38" s="1"/>
      <c r="EON38" s="178"/>
      <c r="EOO38" s="178"/>
      <c r="EOP38" s="1"/>
      <c r="EOQ38" s="2"/>
      <c r="EOR38" s="161"/>
      <c r="EOS38" s="161"/>
      <c r="EOT38" s="1"/>
      <c r="EOU38" s="213"/>
      <c r="EOV38" s="1"/>
      <c r="EOW38" s="1"/>
      <c r="EOX38" s="1"/>
      <c r="EOY38" s="1"/>
      <c r="EOZ38" s="223"/>
      <c r="EPA38" s="222"/>
      <c r="EPB38" s="1"/>
      <c r="EPC38" s="301"/>
      <c r="EPD38" s="214"/>
      <c r="EPE38" s="5"/>
      <c r="EPF38" s="12"/>
      <c r="EPG38" s="5"/>
      <c r="EPH38" s="5"/>
      <c r="EPI38" s="1"/>
      <c r="EPJ38" s="1"/>
      <c r="EPK38" s="1"/>
      <c r="EPL38" s="1"/>
      <c r="EPM38" s="1"/>
      <c r="EPN38" s="178"/>
      <c r="EPO38" s="178"/>
      <c r="EPP38" s="1"/>
      <c r="EPQ38" s="2"/>
      <c r="EPR38" s="161"/>
      <c r="EPS38" s="161"/>
      <c r="EPT38" s="1"/>
      <c r="EPU38" s="213"/>
      <c r="EPV38" s="1"/>
      <c r="EPW38" s="1"/>
      <c r="EPX38" s="1"/>
      <c r="EPY38" s="1"/>
      <c r="EPZ38" s="223"/>
      <c r="EQA38" s="222"/>
      <c r="EQB38" s="1"/>
      <c r="EQC38" s="301"/>
      <c r="EQD38" s="214"/>
      <c r="EQE38" s="5"/>
      <c r="EQF38" s="12"/>
      <c r="EQG38" s="5"/>
      <c r="EQH38" s="5"/>
      <c r="EQI38" s="1"/>
      <c r="EQJ38" s="1"/>
      <c r="EQK38" s="1"/>
      <c r="EQL38" s="1"/>
      <c r="EQM38" s="1"/>
      <c r="EQN38" s="178"/>
      <c r="EQO38" s="178"/>
      <c r="EQP38" s="1"/>
      <c r="EQQ38" s="2"/>
      <c r="EQR38" s="161"/>
      <c r="EQS38" s="161"/>
      <c r="EQT38" s="1"/>
      <c r="EQU38" s="213"/>
      <c r="EQV38" s="1"/>
      <c r="EQW38" s="1"/>
      <c r="EQX38" s="1"/>
      <c r="EQY38" s="1"/>
      <c r="EQZ38" s="223"/>
      <c r="ERA38" s="222"/>
      <c r="ERB38" s="1"/>
      <c r="ERC38" s="301"/>
      <c r="ERD38" s="214"/>
      <c r="ERE38" s="5"/>
      <c r="ERF38" s="12"/>
      <c r="ERG38" s="5"/>
      <c r="ERH38" s="5"/>
      <c r="ERI38" s="1"/>
      <c r="ERJ38" s="1"/>
      <c r="ERK38" s="1"/>
      <c r="ERL38" s="1"/>
      <c r="ERM38" s="1"/>
      <c r="ERN38" s="178"/>
      <c r="ERO38" s="178"/>
      <c r="ERP38" s="1"/>
      <c r="ERQ38" s="2"/>
      <c r="ERR38" s="161"/>
      <c r="ERS38" s="161"/>
      <c r="ERT38" s="1"/>
      <c r="ERU38" s="213"/>
      <c r="ERV38" s="1"/>
      <c r="ERW38" s="1"/>
      <c r="ERX38" s="1"/>
      <c r="ERY38" s="1"/>
      <c r="ERZ38" s="223"/>
      <c r="ESA38" s="222"/>
      <c r="ESB38" s="1"/>
      <c r="ESC38" s="301"/>
      <c r="ESD38" s="214"/>
      <c r="ESE38" s="5"/>
      <c r="ESF38" s="12"/>
      <c r="ESG38" s="5"/>
      <c r="ESH38" s="5"/>
      <c r="ESI38" s="1"/>
      <c r="ESJ38" s="1"/>
      <c r="ESK38" s="1"/>
      <c r="ESL38" s="1"/>
      <c r="ESM38" s="1"/>
      <c r="ESN38" s="178"/>
      <c r="ESO38" s="178"/>
      <c r="ESP38" s="1"/>
      <c r="ESQ38" s="2"/>
      <c r="ESR38" s="161"/>
      <c r="ESS38" s="161"/>
      <c r="EST38" s="1"/>
      <c r="ESU38" s="213"/>
      <c r="ESV38" s="1"/>
      <c r="ESW38" s="1"/>
      <c r="ESX38" s="1"/>
      <c r="ESY38" s="1"/>
      <c r="ESZ38" s="223"/>
      <c r="ETA38" s="222"/>
      <c r="ETB38" s="1"/>
      <c r="ETC38" s="301"/>
      <c r="ETD38" s="214"/>
      <c r="ETE38" s="5"/>
      <c r="ETF38" s="12"/>
      <c r="ETG38" s="5"/>
      <c r="ETH38" s="5"/>
      <c r="ETI38" s="1"/>
      <c r="ETJ38" s="1"/>
      <c r="ETK38" s="1"/>
      <c r="ETL38" s="1"/>
      <c r="ETM38" s="1"/>
      <c r="ETN38" s="178"/>
      <c r="ETO38" s="178"/>
      <c r="ETP38" s="1"/>
      <c r="ETQ38" s="2"/>
      <c r="ETR38" s="161"/>
      <c r="ETS38" s="161"/>
      <c r="ETT38" s="1"/>
      <c r="ETU38" s="213"/>
      <c r="ETV38" s="1"/>
      <c r="ETW38" s="1"/>
      <c r="ETX38" s="1"/>
      <c r="ETY38" s="1"/>
      <c r="ETZ38" s="223"/>
      <c r="EUA38" s="222"/>
      <c r="EUB38" s="1"/>
      <c r="EUC38" s="301"/>
      <c r="EUD38" s="214"/>
      <c r="EUE38" s="5"/>
      <c r="EUF38" s="12"/>
      <c r="EUG38" s="5"/>
      <c r="EUH38" s="5"/>
      <c r="EUI38" s="1"/>
      <c r="EUJ38" s="1"/>
      <c r="EUK38" s="1"/>
      <c r="EUL38" s="1"/>
      <c r="EUM38" s="1"/>
      <c r="EUN38" s="178"/>
      <c r="EUO38" s="178"/>
      <c r="EUP38" s="1"/>
      <c r="EUQ38" s="2"/>
      <c r="EUR38" s="161"/>
      <c r="EUS38" s="161"/>
      <c r="EUT38" s="1"/>
      <c r="EUU38" s="213"/>
      <c r="EUV38" s="1"/>
      <c r="EUW38" s="1"/>
      <c r="EUX38" s="1"/>
      <c r="EUY38" s="1"/>
      <c r="EUZ38" s="223"/>
      <c r="EVA38" s="222"/>
      <c r="EVB38" s="1"/>
      <c r="EVC38" s="301"/>
      <c r="EVD38" s="214"/>
      <c r="EVE38" s="5"/>
      <c r="EVF38" s="12"/>
      <c r="EVG38" s="5"/>
      <c r="EVH38" s="5"/>
      <c r="EVI38" s="1"/>
      <c r="EVJ38" s="1"/>
      <c r="EVK38" s="1"/>
      <c r="EVL38" s="1"/>
      <c r="EVM38" s="1"/>
      <c r="EVN38" s="178"/>
      <c r="EVO38" s="178"/>
      <c r="EVP38" s="1"/>
      <c r="EVQ38" s="2"/>
      <c r="EVR38" s="161"/>
      <c r="EVS38" s="161"/>
      <c r="EVT38" s="1"/>
      <c r="EVU38" s="213"/>
      <c r="EVV38" s="1"/>
      <c r="EVW38" s="1"/>
      <c r="EVX38" s="1"/>
      <c r="EVY38" s="1"/>
      <c r="EVZ38" s="223"/>
      <c r="EWA38" s="222"/>
      <c r="EWB38" s="1"/>
      <c r="EWC38" s="301"/>
      <c r="EWD38" s="214"/>
      <c r="EWE38" s="5"/>
      <c r="EWF38" s="12"/>
      <c r="EWG38" s="5"/>
      <c r="EWH38" s="5"/>
      <c r="EWI38" s="1"/>
      <c r="EWJ38" s="1"/>
      <c r="EWK38" s="1"/>
      <c r="EWL38" s="1"/>
      <c r="EWM38" s="1"/>
      <c r="EWN38" s="178"/>
      <c r="EWO38" s="178"/>
      <c r="EWP38" s="1"/>
      <c r="EWQ38" s="2"/>
      <c r="EWR38" s="161"/>
      <c r="EWS38" s="161"/>
      <c r="EWT38" s="1"/>
      <c r="EWU38" s="213"/>
      <c r="EWV38" s="1"/>
      <c r="EWW38" s="1"/>
      <c r="EWX38" s="1"/>
      <c r="EWY38" s="1"/>
      <c r="EWZ38" s="223"/>
      <c r="EXA38" s="222"/>
      <c r="EXB38" s="1"/>
      <c r="EXC38" s="301"/>
      <c r="EXD38" s="214"/>
      <c r="EXE38" s="5"/>
      <c r="EXF38" s="12"/>
      <c r="EXG38" s="5"/>
      <c r="EXH38" s="5"/>
      <c r="EXI38" s="1"/>
      <c r="EXJ38" s="1"/>
      <c r="EXK38" s="1"/>
      <c r="EXL38" s="1"/>
      <c r="EXM38" s="1"/>
      <c r="EXN38" s="178"/>
      <c r="EXO38" s="178"/>
      <c r="EXP38" s="1"/>
      <c r="EXQ38" s="2"/>
      <c r="EXR38" s="161"/>
      <c r="EXS38" s="161"/>
      <c r="EXT38" s="1"/>
      <c r="EXU38" s="213"/>
      <c r="EXV38" s="1"/>
      <c r="EXW38" s="1"/>
      <c r="EXX38" s="1"/>
      <c r="EXY38" s="1"/>
      <c r="EXZ38" s="223"/>
      <c r="EYA38" s="222"/>
      <c r="EYB38" s="1"/>
      <c r="EYC38" s="301"/>
      <c r="EYD38" s="214"/>
      <c r="EYE38" s="5"/>
      <c r="EYF38" s="12"/>
      <c r="EYG38" s="5"/>
      <c r="EYH38" s="5"/>
      <c r="EYI38" s="1"/>
      <c r="EYJ38" s="1"/>
      <c r="EYK38" s="1"/>
      <c r="EYL38" s="1"/>
      <c r="EYM38" s="1"/>
      <c r="EYN38" s="178"/>
      <c r="EYO38" s="178"/>
      <c r="EYP38" s="1"/>
      <c r="EYQ38" s="2"/>
      <c r="EYR38" s="161"/>
      <c r="EYS38" s="161"/>
      <c r="EYT38" s="1"/>
      <c r="EYU38" s="213"/>
      <c r="EYV38" s="1"/>
      <c r="EYW38" s="1"/>
      <c r="EYX38" s="1"/>
      <c r="EYY38" s="1"/>
      <c r="EYZ38" s="223"/>
      <c r="EZA38" s="222"/>
      <c r="EZB38" s="1"/>
      <c r="EZC38" s="301"/>
      <c r="EZD38" s="214"/>
      <c r="EZE38" s="5"/>
      <c r="EZF38" s="12"/>
      <c r="EZG38" s="5"/>
      <c r="EZH38" s="5"/>
      <c r="EZI38" s="1"/>
      <c r="EZJ38" s="1"/>
      <c r="EZK38" s="1"/>
      <c r="EZL38" s="1"/>
      <c r="EZM38" s="1"/>
      <c r="EZN38" s="178"/>
      <c r="EZO38" s="178"/>
      <c r="EZP38" s="1"/>
      <c r="EZQ38" s="2"/>
      <c r="EZR38" s="161"/>
      <c r="EZS38" s="161"/>
      <c r="EZT38" s="1"/>
      <c r="EZU38" s="213"/>
      <c r="EZV38" s="1"/>
      <c r="EZW38" s="1"/>
      <c r="EZX38" s="1"/>
      <c r="EZY38" s="1"/>
      <c r="EZZ38" s="223"/>
      <c r="FAA38" s="222"/>
      <c r="FAB38" s="1"/>
      <c r="FAC38" s="301"/>
      <c r="FAD38" s="214"/>
      <c r="FAE38" s="5"/>
      <c r="FAF38" s="12"/>
      <c r="FAG38" s="5"/>
      <c r="FAH38" s="5"/>
      <c r="FAI38" s="1"/>
      <c r="FAJ38" s="1"/>
      <c r="FAK38" s="1"/>
      <c r="FAL38" s="1"/>
      <c r="FAM38" s="1"/>
      <c r="FAN38" s="178"/>
      <c r="FAO38" s="178"/>
      <c r="FAP38" s="1"/>
      <c r="FAQ38" s="2"/>
      <c r="FAR38" s="161"/>
      <c r="FAS38" s="161"/>
      <c r="FAT38" s="1"/>
      <c r="FAU38" s="213"/>
      <c r="FAV38" s="1"/>
      <c r="FAW38" s="1"/>
      <c r="FAX38" s="1"/>
      <c r="FAY38" s="1"/>
      <c r="FAZ38" s="223"/>
      <c r="FBA38" s="222"/>
      <c r="FBB38" s="1"/>
      <c r="FBC38" s="301"/>
      <c r="FBD38" s="214"/>
      <c r="FBE38" s="5"/>
      <c r="FBF38" s="12"/>
      <c r="FBG38" s="5"/>
      <c r="FBH38" s="5"/>
      <c r="FBI38" s="1"/>
      <c r="FBJ38" s="1"/>
      <c r="FBK38" s="1"/>
      <c r="FBL38" s="1"/>
      <c r="FBM38" s="1"/>
      <c r="FBN38" s="178"/>
      <c r="FBO38" s="178"/>
      <c r="FBP38" s="1"/>
      <c r="FBQ38" s="2"/>
      <c r="FBR38" s="161"/>
      <c r="FBS38" s="161"/>
      <c r="FBT38" s="1"/>
      <c r="FBU38" s="213"/>
      <c r="FBV38" s="1"/>
      <c r="FBW38" s="1"/>
      <c r="FBX38" s="1"/>
      <c r="FBY38" s="1"/>
      <c r="FBZ38" s="223"/>
      <c r="FCA38" s="222"/>
      <c r="FCB38" s="1"/>
      <c r="FCC38" s="301"/>
      <c r="FCD38" s="214"/>
      <c r="FCE38" s="5"/>
      <c r="FCF38" s="12"/>
      <c r="FCG38" s="5"/>
      <c r="FCH38" s="5"/>
      <c r="FCI38" s="1"/>
      <c r="FCJ38" s="1"/>
      <c r="FCK38" s="1"/>
      <c r="FCL38" s="1"/>
      <c r="FCM38" s="1"/>
      <c r="FCN38" s="178"/>
      <c r="FCO38" s="178"/>
      <c r="FCP38" s="1"/>
      <c r="FCQ38" s="2"/>
      <c r="FCR38" s="161"/>
      <c r="FCS38" s="161"/>
      <c r="FCT38" s="1"/>
      <c r="FCU38" s="213"/>
      <c r="FCV38" s="1"/>
      <c r="FCW38" s="1"/>
      <c r="FCX38" s="1"/>
      <c r="FCY38" s="1"/>
      <c r="FCZ38" s="223"/>
      <c r="FDA38" s="222"/>
      <c r="FDB38" s="1"/>
      <c r="FDC38" s="301"/>
      <c r="FDD38" s="214"/>
      <c r="FDE38" s="5"/>
      <c r="FDF38" s="12"/>
      <c r="FDG38" s="5"/>
      <c r="FDH38" s="5"/>
      <c r="FDI38" s="1"/>
      <c r="FDJ38" s="1"/>
      <c r="FDK38" s="1"/>
      <c r="FDL38" s="1"/>
      <c r="FDM38" s="1"/>
      <c r="FDN38" s="178"/>
      <c r="FDO38" s="178"/>
      <c r="FDP38" s="1"/>
      <c r="FDQ38" s="2"/>
      <c r="FDR38" s="161"/>
      <c r="FDS38" s="161"/>
      <c r="FDT38" s="1"/>
      <c r="FDU38" s="213"/>
      <c r="FDV38" s="1"/>
      <c r="FDW38" s="1"/>
      <c r="FDX38" s="1"/>
      <c r="FDY38" s="1"/>
      <c r="FDZ38" s="223"/>
      <c r="FEA38" s="222"/>
      <c r="FEB38" s="1"/>
      <c r="FEC38" s="301"/>
      <c r="FED38" s="214"/>
      <c r="FEE38" s="5"/>
      <c r="FEF38" s="12"/>
      <c r="FEG38" s="5"/>
      <c r="FEH38" s="5"/>
      <c r="FEI38" s="1"/>
      <c r="FEJ38" s="1"/>
      <c r="FEK38" s="1"/>
      <c r="FEL38" s="1"/>
      <c r="FEM38" s="1"/>
      <c r="FEN38" s="178"/>
      <c r="FEO38" s="178"/>
      <c r="FEP38" s="1"/>
      <c r="FEQ38" s="2"/>
      <c r="FER38" s="161"/>
      <c r="FES38" s="161"/>
      <c r="FET38" s="1"/>
      <c r="FEU38" s="213"/>
      <c r="FEV38" s="1"/>
      <c r="FEW38" s="1"/>
      <c r="FEX38" s="1"/>
      <c r="FEY38" s="1"/>
      <c r="FEZ38" s="223"/>
      <c r="FFA38" s="222"/>
      <c r="FFB38" s="1"/>
      <c r="FFC38" s="301"/>
      <c r="FFD38" s="214"/>
      <c r="FFE38" s="5"/>
      <c r="FFF38" s="12"/>
      <c r="FFG38" s="5"/>
      <c r="FFH38" s="5"/>
      <c r="FFI38" s="1"/>
      <c r="FFJ38" s="1"/>
      <c r="FFK38" s="1"/>
      <c r="FFL38" s="1"/>
      <c r="FFM38" s="1"/>
      <c r="FFN38" s="178"/>
      <c r="FFO38" s="178"/>
      <c r="FFP38" s="1"/>
      <c r="FFQ38" s="2"/>
      <c r="FFR38" s="161"/>
      <c r="FFS38" s="161"/>
      <c r="FFT38" s="1"/>
      <c r="FFU38" s="213"/>
      <c r="FFV38" s="1"/>
      <c r="FFW38" s="1"/>
      <c r="FFX38" s="1"/>
      <c r="FFY38" s="1"/>
      <c r="FFZ38" s="223"/>
      <c r="FGA38" s="222"/>
      <c r="FGB38" s="1"/>
      <c r="FGC38" s="301"/>
      <c r="FGD38" s="214"/>
      <c r="FGE38" s="5"/>
      <c r="FGF38" s="12"/>
      <c r="FGG38" s="5"/>
      <c r="FGH38" s="5"/>
      <c r="FGI38" s="1"/>
      <c r="FGJ38" s="1"/>
      <c r="FGK38" s="1"/>
      <c r="FGL38" s="1"/>
      <c r="FGM38" s="1"/>
      <c r="FGN38" s="178"/>
      <c r="FGO38" s="178"/>
      <c r="FGP38" s="1"/>
      <c r="FGQ38" s="2"/>
      <c r="FGR38" s="161"/>
      <c r="FGS38" s="161"/>
      <c r="FGT38" s="1"/>
      <c r="FGU38" s="213"/>
      <c r="FGV38" s="1"/>
      <c r="FGW38" s="1"/>
      <c r="FGX38" s="1"/>
      <c r="FGY38" s="1"/>
      <c r="FGZ38" s="223"/>
      <c r="FHA38" s="222"/>
      <c r="FHB38" s="1"/>
      <c r="FHC38" s="301"/>
      <c r="FHD38" s="214"/>
      <c r="FHE38" s="5"/>
      <c r="FHF38" s="12"/>
      <c r="FHG38" s="5"/>
      <c r="FHH38" s="5"/>
      <c r="FHI38" s="1"/>
      <c r="FHJ38" s="1"/>
      <c r="FHK38" s="1"/>
      <c r="FHL38" s="1"/>
      <c r="FHM38" s="1"/>
      <c r="FHN38" s="178"/>
      <c r="FHO38" s="178"/>
      <c r="FHP38" s="1"/>
      <c r="FHQ38" s="2"/>
      <c r="FHR38" s="161"/>
      <c r="FHS38" s="161"/>
      <c r="FHT38" s="1"/>
      <c r="FHU38" s="213"/>
      <c r="FHV38" s="1"/>
      <c r="FHW38" s="1"/>
      <c r="FHX38" s="1"/>
      <c r="FHY38" s="1"/>
      <c r="FHZ38" s="223"/>
      <c r="FIA38" s="222"/>
      <c r="FIB38" s="1"/>
      <c r="FIC38" s="301"/>
      <c r="FID38" s="214"/>
      <c r="FIE38" s="5"/>
      <c r="FIF38" s="12"/>
      <c r="FIG38" s="5"/>
      <c r="FIH38" s="5"/>
      <c r="FII38" s="1"/>
      <c r="FIJ38" s="1"/>
      <c r="FIK38" s="1"/>
      <c r="FIL38" s="1"/>
      <c r="FIM38" s="1"/>
      <c r="FIN38" s="178"/>
      <c r="FIO38" s="178"/>
      <c r="FIP38" s="1"/>
      <c r="FIQ38" s="2"/>
      <c r="FIR38" s="161"/>
      <c r="FIS38" s="161"/>
      <c r="FIT38" s="1"/>
      <c r="FIU38" s="213"/>
      <c r="FIV38" s="1"/>
      <c r="FIW38" s="1"/>
      <c r="FIX38" s="1"/>
      <c r="FIY38" s="1"/>
      <c r="FIZ38" s="223"/>
      <c r="FJA38" s="222"/>
      <c r="FJB38" s="1"/>
      <c r="FJC38" s="301"/>
      <c r="FJD38" s="214"/>
      <c r="FJE38" s="5"/>
      <c r="FJF38" s="12"/>
      <c r="FJG38" s="5"/>
      <c r="FJH38" s="5"/>
      <c r="FJI38" s="1"/>
      <c r="FJJ38" s="1"/>
      <c r="FJK38" s="1"/>
      <c r="FJL38" s="1"/>
      <c r="FJM38" s="1"/>
      <c r="FJN38" s="178"/>
      <c r="FJO38" s="178"/>
      <c r="FJP38" s="1"/>
      <c r="FJQ38" s="2"/>
      <c r="FJR38" s="161"/>
      <c r="FJS38" s="161"/>
      <c r="FJT38" s="1"/>
      <c r="FJU38" s="213"/>
      <c r="FJV38" s="1"/>
      <c r="FJW38" s="1"/>
      <c r="FJX38" s="1"/>
      <c r="FJY38" s="1"/>
      <c r="FJZ38" s="223"/>
      <c r="FKA38" s="222"/>
      <c r="FKB38" s="1"/>
      <c r="FKC38" s="301"/>
      <c r="FKD38" s="214"/>
      <c r="FKE38" s="5"/>
      <c r="FKF38" s="12"/>
      <c r="FKG38" s="5"/>
      <c r="FKH38" s="5"/>
      <c r="FKI38" s="1"/>
      <c r="FKJ38" s="1"/>
      <c r="FKK38" s="1"/>
      <c r="FKL38" s="1"/>
      <c r="FKM38" s="1"/>
      <c r="FKN38" s="178"/>
      <c r="FKO38" s="178"/>
      <c r="FKP38" s="1"/>
      <c r="FKQ38" s="2"/>
      <c r="FKR38" s="161"/>
      <c r="FKS38" s="161"/>
      <c r="FKT38" s="1"/>
      <c r="FKU38" s="213"/>
      <c r="FKV38" s="1"/>
      <c r="FKW38" s="1"/>
      <c r="FKX38" s="1"/>
      <c r="FKY38" s="1"/>
      <c r="FKZ38" s="223"/>
      <c r="FLA38" s="222"/>
      <c r="FLB38" s="1"/>
      <c r="FLC38" s="301"/>
      <c r="FLD38" s="214"/>
      <c r="FLE38" s="5"/>
      <c r="FLF38" s="12"/>
      <c r="FLG38" s="5"/>
      <c r="FLH38" s="5"/>
      <c r="FLI38" s="1"/>
      <c r="FLJ38" s="1"/>
      <c r="FLK38" s="1"/>
      <c r="FLL38" s="1"/>
      <c r="FLM38" s="1"/>
      <c r="FLN38" s="178"/>
      <c r="FLO38" s="178"/>
      <c r="FLP38" s="1"/>
      <c r="FLQ38" s="2"/>
      <c r="FLR38" s="161"/>
      <c r="FLS38" s="161"/>
      <c r="FLT38" s="1"/>
      <c r="FLU38" s="213"/>
      <c r="FLV38" s="1"/>
      <c r="FLW38" s="1"/>
      <c r="FLX38" s="1"/>
      <c r="FLY38" s="1"/>
      <c r="FLZ38" s="223"/>
      <c r="FMA38" s="222"/>
      <c r="FMB38" s="1"/>
      <c r="FMC38" s="301"/>
      <c r="FMD38" s="214"/>
      <c r="FME38" s="5"/>
      <c r="FMF38" s="12"/>
      <c r="FMG38" s="5"/>
      <c r="FMH38" s="5"/>
      <c r="FMI38" s="1"/>
      <c r="FMJ38" s="1"/>
      <c r="FMK38" s="1"/>
      <c r="FML38" s="1"/>
      <c r="FMM38" s="1"/>
      <c r="FMN38" s="178"/>
      <c r="FMO38" s="178"/>
      <c r="FMP38" s="1"/>
      <c r="FMQ38" s="2"/>
      <c r="FMR38" s="161"/>
      <c r="FMS38" s="161"/>
      <c r="FMT38" s="1"/>
      <c r="FMU38" s="213"/>
      <c r="FMV38" s="1"/>
      <c r="FMW38" s="1"/>
      <c r="FMX38" s="1"/>
      <c r="FMY38" s="1"/>
      <c r="FMZ38" s="223"/>
      <c r="FNA38" s="222"/>
      <c r="FNB38" s="1"/>
      <c r="FNC38" s="301"/>
      <c r="FND38" s="214"/>
      <c r="FNE38" s="5"/>
      <c r="FNF38" s="12"/>
      <c r="FNG38" s="5"/>
      <c r="FNH38" s="5"/>
      <c r="FNI38" s="1"/>
      <c r="FNJ38" s="1"/>
      <c r="FNK38" s="1"/>
      <c r="FNL38" s="1"/>
      <c r="FNM38" s="1"/>
      <c r="FNN38" s="178"/>
      <c r="FNO38" s="178"/>
      <c r="FNP38" s="1"/>
      <c r="FNQ38" s="2"/>
      <c r="FNR38" s="161"/>
      <c r="FNS38" s="161"/>
      <c r="FNT38" s="1"/>
      <c r="FNU38" s="213"/>
      <c r="FNV38" s="1"/>
      <c r="FNW38" s="1"/>
      <c r="FNX38" s="1"/>
      <c r="FNY38" s="1"/>
      <c r="FNZ38" s="223"/>
      <c r="FOA38" s="222"/>
      <c r="FOB38" s="1"/>
      <c r="FOC38" s="301"/>
      <c r="FOD38" s="214"/>
      <c r="FOE38" s="5"/>
      <c r="FOF38" s="12"/>
      <c r="FOG38" s="5"/>
      <c r="FOH38" s="5"/>
      <c r="FOI38" s="1"/>
      <c r="FOJ38" s="1"/>
      <c r="FOK38" s="1"/>
      <c r="FOL38" s="1"/>
      <c r="FOM38" s="1"/>
      <c r="FON38" s="178"/>
      <c r="FOO38" s="178"/>
      <c r="FOP38" s="1"/>
      <c r="FOQ38" s="2"/>
      <c r="FOR38" s="161"/>
      <c r="FOS38" s="161"/>
      <c r="FOT38" s="1"/>
      <c r="FOU38" s="213"/>
      <c r="FOV38" s="1"/>
      <c r="FOW38" s="1"/>
      <c r="FOX38" s="1"/>
      <c r="FOY38" s="1"/>
      <c r="FOZ38" s="223"/>
      <c r="FPA38" s="222"/>
      <c r="FPB38" s="1"/>
      <c r="FPC38" s="301"/>
      <c r="FPD38" s="214"/>
      <c r="FPE38" s="5"/>
      <c r="FPF38" s="12"/>
      <c r="FPG38" s="5"/>
      <c r="FPH38" s="5"/>
      <c r="FPI38" s="1"/>
      <c r="FPJ38" s="1"/>
      <c r="FPK38" s="1"/>
      <c r="FPL38" s="1"/>
      <c r="FPM38" s="1"/>
      <c r="FPN38" s="178"/>
      <c r="FPO38" s="178"/>
      <c r="FPP38" s="1"/>
      <c r="FPQ38" s="2"/>
      <c r="FPR38" s="161"/>
      <c r="FPS38" s="161"/>
      <c r="FPT38" s="1"/>
      <c r="FPU38" s="213"/>
      <c r="FPV38" s="1"/>
      <c r="FPW38" s="1"/>
      <c r="FPX38" s="1"/>
      <c r="FPY38" s="1"/>
      <c r="FPZ38" s="223"/>
      <c r="FQA38" s="222"/>
      <c r="FQB38" s="1"/>
      <c r="FQC38" s="301"/>
      <c r="FQD38" s="214"/>
      <c r="FQE38" s="5"/>
      <c r="FQF38" s="12"/>
      <c r="FQG38" s="5"/>
      <c r="FQH38" s="5"/>
      <c r="FQI38" s="1"/>
      <c r="FQJ38" s="1"/>
      <c r="FQK38" s="1"/>
      <c r="FQL38" s="1"/>
      <c r="FQM38" s="1"/>
      <c r="FQN38" s="178"/>
      <c r="FQO38" s="178"/>
      <c r="FQP38" s="1"/>
      <c r="FQQ38" s="2"/>
      <c r="FQR38" s="161"/>
      <c r="FQS38" s="161"/>
      <c r="FQT38" s="1"/>
      <c r="FQU38" s="213"/>
      <c r="FQV38" s="1"/>
      <c r="FQW38" s="1"/>
      <c r="FQX38" s="1"/>
      <c r="FQY38" s="1"/>
      <c r="FQZ38" s="223"/>
      <c r="FRA38" s="222"/>
      <c r="FRB38" s="1"/>
      <c r="FRC38" s="301"/>
      <c r="FRD38" s="214"/>
      <c r="FRE38" s="5"/>
      <c r="FRF38" s="12"/>
      <c r="FRG38" s="5"/>
      <c r="FRH38" s="5"/>
      <c r="FRI38" s="1"/>
      <c r="FRJ38" s="1"/>
      <c r="FRK38" s="1"/>
      <c r="FRL38" s="1"/>
      <c r="FRM38" s="1"/>
      <c r="FRN38" s="178"/>
      <c r="FRO38" s="178"/>
      <c r="FRP38" s="1"/>
      <c r="FRQ38" s="2"/>
      <c r="FRR38" s="161"/>
      <c r="FRS38" s="161"/>
      <c r="FRT38" s="1"/>
      <c r="FRU38" s="213"/>
      <c r="FRV38" s="1"/>
      <c r="FRW38" s="1"/>
      <c r="FRX38" s="1"/>
      <c r="FRY38" s="1"/>
      <c r="FRZ38" s="223"/>
      <c r="FSA38" s="222"/>
      <c r="FSB38" s="1"/>
      <c r="FSC38" s="301"/>
      <c r="FSD38" s="214"/>
      <c r="FSE38" s="5"/>
      <c r="FSF38" s="12"/>
      <c r="FSG38" s="5"/>
      <c r="FSH38" s="5"/>
      <c r="FSI38" s="1"/>
      <c r="FSJ38" s="1"/>
      <c r="FSK38" s="1"/>
      <c r="FSL38" s="1"/>
      <c r="FSM38" s="1"/>
      <c r="FSN38" s="178"/>
      <c r="FSO38" s="178"/>
      <c r="FSP38" s="1"/>
      <c r="FSQ38" s="2"/>
      <c r="FSR38" s="161"/>
      <c r="FSS38" s="161"/>
      <c r="FST38" s="1"/>
      <c r="FSU38" s="213"/>
      <c r="FSV38" s="1"/>
      <c r="FSW38" s="1"/>
      <c r="FSX38" s="1"/>
      <c r="FSY38" s="1"/>
      <c r="FSZ38" s="223"/>
      <c r="FTA38" s="222"/>
      <c r="FTB38" s="1"/>
      <c r="FTC38" s="301"/>
      <c r="FTD38" s="214"/>
      <c r="FTE38" s="5"/>
      <c r="FTF38" s="12"/>
      <c r="FTG38" s="5"/>
      <c r="FTH38" s="5"/>
      <c r="FTI38" s="1"/>
      <c r="FTJ38" s="1"/>
      <c r="FTK38" s="1"/>
      <c r="FTL38" s="1"/>
      <c r="FTM38" s="1"/>
      <c r="FTN38" s="178"/>
      <c r="FTO38" s="178"/>
      <c r="FTP38" s="1"/>
      <c r="FTQ38" s="2"/>
      <c r="FTR38" s="161"/>
      <c r="FTS38" s="161"/>
      <c r="FTT38" s="1"/>
      <c r="FTU38" s="213"/>
      <c r="FTV38" s="1"/>
      <c r="FTW38" s="1"/>
      <c r="FTX38" s="1"/>
      <c r="FTY38" s="1"/>
      <c r="FTZ38" s="223"/>
      <c r="FUA38" s="222"/>
      <c r="FUB38" s="1"/>
      <c r="FUC38" s="301"/>
      <c r="FUD38" s="214"/>
      <c r="FUE38" s="5"/>
      <c r="FUF38" s="12"/>
      <c r="FUG38" s="5"/>
      <c r="FUH38" s="5"/>
      <c r="FUI38" s="1"/>
      <c r="FUJ38" s="1"/>
      <c r="FUK38" s="1"/>
      <c r="FUL38" s="1"/>
      <c r="FUM38" s="1"/>
      <c r="FUN38" s="178"/>
      <c r="FUO38" s="178"/>
      <c r="FUP38" s="1"/>
      <c r="FUQ38" s="2"/>
      <c r="FUR38" s="161"/>
      <c r="FUS38" s="161"/>
      <c r="FUT38" s="1"/>
      <c r="FUU38" s="213"/>
      <c r="FUV38" s="1"/>
      <c r="FUW38" s="1"/>
      <c r="FUX38" s="1"/>
      <c r="FUY38" s="1"/>
      <c r="FUZ38" s="223"/>
      <c r="FVA38" s="222"/>
      <c r="FVB38" s="1"/>
      <c r="FVC38" s="301"/>
      <c r="FVD38" s="214"/>
      <c r="FVE38" s="5"/>
      <c r="FVF38" s="12"/>
      <c r="FVG38" s="5"/>
      <c r="FVH38" s="5"/>
      <c r="FVI38" s="1"/>
      <c r="FVJ38" s="1"/>
      <c r="FVK38" s="1"/>
      <c r="FVL38" s="1"/>
      <c r="FVM38" s="1"/>
      <c r="FVN38" s="178"/>
      <c r="FVO38" s="178"/>
      <c r="FVP38" s="1"/>
      <c r="FVQ38" s="2"/>
      <c r="FVR38" s="161"/>
      <c r="FVS38" s="161"/>
      <c r="FVT38" s="1"/>
      <c r="FVU38" s="213"/>
      <c r="FVV38" s="1"/>
      <c r="FVW38" s="1"/>
      <c r="FVX38" s="1"/>
      <c r="FVY38" s="1"/>
      <c r="FVZ38" s="223"/>
      <c r="FWA38" s="222"/>
      <c r="FWB38" s="1"/>
      <c r="FWC38" s="301"/>
      <c r="FWD38" s="214"/>
      <c r="FWE38" s="5"/>
      <c r="FWF38" s="12"/>
      <c r="FWG38" s="5"/>
      <c r="FWH38" s="5"/>
      <c r="FWI38" s="1"/>
      <c r="FWJ38" s="1"/>
      <c r="FWK38" s="1"/>
      <c r="FWL38" s="1"/>
      <c r="FWM38" s="1"/>
      <c r="FWN38" s="178"/>
      <c r="FWO38" s="178"/>
      <c r="FWP38" s="1"/>
      <c r="FWQ38" s="2"/>
      <c r="FWR38" s="161"/>
      <c r="FWS38" s="161"/>
      <c r="FWT38" s="1"/>
      <c r="FWU38" s="213"/>
      <c r="FWV38" s="1"/>
      <c r="FWW38" s="1"/>
      <c r="FWX38" s="1"/>
      <c r="FWY38" s="1"/>
      <c r="FWZ38" s="223"/>
      <c r="FXA38" s="222"/>
      <c r="FXB38" s="1"/>
      <c r="FXC38" s="301"/>
      <c r="FXD38" s="214"/>
      <c r="FXE38" s="5"/>
      <c r="FXF38" s="12"/>
      <c r="FXG38" s="5"/>
      <c r="FXH38" s="5"/>
      <c r="FXI38" s="1"/>
      <c r="FXJ38" s="1"/>
      <c r="FXK38" s="1"/>
      <c r="FXL38" s="1"/>
      <c r="FXM38" s="1"/>
      <c r="FXN38" s="178"/>
      <c r="FXO38" s="178"/>
      <c r="FXP38" s="1"/>
      <c r="FXQ38" s="2"/>
      <c r="FXR38" s="161"/>
      <c r="FXS38" s="161"/>
      <c r="FXT38" s="1"/>
      <c r="FXU38" s="213"/>
      <c r="FXV38" s="1"/>
      <c r="FXW38" s="1"/>
      <c r="FXX38" s="1"/>
      <c r="FXY38" s="1"/>
      <c r="FXZ38" s="223"/>
      <c r="FYA38" s="222"/>
      <c r="FYB38" s="1"/>
      <c r="FYC38" s="301"/>
      <c r="FYD38" s="214"/>
      <c r="FYE38" s="5"/>
      <c r="FYF38" s="12"/>
      <c r="FYG38" s="5"/>
      <c r="FYH38" s="5"/>
      <c r="FYI38" s="1"/>
      <c r="FYJ38" s="1"/>
      <c r="FYK38" s="1"/>
      <c r="FYL38" s="1"/>
      <c r="FYM38" s="1"/>
      <c r="FYN38" s="178"/>
      <c r="FYO38" s="178"/>
      <c r="FYP38" s="1"/>
      <c r="FYQ38" s="2"/>
      <c r="FYR38" s="161"/>
      <c r="FYS38" s="161"/>
      <c r="FYT38" s="1"/>
      <c r="FYU38" s="213"/>
      <c r="FYV38" s="1"/>
      <c r="FYW38" s="1"/>
      <c r="FYX38" s="1"/>
      <c r="FYY38" s="1"/>
      <c r="FYZ38" s="223"/>
      <c r="FZA38" s="222"/>
      <c r="FZB38" s="1"/>
      <c r="FZC38" s="301"/>
      <c r="FZD38" s="214"/>
      <c r="FZE38" s="5"/>
      <c r="FZF38" s="12"/>
      <c r="FZG38" s="5"/>
      <c r="FZH38" s="5"/>
      <c r="FZI38" s="1"/>
      <c r="FZJ38" s="1"/>
      <c r="FZK38" s="1"/>
      <c r="FZL38" s="1"/>
      <c r="FZM38" s="1"/>
      <c r="FZN38" s="178"/>
      <c r="FZO38" s="178"/>
      <c r="FZP38" s="1"/>
      <c r="FZQ38" s="2"/>
      <c r="FZR38" s="161"/>
      <c r="FZS38" s="161"/>
      <c r="FZT38" s="1"/>
      <c r="FZU38" s="213"/>
      <c r="FZV38" s="1"/>
      <c r="FZW38" s="1"/>
      <c r="FZX38" s="1"/>
      <c r="FZY38" s="1"/>
      <c r="FZZ38" s="223"/>
      <c r="GAA38" s="222"/>
      <c r="GAB38" s="1"/>
      <c r="GAC38" s="301"/>
      <c r="GAD38" s="214"/>
      <c r="GAE38" s="5"/>
      <c r="GAF38" s="12"/>
      <c r="GAG38" s="5"/>
      <c r="GAH38" s="5"/>
      <c r="GAI38" s="1"/>
      <c r="GAJ38" s="1"/>
      <c r="GAK38" s="1"/>
      <c r="GAL38" s="1"/>
      <c r="GAM38" s="1"/>
      <c r="GAN38" s="178"/>
      <c r="GAO38" s="178"/>
      <c r="GAP38" s="1"/>
      <c r="GAQ38" s="2"/>
      <c r="GAR38" s="161"/>
      <c r="GAS38" s="161"/>
      <c r="GAT38" s="1"/>
      <c r="GAU38" s="213"/>
      <c r="GAV38" s="1"/>
      <c r="GAW38" s="1"/>
      <c r="GAX38" s="1"/>
      <c r="GAY38" s="1"/>
      <c r="GAZ38" s="223"/>
      <c r="GBA38" s="222"/>
      <c r="GBB38" s="1"/>
      <c r="GBC38" s="301"/>
      <c r="GBD38" s="214"/>
      <c r="GBE38" s="5"/>
      <c r="GBF38" s="12"/>
      <c r="GBG38" s="5"/>
      <c r="GBH38" s="5"/>
      <c r="GBI38" s="1"/>
      <c r="GBJ38" s="1"/>
      <c r="GBK38" s="1"/>
      <c r="GBL38" s="1"/>
      <c r="GBM38" s="1"/>
      <c r="GBN38" s="178"/>
      <c r="GBO38" s="178"/>
      <c r="GBP38" s="1"/>
      <c r="GBQ38" s="2"/>
      <c r="GBR38" s="161"/>
      <c r="GBS38" s="161"/>
      <c r="GBT38" s="1"/>
      <c r="GBU38" s="213"/>
      <c r="GBV38" s="1"/>
      <c r="GBW38" s="1"/>
      <c r="GBX38" s="1"/>
      <c r="GBY38" s="1"/>
      <c r="GBZ38" s="223"/>
      <c r="GCA38" s="222"/>
      <c r="GCB38" s="1"/>
      <c r="GCC38" s="301"/>
      <c r="GCD38" s="214"/>
      <c r="GCE38" s="5"/>
      <c r="GCF38" s="12"/>
      <c r="GCG38" s="5"/>
      <c r="GCH38" s="5"/>
      <c r="GCI38" s="1"/>
      <c r="GCJ38" s="1"/>
      <c r="GCK38" s="1"/>
      <c r="GCL38" s="1"/>
      <c r="GCM38" s="1"/>
      <c r="GCN38" s="178"/>
      <c r="GCO38" s="178"/>
      <c r="GCP38" s="1"/>
      <c r="GCQ38" s="2"/>
      <c r="GCR38" s="161"/>
      <c r="GCS38" s="161"/>
      <c r="GCT38" s="1"/>
      <c r="GCU38" s="213"/>
      <c r="GCV38" s="1"/>
      <c r="GCW38" s="1"/>
      <c r="GCX38" s="1"/>
      <c r="GCY38" s="1"/>
      <c r="GCZ38" s="223"/>
      <c r="GDA38" s="222"/>
      <c r="GDB38" s="1"/>
      <c r="GDC38" s="301"/>
      <c r="GDD38" s="214"/>
      <c r="GDE38" s="5"/>
      <c r="GDF38" s="12"/>
      <c r="GDG38" s="5"/>
      <c r="GDH38" s="5"/>
      <c r="GDI38" s="1"/>
      <c r="GDJ38" s="1"/>
      <c r="GDK38" s="1"/>
      <c r="GDL38" s="1"/>
      <c r="GDM38" s="1"/>
      <c r="GDN38" s="178"/>
      <c r="GDO38" s="178"/>
      <c r="GDP38" s="1"/>
      <c r="GDQ38" s="2"/>
      <c r="GDR38" s="161"/>
      <c r="GDS38" s="161"/>
      <c r="GDT38" s="1"/>
      <c r="GDU38" s="213"/>
      <c r="GDV38" s="1"/>
      <c r="GDW38" s="1"/>
      <c r="GDX38" s="1"/>
      <c r="GDY38" s="1"/>
      <c r="GDZ38" s="223"/>
      <c r="GEA38" s="222"/>
      <c r="GEB38" s="1"/>
      <c r="GEC38" s="301"/>
      <c r="GED38" s="214"/>
      <c r="GEE38" s="5"/>
      <c r="GEF38" s="12"/>
      <c r="GEG38" s="5"/>
      <c r="GEH38" s="5"/>
      <c r="GEI38" s="1"/>
      <c r="GEJ38" s="1"/>
      <c r="GEK38" s="1"/>
      <c r="GEL38" s="1"/>
      <c r="GEM38" s="1"/>
      <c r="GEN38" s="178"/>
      <c r="GEO38" s="178"/>
      <c r="GEP38" s="1"/>
      <c r="GEQ38" s="2"/>
      <c r="GER38" s="161"/>
      <c r="GES38" s="161"/>
      <c r="GET38" s="1"/>
      <c r="GEU38" s="213"/>
      <c r="GEV38" s="1"/>
      <c r="GEW38" s="1"/>
      <c r="GEX38" s="1"/>
      <c r="GEY38" s="1"/>
      <c r="GEZ38" s="223"/>
      <c r="GFA38" s="222"/>
      <c r="GFB38" s="1"/>
      <c r="GFC38" s="301"/>
      <c r="GFD38" s="214"/>
      <c r="GFE38" s="5"/>
      <c r="GFF38" s="12"/>
      <c r="GFG38" s="5"/>
      <c r="GFH38" s="5"/>
      <c r="GFI38" s="1"/>
      <c r="GFJ38" s="1"/>
      <c r="GFK38" s="1"/>
      <c r="GFL38" s="1"/>
      <c r="GFM38" s="1"/>
      <c r="GFN38" s="178"/>
      <c r="GFO38" s="178"/>
      <c r="GFP38" s="1"/>
      <c r="GFQ38" s="2"/>
      <c r="GFR38" s="161"/>
      <c r="GFS38" s="161"/>
      <c r="GFT38" s="1"/>
      <c r="GFU38" s="213"/>
      <c r="GFV38" s="1"/>
      <c r="GFW38" s="1"/>
      <c r="GFX38" s="1"/>
      <c r="GFY38" s="1"/>
      <c r="GFZ38" s="223"/>
      <c r="GGA38" s="222"/>
      <c r="GGB38" s="1"/>
      <c r="GGC38" s="301"/>
      <c r="GGD38" s="214"/>
      <c r="GGE38" s="5"/>
      <c r="GGF38" s="12"/>
      <c r="GGG38" s="5"/>
      <c r="GGH38" s="5"/>
      <c r="GGI38" s="1"/>
      <c r="GGJ38" s="1"/>
      <c r="GGK38" s="1"/>
      <c r="GGL38" s="1"/>
      <c r="GGM38" s="1"/>
      <c r="GGN38" s="178"/>
      <c r="GGO38" s="178"/>
      <c r="GGP38" s="1"/>
      <c r="GGQ38" s="2"/>
      <c r="GGR38" s="161"/>
      <c r="GGS38" s="161"/>
      <c r="GGT38" s="1"/>
      <c r="GGU38" s="213"/>
      <c r="GGV38" s="1"/>
      <c r="GGW38" s="1"/>
      <c r="GGX38" s="1"/>
      <c r="GGY38" s="1"/>
      <c r="GGZ38" s="223"/>
      <c r="GHA38" s="222"/>
      <c r="GHB38" s="1"/>
      <c r="GHC38" s="301"/>
      <c r="GHD38" s="214"/>
      <c r="GHE38" s="5"/>
      <c r="GHF38" s="12"/>
      <c r="GHG38" s="5"/>
      <c r="GHH38" s="5"/>
      <c r="GHI38" s="1"/>
      <c r="GHJ38" s="1"/>
      <c r="GHK38" s="1"/>
      <c r="GHL38" s="1"/>
      <c r="GHM38" s="1"/>
      <c r="GHN38" s="178"/>
      <c r="GHO38" s="178"/>
      <c r="GHP38" s="1"/>
      <c r="GHQ38" s="2"/>
      <c r="GHR38" s="161"/>
      <c r="GHS38" s="161"/>
      <c r="GHT38" s="1"/>
      <c r="GHU38" s="213"/>
      <c r="GHV38" s="1"/>
      <c r="GHW38" s="1"/>
      <c r="GHX38" s="1"/>
      <c r="GHY38" s="1"/>
      <c r="GHZ38" s="223"/>
      <c r="GIA38" s="222"/>
      <c r="GIB38" s="1"/>
      <c r="GIC38" s="301"/>
      <c r="GID38" s="214"/>
      <c r="GIE38" s="5"/>
      <c r="GIF38" s="12"/>
      <c r="GIG38" s="5"/>
      <c r="GIH38" s="5"/>
      <c r="GII38" s="1"/>
      <c r="GIJ38" s="1"/>
      <c r="GIK38" s="1"/>
      <c r="GIL38" s="1"/>
      <c r="GIM38" s="1"/>
      <c r="GIN38" s="178"/>
      <c r="GIO38" s="178"/>
      <c r="GIP38" s="1"/>
      <c r="GIQ38" s="2"/>
      <c r="GIR38" s="161"/>
      <c r="GIS38" s="161"/>
      <c r="GIT38" s="1"/>
      <c r="GIU38" s="213"/>
      <c r="GIV38" s="1"/>
      <c r="GIW38" s="1"/>
      <c r="GIX38" s="1"/>
      <c r="GIY38" s="1"/>
      <c r="GIZ38" s="223"/>
      <c r="GJA38" s="222"/>
      <c r="GJB38" s="1"/>
      <c r="GJC38" s="301"/>
      <c r="GJD38" s="214"/>
      <c r="GJE38" s="5"/>
      <c r="GJF38" s="12"/>
      <c r="GJG38" s="5"/>
      <c r="GJH38" s="5"/>
      <c r="GJI38" s="1"/>
      <c r="GJJ38" s="1"/>
      <c r="GJK38" s="1"/>
      <c r="GJL38" s="1"/>
      <c r="GJM38" s="1"/>
      <c r="GJN38" s="178"/>
      <c r="GJO38" s="178"/>
      <c r="GJP38" s="1"/>
      <c r="GJQ38" s="2"/>
      <c r="GJR38" s="161"/>
      <c r="GJS38" s="161"/>
      <c r="GJT38" s="1"/>
      <c r="GJU38" s="213"/>
      <c r="GJV38" s="1"/>
      <c r="GJW38" s="1"/>
      <c r="GJX38" s="1"/>
      <c r="GJY38" s="1"/>
      <c r="GJZ38" s="223"/>
      <c r="GKA38" s="222"/>
      <c r="GKB38" s="1"/>
      <c r="GKC38" s="301"/>
      <c r="GKD38" s="214"/>
      <c r="GKE38" s="5"/>
      <c r="GKF38" s="12"/>
      <c r="GKG38" s="5"/>
      <c r="GKH38" s="5"/>
      <c r="GKI38" s="1"/>
      <c r="GKJ38" s="1"/>
      <c r="GKK38" s="1"/>
      <c r="GKL38" s="1"/>
      <c r="GKM38" s="1"/>
      <c r="GKN38" s="178"/>
      <c r="GKO38" s="178"/>
      <c r="GKP38" s="1"/>
      <c r="GKQ38" s="2"/>
      <c r="GKR38" s="161"/>
      <c r="GKS38" s="161"/>
      <c r="GKT38" s="1"/>
      <c r="GKU38" s="213"/>
      <c r="GKV38" s="1"/>
      <c r="GKW38" s="1"/>
      <c r="GKX38" s="1"/>
      <c r="GKY38" s="1"/>
      <c r="GKZ38" s="223"/>
      <c r="GLA38" s="222"/>
      <c r="GLB38" s="1"/>
      <c r="GLC38" s="301"/>
      <c r="GLD38" s="214"/>
      <c r="GLE38" s="5"/>
      <c r="GLF38" s="12"/>
      <c r="GLG38" s="5"/>
      <c r="GLH38" s="5"/>
      <c r="GLI38" s="1"/>
      <c r="GLJ38" s="1"/>
      <c r="GLK38" s="1"/>
      <c r="GLL38" s="1"/>
      <c r="GLM38" s="1"/>
      <c r="GLN38" s="178"/>
      <c r="GLO38" s="178"/>
      <c r="GLP38" s="1"/>
      <c r="GLQ38" s="2"/>
      <c r="GLR38" s="161"/>
      <c r="GLS38" s="161"/>
      <c r="GLT38" s="1"/>
      <c r="GLU38" s="213"/>
      <c r="GLV38" s="1"/>
      <c r="GLW38" s="1"/>
      <c r="GLX38" s="1"/>
      <c r="GLY38" s="1"/>
      <c r="GLZ38" s="223"/>
      <c r="GMA38" s="222"/>
      <c r="GMB38" s="1"/>
      <c r="GMC38" s="301"/>
      <c r="GMD38" s="214"/>
      <c r="GME38" s="5"/>
      <c r="GMF38" s="12"/>
      <c r="GMG38" s="5"/>
      <c r="GMH38" s="5"/>
      <c r="GMI38" s="1"/>
      <c r="GMJ38" s="1"/>
      <c r="GMK38" s="1"/>
      <c r="GML38" s="1"/>
      <c r="GMM38" s="1"/>
      <c r="GMN38" s="178"/>
      <c r="GMO38" s="178"/>
      <c r="GMP38" s="1"/>
      <c r="GMQ38" s="2"/>
      <c r="GMR38" s="161"/>
      <c r="GMS38" s="161"/>
      <c r="GMT38" s="1"/>
      <c r="GMU38" s="213"/>
      <c r="GMV38" s="1"/>
      <c r="GMW38" s="1"/>
      <c r="GMX38" s="1"/>
      <c r="GMY38" s="1"/>
      <c r="GMZ38" s="223"/>
      <c r="GNA38" s="222"/>
      <c r="GNB38" s="1"/>
      <c r="GNC38" s="301"/>
      <c r="GND38" s="214"/>
      <c r="GNE38" s="5"/>
      <c r="GNF38" s="12"/>
      <c r="GNG38" s="5"/>
      <c r="GNH38" s="5"/>
      <c r="GNI38" s="1"/>
      <c r="GNJ38" s="1"/>
      <c r="GNK38" s="1"/>
      <c r="GNL38" s="1"/>
      <c r="GNM38" s="1"/>
      <c r="GNN38" s="178"/>
      <c r="GNO38" s="178"/>
      <c r="GNP38" s="1"/>
      <c r="GNQ38" s="2"/>
      <c r="GNR38" s="161"/>
      <c r="GNS38" s="161"/>
      <c r="GNT38" s="1"/>
      <c r="GNU38" s="213"/>
      <c r="GNV38" s="1"/>
      <c r="GNW38" s="1"/>
      <c r="GNX38" s="1"/>
      <c r="GNY38" s="1"/>
      <c r="GNZ38" s="223"/>
      <c r="GOA38" s="222"/>
      <c r="GOB38" s="1"/>
      <c r="GOC38" s="301"/>
      <c r="GOD38" s="214"/>
      <c r="GOE38" s="5"/>
      <c r="GOF38" s="12"/>
      <c r="GOG38" s="5"/>
      <c r="GOH38" s="5"/>
      <c r="GOI38" s="1"/>
      <c r="GOJ38" s="1"/>
      <c r="GOK38" s="1"/>
      <c r="GOL38" s="1"/>
      <c r="GOM38" s="1"/>
      <c r="GON38" s="178"/>
      <c r="GOO38" s="178"/>
      <c r="GOP38" s="1"/>
      <c r="GOQ38" s="2"/>
      <c r="GOR38" s="161"/>
      <c r="GOS38" s="161"/>
      <c r="GOT38" s="1"/>
      <c r="GOU38" s="213"/>
      <c r="GOV38" s="1"/>
      <c r="GOW38" s="1"/>
      <c r="GOX38" s="1"/>
      <c r="GOY38" s="1"/>
      <c r="GOZ38" s="223"/>
      <c r="GPA38" s="222"/>
      <c r="GPB38" s="1"/>
      <c r="GPC38" s="301"/>
      <c r="GPD38" s="214"/>
      <c r="GPE38" s="5"/>
      <c r="GPF38" s="12"/>
      <c r="GPG38" s="5"/>
      <c r="GPH38" s="5"/>
      <c r="GPI38" s="1"/>
      <c r="GPJ38" s="1"/>
      <c r="GPK38" s="1"/>
      <c r="GPL38" s="1"/>
      <c r="GPM38" s="1"/>
      <c r="GPN38" s="178"/>
      <c r="GPO38" s="178"/>
      <c r="GPP38" s="1"/>
      <c r="GPQ38" s="2"/>
      <c r="GPR38" s="161"/>
      <c r="GPS38" s="161"/>
      <c r="GPT38" s="1"/>
      <c r="GPU38" s="213"/>
      <c r="GPV38" s="1"/>
      <c r="GPW38" s="1"/>
      <c r="GPX38" s="1"/>
      <c r="GPY38" s="1"/>
      <c r="GPZ38" s="223"/>
      <c r="GQA38" s="222"/>
      <c r="GQB38" s="1"/>
      <c r="GQC38" s="301"/>
      <c r="GQD38" s="214"/>
      <c r="GQE38" s="5"/>
      <c r="GQF38" s="12"/>
      <c r="GQG38" s="5"/>
      <c r="GQH38" s="5"/>
      <c r="GQI38" s="1"/>
      <c r="GQJ38" s="1"/>
      <c r="GQK38" s="1"/>
      <c r="GQL38" s="1"/>
      <c r="GQM38" s="1"/>
      <c r="GQN38" s="178"/>
      <c r="GQO38" s="178"/>
      <c r="GQP38" s="1"/>
      <c r="GQQ38" s="2"/>
      <c r="GQR38" s="161"/>
      <c r="GQS38" s="161"/>
      <c r="GQT38" s="1"/>
      <c r="GQU38" s="213"/>
      <c r="GQV38" s="1"/>
      <c r="GQW38" s="1"/>
      <c r="GQX38" s="1"/>
      <c r="GQY38" s="1"/>
      <c r="GQZ38" s="223"/>
      <c r="GRA38" s="222"/>
      <c r="GRB38" s="1"/>
      <c r="GRC38" s="301"/>
      <c r="GRD38" s="214"/>
      <c r="GRE38" s="5"/>
      <c r="GRF38" s="12"/>
      <c r="GRG38" s="5"/>
      <c r="GRH38" s="5"/>
      <c r="GRI38" s="1"/>
      <c r="GRJ38" s="1"/>
      <c r="GRK38" s="1"/>
      <c r="GRL38" s="1"/>
      <c r="GRM38" s="1"/>
      <c r="GRN38" s="178"/>
      <c r="GRO38" s="178"/>
      <c r="GRP38" s="1"/>
      <c r="GRQ38" s="2"/>
      <c r="GRR38" s="161"/>
      <c r="GRS38" s="161"/>
      <c r="GRT38" s="1"/>
      <c r="GRU38" s="213"/>
      <c r="GRV38" s="1"/>
      <c r="GRW38" s="1"/>
      <c r="GRX38" s="1"/>
      <c r="GRY38" s="1"/>
      <c r="GRZ38" s="223"/>
      <c r="GSA38" s="222"/>
      <c r="GSB38" s="1"/>
      <c r="GSC38" s="301"/>
      <c r="GSD38" s="214"/>
      <c r="GSE38" s="5"/>
      <c r="GSF38" s="12"/>
      <c r="GSG38" s="5"/>
      <c r="GSH38" s="5"/>
      <c r="GSI38" s="1"/>
      <c r="GSJ38" s="1"/>
      <c r="GSK38" s="1"/>
      <c r="GSL38" s="1"/>
      <c r="GSM38" s="1"/>
      <c r="GSN38" s="178"/>
      <c r="GSO38" s="178"/>
      <c r="GSP38" s="1"/>
      <c r="GSQ38" s="2"/>
      <c r="GSR38" s="161"/>
      <c r="GSS38" s="161"/>
      <c r="GST38" s="1"/>
      <c r="GSU38" s="213"/>
      <c r="GSV38" s="1"/>
      <c r="GSW38" s="1"/>
      <c r="GSX38" s="1"/>
      <c r="GSY38" s="1"/>
      <c r="GSZ38" s="223"/>
      <c r="GTA38" s="222"/>
      <c r="GTB38" s="1"/>
      <c r="GTC38" s="301"/>
      <c r="GTD38" s="214"/>
      <c r="GTE38" s="5"/>
      <c r="GTF38" s="12"/>
      <c r="GTG38" s="5"/>
      <c r="GTH38" s="5"/>
      <c r="GTI38" s="1"/>
      <c r="GTJ38" s="1"/>
      <c r="GTK38" s="1"/>
      <c r="GTL38" s="1"/>
      <c r="GTM38" s="1"/>
      <c r="GTN38" s="178"/>
      <c r="GTO38" s="178"/>
      <c r="GTP38" s="1"/>
      <c r="GTQ38" s="2"/>
      <c r="GTR38" s="161"/>
      <c r="GTS38" s="161"/>
      <c r="GTT38" s="1"/>
      <c r="GTU38" s="213"/>
      <c r="GTV38" s="1"/>
      <c r="GTW38" s="1"/>
      <c r="GTX38" s="1"/>
      <c r="GTY38" s="1"/>
      <c r="GTZ38" s="223"/>
      <c r="GUA38" s="222"/>
      <c r="GUB38" s="1"/>
      <c r="GUC38" s="301"/>
      <c r="GUD38" s="214"/>
      <c r="GUE38" s="5"/>
      <c r="GUF38" s="12"/>
      <c r="GUG38" s="5"/>
      <c r="GUH38" s="5"/>
      <c r="GUI38" s="1"/>
      <c r="GUJ38" s="1"/>
      <c r="GUK38" s="1"/>
      <c r="GUL38" s="1"/>
      <c r="GUM38" s="1"/>
      <c r="GUN38" s="178"/>
      <c r="GUO38" s="178"/>
      <c r="GUP38" s="1"/>
      <c r="GUQ38" s="2"/>
      <c r="GUR38" s="161"/>
      <c r="GUS38" s="161"/>
      <c r="GUT38" s="1"/>
      <c r="GUU38" s="213"/>
      <c r="GUV38" s="1"/>
      <c r="GUW38" s="1"/>
      <c r="GUX38" s="1"/>
      <c r="GUY38" s="1"/>
      <c r="GUZ38" s="223"/>
      <c r="GVA38" s="222"/>
      <c r="GVB38" s="1"/>
      <c r="GVC38" s="301"/>
      <c r="GVD38" s="214"/>
      <c r="GVE38" s="5"/>
      <c r="GVF38" s="12"/>
      <c r="GVG38" s="5"/>
      <c r="GVH38" s="5"/>
      <c r="GVI38" s="1"/>
      <c r="GVJ38" s="1"/>
      <c r="GVK38" s="1"/>
      <c r="GVL38" s="1"/>
      <c r="GVM38" s="1"/>
      <c r="GVN38" s="178"/>
      <c r="GVO38" s="178"/>
      <c r="GVP38" s="1"/>
      <c r="GVQ38" s="2"/>
      <c r="GVR38" s="161"/>
      <c r="GVS38" s="161"/>
      <c r="GVT38" s="1"/>
      <c r="GVU38" s="213"/>
      <c r="GVV38" s="1"/>
      <c r="GVW38" s="1"/>
      <c r="GVX38" s="1"/>
      <c r="GVY38" s="1"/>
      <c r="GVZ38" s="223"/>
      <c r="GWA38" s="222"/>
      <c r="GWB38" s="1"/>
      <c r="GWC38" s="301"/>
      <c r="GWD38" s="214"/>
      <c r="GWE38" s="5"/>
      <c r="GWF38" s="12"/>
      <c r="GWG38" s="5"/>
      <c r="GWH38" s="5"/>
      <c r="GWI38" s="1"/>
      <c r="GWJ38" s="1"/>
      <c r="GWK38" s="1"/>
      <c r="GWL38" s="1"/>
      <c r="GWM38" s="1"/>
      <c r="GWN38" s="178"/>
      <c r="GWO38" s="178"/>
      <c r="GWP38" s="1"/>
      <c r="GWQ38" s="2"/>
      <c r="GWR38" s="161"/>
      <c r="GWS38" s="161"/>
      <c r="GWT38" s="1"/>
      <c r="GWU38" s="213"/>
      <c r="GWV38" s="1"/>
      <c r="GWW38" s="1"/>
      <c r="GWX38" s="1"/>
      <c r="GWY38" s="1"/>
      <c r="GWZ38" s="223"/>
      <c r="GXA38" s="222"/>
      <c r="GXB38" s="1"/>
      <c r="GXC38" s="301"/>
      <c r="GXD38" s="214"/>
      <c r="GXE38" s="5"/>
      <c r="GXF38" s="12"/>
      <c r="GXG38" s="5"/>
      <c r="GXH38" s="5"/>
      <c r="GXI38" s="1"/>
      <c r="GXJ38" s="1"/>
      <c r="GXK38" s="1"/>
      <c r="GXL38" s="1"/>
      <c r="GXM38" s="1"/>
      <c r="GXN38" s="178"/>
      <c r="GXO38" s="178"/>
      <c r="GXP38" s="1"/>
      <c r="GXQ38" s="2"/>
      <c r="GXR38" s="161"/>
      <c r="GXS38" s="161"/>
      <c r="GXT38" s="1"/>
      <c r="GXU38" s="213"/>
      <c r="GXV38" s="1"/>
      <c r="GXW38" s="1"/>
      <c r="GXX38" s="1"/>
      <c r="GXY38" s="1"/>
      <c r="GXZ38" s="223"/>
      <c r="GYA38" s="222"/>
      <c r="GYB38" s="1"/>
      <c r="GYC38" s="301"/>
      <c r="GYD38" s="214"/>
      <c r="GYE38" s="5"/>
      <c r="GYF38" s="12"/>
      <c r="GYG38" s="5"/>
      <c r="GYH38" s="5"/>
      <c r="GYI38" s="1"/>
      <c r="GYJ38" s="1"/>
      <c r="GYK38" s="1"/>
      <c r="GYL38" s="1"/>
      <c r="GYM38" s="1"/>
      <c r="GYN38" s="178"/>
      <c r="GYO38" s="178"/>
      <c r="GYP38" s="1"/>
      <c r="GYQ38" s="2"/>
      <c r="GYR38" s="161"/>
      <c r="GYS38" s="161"/>
      <c r="GYT38" s="1"/>
      <c r="GYU38" s="213"/>
      <c r="GYV38" s="1"/>
      <c r="GYW38" s="1"/>
      <c r="GYX38" s="1"/>
      <c r="GYY38" s="1"/>
      <c r="GYZ38" s="223"/>
      <c r="GZA38" s="222"/>
      <c r="GZB38" s="1"/>
      <c r="GZC38" s="301"/>
      <c r="GZD38" s="214"/>
      <c r="GZE38" s="5"/>
      <c r="GZF38" s="12"/>
      <c r="GZG38" s="5"/>
      <c r="GZH38" s="5"/>
      <c r="GZI38" s="1"/>
      <c r="GZJ38" s="1"/>
      <c r="GZK38" s="1"/>
      <c r="GZL38" s="1"/>
      <c r="GZM38" s="1"/>
      <c r="GZN38" s="178"/>
      <c r="GZO38" s="178"/>
      <c r="GZP38" s="1"/>
      <c r="GZQ38" s="2"/>
      <c r="GZR38" s="161"/>
      <c r="GZS38" s="161"/>
      <c r="GZT38" s="1"/>
      <c r="GZU38" s="213"/>
      <c r="GZV38" s="1"/>
      <c r="GZW38" s="1"/>
      <c r="GZX38" s="1"/>
      <c r="GZY38" s="1"/>
      <c r="GZZ38" s="223"/>
      <c r="HAA38" s="222"/>
      <c r="HAB38" s="1"/>
      <c r="HAC38" s="301"/>
      <c r="HAD38" s="214"/>
      <c r="HAE38" s="5"/>
      <c r="HAF38" s="12"/>
      <c r="HAG38" s="5"/>
      <c r="HAH38" s="5"/>
      <c r="HAI38" s="1"/>
      <c r="HAJ38" s="1"/>
      <c r="HAK38" s="1"/>
      <c r="HAL38" s="1"/>
      <c r="HAM38" s="1"/>
      <c r="HAN38" s="178"/>
      <c r="HAO38" s="178"/>
      <c r="HAP38" s="1"/>
      <c r="HAQ38" s="2"/>
      <c r="HAR38" s="161"/>
      <c r="HAS38" s="161"/>
      <c r="HAT38" s="1"/>
      <c r="HAU38" s="213"/>
      <c r="HAV38" s="1"/>
      <c r="HAW38" s="1"/>
      <c r="HAX38" s="1"/>
      <c r="HAY38" s="1"/>
      <c r="HAZ38" s="223"/>
      <c r="HBA38" s="222"/>
      <c r="HBB38" s="1"/>
      <c r="HBC38" s="301"/>
      <c r="HBD38" s="214"/>
      <c r="HBE38" s="5"/>
      <c r="HBF38" s="12"/>
      <c r="HBG38" s="5"/>
      <c r="HBH38" s="5"/>
      <c r="HBI38" s="1"/>
      <c r="HBJ38" s="1"/>
      <c r="HBK38" s="1"/>
      <c r="HBL38" s="1"/>
      <c r="HBM38" s="1"/>
      <c r="HBN38" s="178"/>
      <c r="HBO38" s="178"/>
      <c r="HBP38" s="1"/>
      <c r="HBQ38" s="2"/>
      <c r="HBR38" s="161"/>
      <c r="HBS38" s="161"/>
      <c r="HBT38" s="1"/>
      <c r="HBU38" s="213"/>
      <c r="HBV38" s="1"/>
      <c r="HBW38" s="1"/>
      <c r="HBX38" s="1"/>
      <c r="HBY38" s="1"/>
      <c r="HBZ38" s="223"/>
      <c r="HCA38" s="222"/>
      <c r="HCB38" s="1"/>
      <c r="HCC38" s="301"/>
      <c r="HCD38" s="214"/>
      <c r="HCE38" s="5"/>
      <c r="HCF38" s="12"/>
      <c r="HCG38" s="5"/>
      <c r="HCH38" s="5"/>
      <c r="HCI38" s="1"/>
      <c r="HCJ38" s="1"/>
      <c r="HCK38" s="1"/>
      <c r="HCL38" s="1"/>
      <c r="HCM38" s="1"/>
      <c r="HCN38" s="178"/>
      <c r="HCO38" s="178"/>
      <c r="HCP38" s="1"/>
      <c r="HCQ38" s="2"/>
      <c r="HCR38" s="161"/>
      <c r="HCS38" s="161"/>
      <c r="HCT38" s="1"/>
      <c r="HCU38" s="213"/>
      <c r="HCV38" s="1"/>
      <c r="HCW38" s="1"/>
      <c r="HCX38" s="1"/>
      <c r="HCY38" s="1"/>
      <c r="HCZ38" s="223"/>
      <c r="HDA38" s="222"/>
      <c r="HDB38" s="1"/>
      <c r="HDC38" s="301"/>
      <c r="HDD38" s="214"/>
      <c r="HDE38" s="5"/>
      <c r="HDF38" s="12"/>
      <c r="HDG38" s="5"/>
      <c r="HDH38" s="5"/>
      <c r="HDI38" s="1"/>
      <c r="HDJ38" s="1"/>
      <c r="HDK38" s="1"/>
      <c r="HDL38" s="1"/>
      <c r="HDM38" s="1"/>
      <c r="HDN38" s="178"/>
      <c r="HDO38" s="178"/>
      <c r="HDP38" s="1"/>
      <c r="HDQ38" s="2"/>
      <c r="HDR38" s="161"/>
      <c r="HDS38" s="161"/>
      <c r="HDT38" s="1"/>
      <c r="HDU38" s="213"/>
      <c r="HDV38" s="1"/>
      <c r="HDW38" s="1"/>
      <c r="HDX38" s="1"/>
      <c r="HDY38" s="1"/>
      <c r="HDZ38" s="223"/>
      <c r="HEA38" s="222"/>
      <c r="HEB38" s="1"/>
      <c r="HEC38" s="301"/>
      <c r="HED38" s="214"/>
      <c r="HEE38" s="5"/>
      <c r="HEF38" s="12"/>
      <c r="HEG38" s="5"/>
      <c r="HEH38" s="5"/>
      <c r="HEI38" s="1"/>
      <c r="HEJ38" s="1"/>
      <c r="HEK38" s="1"/>
      <c r="HEL38" s="1"/>
      <c r="HEM38" s="1"/>
      <c r="HEN38" s="178"/>
      <c r="HEO38" s="178"/>
      <c r="HEP38" s="1"/>
      <c r="HEQ38" s="2"/>
      <c r="HER38" s="161"/>
      <c r="HES38" s="161"/>
      <c r="HET38" s="1"/>
      <c r="HEU38" s="213"/>
      <c r="HEV38" s="1"/>
      <c r="HEW38" s="1"/>
      <c r="HEX38" s="1"/>
      <c r="HEY38" s="1"/>
      <c r="HEZ38" s="223"/>
      <c r="HFA38" s="222"/>
      <c r="HFB38" s="1"/>
      <c r="HFC38" s="301"/>
      <c r="HFD38" s="214"/>
      <c r="HFE38" s="5"/>
      <c r="HFF38" s="12"/>
      <c r="HFG38" s="5"/>
      <c r="HFH38" s="5"/>
      <c r="HFI38" s="1"/>
      <c r="HFJ38" s="1"/>
      <c r="HFK38" s="1"/>
      <c r="HFL38" s="1"/>
      <c r="HFM38" s="1"/>
      <c r="HFN38" s="178"/>
      <c r="HFO38" s="178"/>
      <c r="HFP38" s="1"/>
      <c r="HFQ38" s="2"/>
      <c r="HFR38" s="161"/>
      <c r="HFS38" s="161"/>
      <c r="HFT38" s="1"/>
      <c r="HFU38" s="213"/>
      <c r="HFV38" s="1"/>
      <c r="HFW38" s="1"/>
      <c r="HFX38" s="1"/>
      <c r="HFY38" s="1"/>
      <c r="HFZ38" s="223"/>
      <c r="HGA38" s="222"/>
      <c r="HGB38" s="1"/>
      <c r="HGC38" s="301"/>
      <c r="HGD38" s="214"/>
      <c r="HGE38" s="5"/>
      <c r="HGF38" s="12"/>
      <c r="HGG38" s="5"/>
      <c r="HGH38" s="5"/>
      <c r="HGI38" s="1"/>
      <c r="HGJ38" s="1"/>
      <c r="HGK38" s="1"/>
      <c r="HGL38" s="1"/>
      <c r="HGM38" s="1"/>
      <c r="HGN38" s="178"/>
      <c r="HGO38" s="178"/>
      <c r="HGP38" s="1"/>
      <c r="HGQ38" s="2"/>
      <c r="HGR38" s="161"/>
      <c r="HGS38" s="161"/>
      <c r="HGT38" s="1"/>
      <c r="HGU38" s="213"/>
      <c r="HGV38" s="1"/>
      <c r="HGW38" s="1"/>
      <c r="HGX38" s="1"/>
      <c r="HGY38" s="1"/>
      <c r="HGZ38" s="223"/>
      <c r="HHA38" s="222"/>
      <c r="HHB38" s="1"/>
      <c r="HHC38" s="301"/>
      <c r="HHD38" s="214"/>
      <c r="HHE38" s="5"/>
      <c r="HHF38" s="12"/>
      <c r="HHG38" s="5"/>
      <c r="HHH38" s="5"/>
      <c r="HHI38" s="1"/>
      <c r="HHJ38" s="1"/>
      <c r="HHK38" s="1"/>
      <c r="HHL38" s="1"/>
      <c r="HHM38" s="1"/>
      <c r="HHN38" s="178"/>
      <c r="HHO38" s="178"/>
      <c r="HHP38" s="1"/>
      <c r="HHQ38" s="2"/>
      <c r="HHR38" s="161"/>
      <c r="HHS38" s="161"/>
      <c r="HHT38" s="1"/>
      <c r="HHU38" s="213"/>
      <c r="HHV38" s="1"/>
      <c r="HHW38" s="1"/>
      <c r="HHX38" s="1"/>
      <c r="HHY38" s="1"/>
      <c r="HHZ38" s="223"/>
      <c r="HIA38" s="222"/>
      <c r="HIB38" s="1"/>
      <c r="HIC38" s="301"/>
      <c r="HID38" s="214"/>
      <c r="HIE38" s="5"/>
      <c r="HIF38" s="12"/>
      <c r="HIG38" s="5"/>
      <c r="HIH38" s="5"/>
      <c r="HII38" s="1"/>
      <c r="HIJ38" s="1"/>
      <c r="HIK38" s="1"/>
      <c r="HIL38" s="1"/>
      <c r="HIM38" s="1"/>
      <c r="HIN38" s="178"/>
      <c r="HIO38" s="178"/>
      <c r="HIP38" s="1"/>
      <c r="HIQ38" s="2"/>
      <c r="HIR38" s="161"/>
      <c r="HIS38" s="161"/>
      <c r="HIT38" s="1"/>
      <c r="HIU38" s="213"/>
      <c r="HIV38" s="1"/>
      <c r="HIW38" s="1"/>
      <c r="HIX38" s="1"/>
      <c r="HIY38" s="1"/>
      <c r="HIZ38" s="223"/>
      <c r="HJA38" s="222"/>
      <c r="HJB38" s="1"/>
      <c r="HJC38" s="301"/>
      <c r="HJD38" s="214"/>
      <c r="HJE38" s="5"/>
      <c r="HJF38" s="12"/>
      <c r="HJG38" s="5"/>
      <c r="HJH38" s="5"/>
      <c r="HJI38" s="1"/>
      <c r="HJJ38" s="1"/>
      <c r="HJK38" s="1"/>
      <c r="HJL38" s="1"/>
      <c r="HJM38" s="1"/>
      <c r="HJN38" s="178"/>
      <c r="HJO38" s="178"/>
      <c r="HJP38" s="1"/>
      <c r="HJQ38" s="2"/>
      <c r="HJR38" s="161"/>
      <c r="HJS38" s="161"/>
      <c r="HJT38" s="1"/>
      <c r="HJU38" s="213"/>
      <c r="HJV38" s="1"/>
      <c r="HJW38" s="1"/>
      <c r="HJX38" s="1"/>
      <c r="HJY38" s="1"/>
      <c r="HJZ38" s="223"/>
      <c r="HKA38" s="222"/>
      <c r="HKB38" s="1"/>
      <c r="HKC38" s="301"/>
      <c r="HKD38" s="214"/>
      <c r="HKE38" s="5"/>
      <c r="HKF38" s="12"/>
      <c r="HKG38" s="5"/>
      <c r="HKH38" s="5"/>
      <c r="HKI38" s="1"/>
      <c r="HKJ38" s="1"/>
      <c r="HKK38" s="1"/>
      <c r="HKL38" s="1"/>
      <c r="HKM38" s="1"/>
      <c r="HKN38" s="178"/>
      <c r="HKO38" s="178"/>
      <c r="HKP38" s="1"/>
      <c r="HKQ38" s="2"/>
      <c r="HKR38" s="161"/>
      <c r="HKS38" s="161"/>
      <c r="HKT38" s="1"/>
      <c r="HKU38" s="213"/>
      <c r="HKV38" s="1"/>
      <c r="HKW38" s="1"/>
      <c r="HKX38" s="1"/>
      <c r="HKY38" s="1"/>
      <c r="HKZ38" s="223"/>
      <c r="HLA38" s="222"/>
      <c r="HLB38" s="1"/>
      <c r="HLC38" s="301"/>
      <c r="HLD38" s="214"/>
      <c r="HLE38" s="5"/>
      <c r="HLF38" s="12"/>
      <c r="HLG38" s="5"/>
      <c r="HLH38" s="5"/>
      <c r="HLI38" s="1"/>
      <c r="HLJ38" s="1"/>
      <c r="HLK38" s="1"/>
      <c r="HLL38" s="1"/>
      <c r="HLM38" s="1"/>
      <c r="HLN38" s="178"/>
      <c r="HLO38" s="178"/>
      <c r="HLP38" s="1"/>
      <c r="HLQ38" s="2"/>
      <c r="HLR38" s="161"/>
      <c r="HLS38" s="161"/>
      <c r="HLT38" s="1"/>
      <c r="HLU38" s="213"/>
      <c r="HLV38" s="1"/>
      <c r="HLW38" s="1"/>
      <c r="HLX38" s="1"/>
      <c r="HLY38" s="1"/>
      <c r="HLZ38" s="223"/>
      <c r="HMA38" s="222"/>
      <c r="HMB38" s="1"/>
      <c r="HMC38" s="301"/>
      <c r="HMD38" s="214"/>
      <c r="HME38" s="5"/>
      <c r="HMF38" s="12"/>
      <c r="HMG38" s="5"/>
      <c r="HMH38" s="5"/>
      <c r="HMI38" s="1"/>
      <c r="HMJ38" s="1"/>
      <c r="HMK38" s="1"/>
      <c r="HML38" s="1"/>
      <c r="HMM38" s="1"/>
      <c r="HMN38" s="178"/>
      <c r="HMO38" s="178"/>
      <c r="HMP38" s="1"/>
      <c r="HMQ38" s="2"/>
      <c r="HMR38" s="161"/>
      <c r="HMS38" s="161"/>
      <c r="HMT38" s="1"/>
      <c r="HMU38" s="213"/>
      <c r="HMV38" s="1"/>
      <c r="HMW38" s="1"/>
      <c r="HMX38" s="1"/>
      <c r="HMY38" s="1"/>
      <c r="HMZ38" s="223"/>
      <c r="HNA38" s="222"/>
      <c r="HNB38" s="1"/>
      <c r="HNC38" s="301"/>
      <c r="HND38" s="214"/>
      <c r="HNE38" s="5"/>
      <c r="HNF38" s="12"/>
      <c r="HNG38" s="5"/>
      <c r="HNH38" s="5"/>
      <c r="HNI38" s="1"/>
      <c r="HNJ38" s="1"/>
      <c r="HNK38" s="1"/>
      <c r="HNL38" s="1"/>
      <c r="HNM38" s="1"/>
      <c r="HNN38" s="178"/>
      <c r="HNO38" s="178"/>
      <c r="HNP38" s="1"/>
      <c r="HNQ38" s="2"/>
      <c r="HNR38" s="161"/>
      <c r="HNS38" s="161"/>
      <c r="HNT38" s="1"/>
      <c r="HNU38" s="213"/>
      <c r="HNV38" s="1"/>
      <c r="HNW38" s="1"/>
      <c r="HNX38" s="1"/>
      <c r="HNY38" s="1"/>
      <c r="HNZ38" s="223"/>
      <c r="HOA38" s="222"/>
      <c r="HOB38" s="1"/>
      <c r="HOC38" s="301"/>
      <c r="HOD38" s="214"/>
      <c r="HOE38" s="5"/>
      <c r="HOF38" s="12"/>
      <c r="HOG38" s="5"/>
      <c r="HOH38" s="5"/>
      <c r="HOI38" s="1"/>
      <c r="HOJ38" s="1"/>
      <c r="HOK38" s="1"/>
      <c r="HOL38" s="1"/>
      <c r="HOM38" s="1"/>
      <c r="HON38" s="178"/>
      <c r="HOO38" s="178"/>
      <c r="HOP38" s="1"/>
      <c r="HOQ38" s="2"/>
      <c r="HOR38" s="161"/>
      <c r="HOS38" s="161"/>
      <c r="HOT38" s="1"/>
      <c r="HOU38" s="213"/>
      <c r="HOV38" s="1"/>
      <c r="HOW38" s="1"/>
      <c r="HOX38" s="1"/>
      <c r="HOY38" s="1"/>
      <c r="HOZ38" s="223"/>
      <c r="HPA38" s="222"/>
      <c r="HPB38" s="1"/>
      <c r="HPC38" s="301"/>
      <c r="HPD38" s="214"/>
      <c r="HPE38" s="5"/>
      <c r="HPF38" s="12"/>
      <c r="HPG38" s="5"/>
      <c r="HPH38" s="5"/>
      <c r="HPI38" s="1"/>
      <c r="HPJ38" s="1"/>
      <c r="HPK38" s="1"/>
      <c r="HPL38" s="1"/>
      <c r="HPM38" s="1"/>
      <c r="HPN38" s="178"/>
      <c r="HPO38" s="178"/>
      <c r="HPP38" s="1"/>
      <c r="HPQ38" s="2"/>
      <c r="HPR38" s="161"/>
      <c r="HPS38" s="161"/>
      <c r="HPT38" s="1"/>
      <c r="HPU38" s="213"/>
      <c r="HPV38" s="1"/>
      <c r="HPW38" s="1"/>
      <c r="HPX38" s="1"/>
      <c r="HPY38" s="1"/>
      <c r="HPZ38" s="223"/>
      <c r="HQA38" s="222"/>
      <c r="HQB38" s="1"/>
      <c r="HQC38" s="301"/>
      <c r="HQD38" s="214"/>
      <c r="HQE38" s="5"/>
      <c r="HQF38" s="12"/>
      <c r="HQG38" s="5"/>
      <c r="HQH38" s="5"/>
      <c r="HQI38" s="1"/>
      <c r="HQJ38" s="1"/>
      <c r="HQK38" s="1"/>
      <c r="HQL38" s="1"/>
      <c r="HQM38" s="1"/>
      <c r="HQN38" s="178"/>
      <c r="HQO38" s="178"/>
      <c r="HQP38" s="1"/>
      <c r="HQQ38" s="2"/>
      <c r="HQR38" s="161"/>
      <c r="HQS38" s="161"/>
      <c r="HQT38" s="1"/>
      <c r="HQU38" s="213"/>
      <c r="HQV38" s="1"/>
      <c r="HQW38" s="1"/>
      <c r="HQX38" s="1"/>
      <c r="HQY38" s="1"/>
      <c r="HQZ38" s="223"/>
      <c r="HRA38" s="222"/>
      <c r="HRB38" s="1"/>
      <c r="HRC38" s="301"/>
      <c r="HRD38" s="214"/>
      <c r="HRE38" s="5"/>
      <c r="HRF38" s="12"/>
      <c r="HRG38" s="5"/>
      <c r="HRH38" s="5"/>
      <c r="HRI38" s="1"/>
      <c r="HRJ38" s="1"/>
      <c r="HRK38" s="1"/>
      <c r="HRL38" s="1"/>
      <c r="HRM38" s="1"/>
      <c r="HRN38" s="178"/>
      <c r="HRO38" s="178"/>
      <c r="HRP38" s="1"/>
      <c r="HRQ38" s="2"/>
      <c r="HRR38" s="161"/>
      <c r="HRS38" s="161"/>
      <c r="HRT38" s="1"/>
      <c r="HRU38" s="213"/>
      <c r="HRV38" s="1"/>
      <c r="HRW38" s="1"/>
      <c r="HRX38" s="1"/>
      <c r="HRY38" s="1"/>
      <c r="HRZ38" s="223"/>
      <c r="HSA38" s="222"/>
      <c r="HSB38" s="1"/>
      <c r="HSC38" s="301"/>
      <c r="HSD38" s="214"/>
      <c r="HSE38" s="5"/>
      <c r="HSF38" s="12"/>
      <c r="HSG38" s="5"/>
      <c r="HSH38" s="5"/>
      <c r="HSI38" s="1"/>
      <c r="HSJ38" s="1"/>
      <c r="HSK38" s="1"/>
      <c r="HSL38" s="1"/>
      <c r="HSM38" s="1"/>
      <c r="HSN38" s="178"/>
      <c r="HSO38" s="178"/>
      <c r="HSP38" s="1"/>
      <c r="HSQ38" s="2"/>
      <c r="HSR38" s="161"/>
      <c r="HSS38" s="161"/>
      <c r="HST38" s="1"/>
      <c r="HSU38" s="213"/>
      <c r="HSV38" s="1"/>
      <c r="HSW38" s="1"/>
      <c r="HSX38" s="1"/>
      <c r="HSY38" s="1"/>
      <c r="HSZ38" s="223"/>
      <c r="HTA38" s="222"/>
      <c r="HTB38" s="1"/>
      <c r="HTC38" s="301"/>
      <c r="HTD38" s="214"/>
      <c r="HTE38" s="5"/>
      <c r="HTF38" s="12"/>
      <c r="HTG38" s="5"/>
      <c r="HTH38" s="5"/>
      <c r="HTI38" s="1"/>
      <c r="HTJ38" s="1"/>
      <c r="HTK38" s="1"/>
      <c r="HTL38" s="1"/>
      <c r="HTM38" s="1"/>
      <c r="HTN38" s="178"/>
      <c r="HTO38" s="178"/>
      <c r="HTP38" s="1"/>
      <c r="HTQ38" s="2"/>
      <c r="HTR38" s="161"/>
      <c r="HTS38" s="161"/>
      <c r="HTT38" s="1"/>
      <c r="HTU38" s="213"/>
      <c r="HTV38" s="1"/>
      <c r="HTW38" s="1"/>
      <c r="HTX38" s="1"/>
      <c r="HTY38" s="1"/>
      <c r="HTZ38" s="223"/>
      <c r="HUA38" s="222"/>
      <c r="HUB38" s="1"/>
      <c r="HUC38" s="301"/>
      <c r="HUD38" s="214"/>
      <c r="HUE38" s="5"/>
      <c r="HUF38" s="12"/>
      <c r="HUG38" s="5"/>
      <c r="HUH38" s="5"/>
      <c r="HUI38" s="1"/>
      <c r="HUJ38" s="1"/>
      <c r="HUK38" s="1"/>
      <c r="HUL38" s="1"/>
      <c r="HUM38" s="1"/>
      <c r="HUN38" s="178"/>
      <c r="HUO38" s="178"/>
      <c r="HUP38" s="1"/>
      <c r="HUQ38" s="2"/>
      <c r="HUR38" s="161"/>
      <c r="HUS38" s="161"/>
      <c r="HUT38" s="1"/>
      <c r="HUU38" s="213"/>
      <c r="HUV38" s="1"/>
      <c r="HUW38" s="1"/>
      <c r="HUX38" s="1"/>
      <c r="HUY38" s="1"/>
      <c r="HUZ38" s="223"/>
      <c r="HVA38" s="222"/>
      <c r="HVB38" s="1"/>
      <c r="HVC38" s="301"/>
      <c r="HVD38" s="214"/>
      <c r="HVE38" s="5"/>
      <c r="HVF38" s="12"/>
      <c r="HVG38" s="5"/>
      <c r="HVH38" s="5"/>
      <c r="HVI38" s="1"/>
      <c r="HVJ38" s="1"/>
      <c r="HVK38" s="1"/>
      <c r="HVL38" s="1"/>
      <c r="HVM38" s="1"/>
      <c r="HVN38" s="178"/>
      <c r="HVO38" s="178"/>
      <c r="HVP38" s="1"/>
      <c r="HVQ38" s="2"/>
      <c r="HVR38" s="161"/>
      <c r="HVS38" s="161"/>
      <c r="HVT38" s="1"/>
      <c r="HVU38" s="213"/>
      <c r="HVV38" s="1"/>
      <c r="HVW38" s="1"/>
      <c r="HVX38" s="1"/>
      <c r="HVY38" s="1"/>
      <c r="HVZ38" s="223"/>
      <c r="HWA38" s="222"/>
      <c r="HWB38" s="1"/>
      <c r="HWC38" s="301"/>
      <c r="HWD38" s="214"/>
      <c r="HWE38" s="5"/>
      <c r="HWF38" s="12"/>
      <c r="HWG38" s="5"/>
      <c r="HWH38" s="5"/>
      <c r="HWI38" s="1"/>
      <c r="HWJ38" s="1"/>
      <c r="HWK38" s="1"/>
      <c r="HWL38" s="1"/>
      <c r="HWM38" s="1"/>
      <c r="HWN38" s="178"/>
      <c r="HWO38" s="178"/>
      <c r="HWP38" s="1"/>
      <c r="HWQ38" s="2"/>
      <c r="HWR38" s="161"/>
      <c r="HWS38" s="161"/>
      <c r="HWT38" s="1"/>
      <c r="HWU38" s="213"/>
      <c r="HWV38" s="1"/>
      <c r="HWW38" s="1"/>
      <c r="HWX38" s="1"/>
      <c r="HWY38" s="1"/>
      <c r="HWZ38" s="223"/>
      <c r="HXA38" s="222"/>
      <c r="HXB38" s="1"/>
      <c r="HXC38" s="301"/>
      <c r="HXD38" s="214"/>
      <c r="HXE38" s="5"/>
      <c r="HXF38" s="12"/>
      <c r="HXG38" s="5"/>
      <c r="HXH38" s="5"/>
      <c r="HXI38" s="1"/>
      <c r="HXJ38" s="1"/>
      <c r="HXK38" s="1"/>
      <c r="HXL38" s="1"/>
      <c r="HXM38" s="1"/>
      <c r="HXN38" s="178"/>
      <c r="HXO38" s="178"/>
      <c r="HXP38" s="1"/>
      <c r="HXQ38" s="2"/>
      <c r="HXR38" s="161"/>
      <c r="HXS38" s="161"/>
      <c r="HXT38" s="1"/>
      <c r="HXU38" s="213"/>
      <c r="HXV38" s="1"/>
      <c r="HXW38" s="1"/>
      <c r="HXX38" s="1"/>
      <c r="HXY38" s="1"/>
      <c r="HXZ38" s="223"/>
      <c r="HYA38" s="222"/>
      <c r="HYB38" s="1"/>
      <c r="HYC38" s="301"/>
      <c r="HYD38" s="214"/>
      <c r="HYE38" s="5"/>
      <c r="HYF38" s="12"/>
      <c r="HYG38" s="5"/>
      <c r="HYH38" s="5"/>
      <c r="HYI38" s="1"/>
      <c r="HYJ38" s="1"/>
      <c r="HYK38" s="1"/>
      <c r="HYL38" s="1"/>
      <c r="HYM38" s="1"/>
      <c r="HYN38" s="178"/>
      <c r="HYO38" s="178"/>
      <c r="HYP38" s="1"/>
      <c r="HYQ38" s="2"/>
      <c r="HYR38" s="161"/>
      <c r="HYS38" s="161"/>
      <c r="HYT38" s="1"/>
      <c r="HYU38" s="213"/>
      <c r="HYV38" s="1"/>
      <c r="HYW38" s="1"/>
      <c r="HYX38" s="1"/>
      <c r="HYY38" s="1"/>
      <c r="HYZ38" s="223"/>
      <c r="HZA38" s="222"/>
      <c r="HZB38" s="1"/>
      <c r="HZC38" s="301"/>
      <c r="HZD38" s="214"/>
      <c r="HZE38" s="5"/>
      <c r="HZF38" s="12"/>
      <c r="HZG38" s="5"/>
      <c r="HZH38" s="5"/>
      <c r="HZI38" s="1"/>
      <c r="HZJ38" s="1"/>
      <c r="HZK38" s="1"/>
      <c r="HZL38" s="1"/>
      <c r="HZM38" s="1"/>
      <c r="HZN38" s="178"/>
      <c r="HZO38" s="178"/>
      <c r="HZP38" s="1"/>
      <c r="HZQ38" s="2"/>
      <c r="HZR38" s="161"/>
      <c r="HZS38" s="161"/>
      <c r="HZT38" s="1"/>
      <c r="HZU38" s="213"/>
      <c r="HZV38" s="1"/>
      <c r="HZW38" s="1"/>
      <c r="HZX38" s="1"/>
      <c r="HZY38" s="1"/>
      <c r="HZZ38" s="223"/>
      <c r="IAA38" s="222"/>
      <c r="IAB38" s="1"/>
      <c r="IAC38" s="301"/>
      <c r="IAD38" s="214"/>
      <c r="IAE38" s="5"/>
      <c r="IAF38" s="12"/>
      <c r="IAG38" s="5"/>
      <c r="IAH38" s="5"/>
      <c r="IAI38" s="1"/>
      <c r="IAJ38" s="1"/>
      <c r="IAK38" s="1"/>
      <c r="IAL38" s="1"/>
      <c r="IAM38" s="1"/>
      <c r="IAN38" s="178"/>
      <c r="IAO38" s="178"/>
      <c r="IAP38" s="1"/>
      <c r="IAQ38" s="2"/>
      <c r="IAR38" s="161"/>
      <c r="IAS38" s="161"/>
      <c r="IAT38" s="1"/>
      <c r="IAU38" s="213"/>
      <c r="IAV38" s="1"/>
      <c r="IAW38" s="1"/>
      <c r="IAX38" s="1"/>
      <c r="IAY38" s="1"/>
      <c r="IAZ38" s="223"/>
      <c r="IBA38" s="222"/>
      <c r="IBB38" s="1"/>
      <c r="IBC38" s="301"/>
      <c r="IBD38" s="214"/>
      <c r="IBE38" s="5"/>
      <c r="IBF38" s="12"/>
      <c r="IBG38" s="5"/>
      <c r="IBH38" s="5"/>
      <c r="IBI38" s="1"/>
      <c r="IBJ38" s="1"/>
      <c r="IBK38" s="1"/>
      <c r="IBL38" s="1"/>
      <c r="IBM38" s="1"/>
      <c r="IBN38" s="178"/>
      <c r="IBO38" s="178"/>
      <c r="IBP38" s="1"/>
      <c r="IBQ38" s="2"/>
      <c r="IBR38" s="161"/>
      <c r="IBS38" s="161"/>
      <c r="IBT38" s="1"/>
      <c r="IBU38" s="213"/>
      <c r="IBV38" s="1"/>
      <c r="IBW38" s="1"/>
      <c r="IBX38" s="1"/>
      <c r="IBY38" s="1"/>
      <c r="IBZ38" s="223"/>
      <c r="ICA38" s="222"/>
      <c r="ICB38" s="1"/>
      <c r="ICC38" s="301"/>
      <c r="ICD38" s="214"/>
      <c r="ICE38" s="5"/>
      <c r="ICF38" s="12"/>
      <c r="ICG38" s="5"/>
      <c r="ICH38" s="5"/>
      <c r="ICI38" s="1"/>
      <c r="ICJ38" s="1"/>
      <c r="ICK38" s="1"/>
      <c r="ICL38" s="1"/>
      <c r="ICM38" s="1"/>
      <c r="ICN38" s="178"/>
      <c r="ICO38" s="178"/>
      <c r="ICP38" s="1"/>
      <c r="ICQ38" s="2"/>
      <c r="ICR38" s="161"/>
      <c r="ICS38" s="161"/>
      <c r="ICT38" s="1"/>
      <c r="ICU38" s="213"/>
      <c r="ICV38" s="1"/>
      <c r="ICW38" s="1"/>
      <c r="ICX38" s="1"/>
      <c r="ICY38" s="1"/>
      <c r="ICZ38" s="223"/>
      <c r="IDA38" s="222"/>
      <c r="IDB38" s="1"/>
      <c r="IDC38" s="301"/>
      <c r="IDD38" s="214"/>
      <c r="IDE38" s="5"/>
      <c r="IDF38" s="12"/>
      <c r="IDG38" s="5"/>
      <c r="IDH38" s="5"/>
      <c r="IDI38" s="1"/>
      <c r="IDJ38" s="1"/>
      <c r="IDK38" s="1"/>
      <c r="IDL38" s="1"/>
      <c r="IDM38" s="1"/>
      <c r="IDN38" s="178"/>
      <c r="IDO38" s="178"/>
      <c r="IDP38" s="1"/>
      <c r="IDQ38" s="2"/>
      <c r="IDR38" s="161"/>
      <c r="IDS38" s="161"/>
      <c r="IDT38" s="1"/>
      <c r="IDU38" s="213"/>
      <c r="IDV38" s="1"/>
      <c r="IDW38" s="1"/>
      <c r="IDX38" s="1"/>
      <c r="IDY38" s="1"/>
      <c r="IDZ38" s="223"/>
      <c r="IEA38" s="222"/>
      <c r="IEB38" s="1"/>
      <c r="IEC38" s="301"/>
      <c r="IED38" s="214"/>
      <c r="IEE38" s="5"/>
      <c r="IEF38" s="12"/>
      <c r="IEG38" s="5"/>
      <c r="IEH38" s="5"/>
      <c r="IEI38" s="1"/>
      <c r="IEJ38" s="1"/>
      <c r="IEK38" s="1"/>
      <c r="IEL38" s="1"/>
      <c r="IEM38" s="1"/>
      <c r="IEN38" s="178"/>
      <c r="IEO38" s="178"/>
      <c r="IEP38" s="1"/>
      <c r="IEQ38" s="2"/>
      <c r="IER38" s="161"/>
      <c r="IES38" s="161"/>
      <c r="IET38" s="1"/>
      <c r="IEU38" s="213"/>
      <c r="IEV38" s="1"/>
      <c r="IEW38" s="1"/>
      <c r="IEX38" s="1"/>
      <c r="IEY38" s="1"/>
      <c r="IEZ38" s="223"/>
      <c r="IFA38" s="222"/>
      <c r="IFB38" s="1"/>
      <c r="IFC38" s="301"/>
      <c r="IFD38" s="214"/>
      <c r="IFE38" s="5"/>
      <c r="IFF38" s="12"/>
      <c r="IFG38" s="5"/>
      <c r="IFH38" s="5"/>
      <c r="IFI38" s="1"/>
      <c r="IFJ38" s="1"/>
      <c r="IFK38" s="1"/>
      <c r="IFL38" s="1"/>
      <c r="IFM38" s="1"/>
      <c r="IFN38" s="178"/>
      <c r="IFO38" s="178"/>
      <c r="IFP38" s="1"/>
      <c r="IFQ38" s="2"/>
      <c r="IFR38" s="161"/>
      <c r="IFS38" s="161"/>
      <c r="IFT38" s="1"/>
      <c r="IFU38" s="213"/>
      <c r="IFV38" s="1"/>
      <c r="IFW38" s="1"/>
      <c r="IFX38" s="1"/>
      <c r="IFY38" s="1"/>
      <c r="IFZ38" s="223"/>
      <c r="IGA38" s="222"/>
      <c r="IGB38" s="1"/>
      <c r="IGC38" s="301"/>
      <c r="IGD38" s="214"/>
      <c r="IGE38" s="5"/>
      <c r="IGF38" s="12"/>
      <c r="IGG38" s="5"/>
      <c r="IGH38" s="5"/>
      <c r="IGI38" s="1"/>
      <c r="IGJ38" s="1"/>
      <c r="IGK38" s="1"/>
      <c r="IGL38" s="1"/>
      <c r="IGM38" s="1"/>
      <c r="IGN38" s="178"/>
      <c r="IGO38" s="178"/>
      <c r="IGP38" s="1"/>
      <c r="IGQ38" s="2"/>
      <c r="IGR38" s="161"/>
      <c r="IGS38" s="161"/>
      <c r="IGT38" s="1"/>
      <c r="IGU38" s="213"/>
      <c r="IGV38" s="1"/>
      <c r="IGW38" s="1"/>
      <c r="IGX38" s="1"/>
      <c r="IGY38" s="1"/>
      <c r="IGZ38" s="223"/>
      <c r="IHA38" s="222"/>
      <c r="IHB38" s="1"/>
      <c r="IHC38" s="301"/>
      <c r="IHD38" s="214"/>
      <c r="IHE38" s="5"/>
      <c r="IHF38" s="12"/>
      <c r="IHG38" s="5"/>
      <c r="IHH38" s="5"/>
      <c r="IHI38" s="1"/>
      <c r="IHJ38" s="1"/>
      <c r="IHK38" s="1"/>
      <c r="IHL38" s="1"/>
      <c r="IHM38" s="1"/>
      <c r="IHN38" s="178"/>
      <c r="IHO38" s="178"/>
      <c r="IHP38" s="1"/>
      <c r="IHQ38" s="2"/>
      <c r="IHR38" s="161"/>
      <c r="IHS38" s="161"/>
      <c r="IHT38" s="1"/>
      <c r="IHU38" s="213"/>
      <c r="IHV38" s="1"/>
      <c r="IHW38" s="1"/>
      <c r="IHX38" s="1"/>
      <c r="IHY38" s="1"/>
      <c r="IHZ38" s="223"/>
      <c r="IIA38" s="222"/>
      <c r="IIB38" s="1"/>
      <c r="IIC38" s="301"/>
      <c r="IID38" s="214"/>
      <c r="IIE38" s="5"/>
      <c r="IIF38" s="12"/>
      <c r="IIG38" s="5"/>
      <c r="IIH38" s="5"/>
      <c r="III38" s="1"/>
      <c r="IIJ38" s="1"/>
      <c r="IIK38" s="1"/>
      <c r="IIL38" s="1"/>
      <c r="IIM38" s="1"/>
      <c r="IIN38" s="178"/>
      <c r="IIO38" s="178"/>
      <c r="IIP38" s="1"/>
      <c r="IIQ38" s="2"/>
      <c r="IIR38" s="161"/>
      <c r="IIS38" s="161"/>
      <c r="IIT38" s="1"/>
      <c r="IIU38" s="213"/>
      <c r="IIV38" s="1"/>
      <c r="IIW38" s="1"/>
      <c r="IIX38" s="1"/>
      <c r="IIY38" s="1"/>
      <c r="IIZ38" s="223"/>
      <c r="IJA38" s="222"/>
      <c r="IJB38" s="1"/>
      <c r="IJC38" s="301"/>
      <c r="IJD38" s="214"/>
      <c r="IJE38" s="5"/>
      <c r="IJF38" s="12"/>
      <c r="IJG38" s="5"/>
      <c r="IJH38" s="5"/>
      <c r="IJI38" s="1"/>
      <c r="IJJ38" s="1"/>
      <c r="IJK38" s="1"/>
      <c r="IJL38" s="1"/>
      <c r="IJM38" s="1"/>
      <c r="IJN38" s="178"/>
      <c r="IJO38" s="178"/>
      <c r="IJP38" s="1"/>
      <c r="IJQ38" s="2"/>
      <c r="IJR38" s="161"/>
      <c r="IJS38" s="161"/>
      <c r="IJT38" s="1"/>
      <c r="IJU38" s="213"/>
      <c r="IJV38" s="1"/>
      <c r="IJW38" s="1"/>
      <c r="IJX38" s="1"/>
      <c r="IJY38" s="1"/>
      <c r="IJZ38" s="223"/>
      <c r="IKA38" s="222"/>
      <c r="IKB38" s="1"/>
      <c r="IKC38" s="301"/>
      <c r="IKD38" s="214"/>
      <c r="IKE38" s="5"/>
      <c r="IKF38" s="12"/>
      <c r="IKG38" s="5"/>
      <c r="IKH38" s="5"/>
      <c r="IKI38" s="1"/>
      <c r="IKJ38" s="1"/>
      <c r="IKK38" s="1"/>
      <c r="IKL38" s="1"/>
      <c r="IKM38" s="1"/>
      <c r="IKN38" s="178"/>
      <c r="IKO38" s="178"/>
      <c r="IKP38" s="1"/>
      <c r="IKQ38" s="2"/>
      <c r="IKR38" s="161"/>
      <c r="IKS38" s="161"/>
      <c r="IKT38" s="1"/>
      <c r="IKU38" s="213"/>
      <c r="IKV38" s="1"/>
      <c r="IKW38" s="1"/>
      <c r="IKX38" s="1"/>
      <c r="IKY38" s="1"/>
      <c r="IKZ38" s="223"/>
      <c r="ILA38" s="222"/>
      <c r="ILB38" s="1"/>
      <c r="ILC38" s="301"/>
      <c r="ILD38" s="214"/>
      <c r="ILE38" s="5"/>
      <c r="ILF38" s="12"/>
      <c r="ILG38" s="5"/>
      <c r="ILH38" s="5"/>
      <c r="ILI38" s="1"/>
      <c r="ILJ38" s="1"/>
      <c r="ILK38" s="1"/>
      <c r="ILL38" s="1"/>
      <c r="ILM38" s="1"/>
      <c r="ILN38" s="178"/>
      <c r="ILO38" s="178"/>
      <c r="ILP38" s="1"/>
      <c r="ILQ38" s="2"/>
      <c r="ILR38" s="161"/>
      <c r="ILS38" s="161"/>
      <c r="ILT38" s="1"/>
      <c r="ILU38" s="213"/>
      <c r="ILV38" s="1"/>
      <c r="ILW38" s="1"/>
      <c r="ILX38" s="1"/>
      <c r="ILY38" s="1"/>
      <c r="ILZ38" s="223"/>
      <c r="IMA38" s="222"/>
      <c r="IMB38" s="1"/>
      <c r="IMC38" s="301"/>
      <c r="IMD38" s="214"/>
      <c r="IME38" s="5"/>
      <c r="IMF38" s="12"/>
      <c r="IMG38" s="5"/>
      <c r="IMH38" s="5"/>
      <c r="IMI38" s="1"/>
      <c r="IMJ38" s="1"/>
      <c r="IMK38" s="1"/>
      <c r="IML38" s="1"/>
      <c r="IMM38" s="1"/>
      <c r="IMN38" s="178"/>
      <c r="IMO38" s="178"/>
      <c r="IMP38" s="1"/>
      <c r="IMQ38" s="2"/>
      <c r="IMR38" s="161"/>
      <c r="IMS38" s="161"/>
      <c r="IMT38" s="1"/>
      <c r="IMU38" s="213"/>
      <c r="IMV38" s="1"/>
      <c r="IMW38" s="1"/>
      <c r="IMX38" s="1"/>
      <c r="IMY38" s="1"/>
      <c r="IMZ38" s="223"/>
      <c r="INA38" s="222"/>
      <c r="INB38" s="1"/>
      <c r="INC38" s="301"/>
      <c r="IND38" s="214"/>
      <c r="INE38" s="5"/>
      <c r="INF38" s="12"/>
      <c r="ING38" s="5"/>
      <c r="INH38" s="5"/>
      <c r="INI38" s="1"/>
      <c r="INJ38" s="1"/>
      <c r="INK38" s="1"/>
      <c r="INL38" s="1"/>
      <c r="INM38" s="1"/>
      <c r="INN38" s="178"/>
      <c r="INO38" s="178"/>
      <c r="INP38" s="1"/>
      <c r="INQ38" s="2"/>
      <c r="INR38" s="161"/>
      <c r="INS38" s="161"/>
      <c r="INT38" s="1"/>
      <c r="INU38" s="213"/>
      <c r="INV38" s="1"/>
      <c r="INW38" s="1"/>
      <c r="INX38" s="1"/>
      <c r="INY38" s="1"/>
      <c r="INZ38" s="223"/>
      <c r="IOA38" s="222"/>
      <c r="IOB38" s="1"/>
      <c r="IOC38" s="301"/>
      <c r="IOD38" s="214"/>
      <c r="IOE38" s="5"/>
      <c r="IOF38" s="12"/>
      <c r="IOG38" s="5"/>
      <c r="IOH38" s="5"/>
      <c r="IOI38" s="1"/>
      <c r="IOJ38" s="1"/>
      <c r="IOK38" s="1"/>
      <c r="IOL38" s="1"/>
      <c r="IOM38" s="1"/>
      <c r="ION38" s="178"/>
      <c r="IOO38" s="178"/>
      <c r="IOP38" s="1"/>
      <c r="IOQ38" s="2"/>
      <c r="IOR38" s="161"/>
      <c r="IOS38" s="161"/>
      <c r="IOT38" s="1"/>
      <c r="IOU38" s="213"/>
      <c r="IOV38" s="1"/>
      <c r="IOW38" s="1"/>
      <c r="IOX38" s="1"/>
      <c r="IOY38" s="1"/>
      <c r="IOZ38" s="223"/>
      <c r="IPA38" s="222"/>
      <c r="IPB38" s="1"/>
      <c r="IPC38" s="301"/>
      <c r="IPD38" s="214"/>
      <c r="IPE38" s="5"/>
      <c r="IPF38" s="12"/>
      <c r="IPG38" s="5"/>
      <c r="IPH38" s="5"/>
      <c r="IPI38" s="1"/>
      <c r="IPJ38" s="1"/>
      <c r="IPK38" s="1"/>
      <c r="IPL38" s="1"/>
      <c r="IPM38" s="1"/>
      <c r="IPN38" s="178"/>
      <c r="IPO38" s="178"/>
      <c r="IPP38" s="1"/>
      <c r="IPQ38" s="2"/>
      <c r="IPR38" s="161"/>
      <c r="IPS38" s="161"/>
      <c r="IPT38" s="1"/>
      <c r="IPU38" s="213"/>
      <c r="IPV38" s="1"/>
      <c r="IPW38" s="1"/>
      <c r="IPX38" s="1"/>
      <c r="IPY38" s="1"/>
      <c r="IPZ38" s="223"/>
      <c r="IQA38" s="222"/>
      <c r="IQB38" s="1"/>
      <c r="IQC38" s="301"/>
      <c r="IQD38" s="214"/>
      <c r="IQE38" s="5"/>
      <c r="IQF38" s="12"/>
      <c r="IQG38" s="5"/>
      <c r="IQH38" s="5"/>
      <c r="IQI38" s="1"/>
      <c r="IQJ38" s="1"/>
      <c r="IQK38" s="1"/>
      <c r="IQL38" s="1"/>
      <c r="IQM38" s="1"/>
      <c r="IQN38" s="178"/>
      <c r="IQO38" s="178"/>
      <c r="IQP38" s="1"/>
      <c r="IQQ38" s="2"/>
      <c r="IQR38" s="161"/>
      <c r="IQS38" s="161"/>
      <c r="IQT38" s="1"/>
      <c r="IQU38" s="213"/>
      <c r="IQV38" s="1"/>
      <c r="IQW38" s="1"/>
      <c r="IQX38" s="1"/>
      <c r="IQY38" s="1"/>
      <c r="IQZ38" s="223"/>
      <c r="IRA38" s="222"/>
      <c r="IRB38" s="1"/>
      <c r="IRC38" s="301"/>
      <c r="IRD38" s="214"/>
      <c r="IRE38" s="5"/>
      <c r="IRF38" s="12"/>
      <c r="IRG38" s="5"/>
      <c r="IRH38" s="5"/>
      <c r="IRI38" s="1"/>
      <c r="IRJ38" s="1"/>
      <c r="IRK38" s="1"/>
      <c r="IRL38" s="1"/>
      <c r="IRM38" s="1"/>
      <c r="IRN38" s="178"/>
      <c r="IRO38" s="178"/>
      <c r="IRP38" s="1"/>
      <c r="IRQ38" s="2"/>
      <c r="IRR38" s="161"/>
      <c r="IRS38" s="161"/>
      <c r="IRT38" s="1"/>
      <c r="IRU38" s="213"/>
      <c r="IRV38" s="1"/>
      <c r="IRW38" s="1"/>
      <c r="IRX38" s="1"/>
      <c r="IRY38" s="1"/>
      <c r="IRZ38" s="223"/>
      <c r="ISA38" s="222"/>
      <c r="ISB38" s="1"/>
      <c r="ISC38" s="301"/>
      <c r="ISD38" s="214"/>
      <c r="ISE38" s="5"/>
      <c r="ISF38" s="12"/>
      <c r="ISG38" s="5"/>
      <c r="ISH38" s="5"/>
      <c r="ISI38" s="1"/>
      <c r="ISJ38" s="1"/>
      <c r="ISK38" s="1"/>
      <c r="ISL38" s="1"/>
      <c r="ISM38" s="1"/>
      <c r="ISN38" s="178"/>
      <c r="ISO38" s="178"/>
      <c r="ISP38" s="1"/>
      <c r="ISQ38" s="2"/>
      <c r="ISR38" s="161"/>
      <c r="ISS38" s="161"/>
      <c r="IST38" s="1"/>
      <c r="ISU38" s="213"/>
      <c r="ISV38" s="1"/>
      <c r="ISW38" s="1"/>
      <c r="ISX38" s="1"/>
      <c r="ISY38" s="1"/>
      <c r="ISZ38" s="223"/>
      <c r="ITA38" s="222"/>
      <c r="ITB38" s="1"/>
      <c r="ITC38" s="301"/>
      <c r="ITD38" s="214"/>
      <c r="ITE38" s="5"/>
      <c r="ITF38" s="12"/>
      <c r="ITG38" s="5"/>
      <c r="ITH38" s="5"/>
      <c r="ITI38" s="1"/>
      <c r="ITJ38" s="1"/>
      <c r="ITK38" s="1"/>
      <c r="ITL38" s="1"/>
      <c r="ITM38" s="1"/>
      <c r="ITN38" s="178"/>
      <c r="ITO38" s="178"/>
      <c r="ITP38" s="1"/>
      <c r="ITQ38" s="2"/>
      <c r="ITR38" s="161"/>
      <c r="ITS38" s="161"/>
      <c r="ITT38" s="1"/>
      <c r="ITU38" s="213"/>
      <c r="ITV38" s="1"/>
      <c r="ITW38" s="1"/>
      <c r="ITX38" s="1"/>
      <c r="ITY38" s="1"/>
      <c r="ITZ38" s="223"/>
      <c r="IUA38" s="222"/>
      <c r="IUB38" s="1"/>
      <c r="IUC38" s="301"/>
      <c r="IUD38" s="214"/>
      <c r="IUE38" s="5"/>
      <c r="IUF38" s="12"/>
      <c r="IUG38" s="5"/>
      <c r="IUH38" s="5"/>
      <c r="IUI38" s="1"/>
      <c r="IUJ38" s="1"/>
      <c r="IUK38" s="1"/>
      <c r="IUL38" s="1"/>
      <c r="IUM38" s="1"/>
      <c r="IUN38" s="178"/>
      <c r="IUO38" s="178"/>
      <c r="IUP38" s="1"/>
      <c r="IUQ38" s="2"/>
      <c r="IUR38" s="161"/>
      <c r="IUS38" s="161"/>
      <c r="IUT38" s="1"/>
      <c r="IUU38" s="213"/>
      <c r="IUV38" s="1"/>
      <c r="IUW38" s="1"/>
      <c r="IUX38" s="1"/>
      <c r="IUY38" s="1"/>
      <c r="IUZ38" s="223"/>
      <c r="IVA38" s="222"/>
      <c r="IVB38" s="1"/>
      <c r="IVC38" s="301"/>
      <c r="IVD38" s="214"/>
      <c r="IVE38" s="5"/>
      <c r="IVF38" s="12"/>
      <c r="IVG38" s="5"/>
      <c r="IVH38" s="5"/>
      <c r="IVI38" s="1"/>
      <c r="IVJ38" s="1"/>
      <c r="IVK38" s="1"/>
      <c r="IVL38" s="1"/>
      <c r="IVM38" s="1"/>
      <c r="IVN38" s="178"/>
      <c r="IVO38" s="178"/>
      <c r="IVP38" s="1"/>
      <c r="IVQ38" s="2"/>
      <c r="IVR38" s="161"/>
      <c r="IVS38" s="161"/>
      <c r="IVT38" s="1"/>
      <c r="IVU38" s="213"/>
      <c r="IVV38" s="1"/>
      <c r="IVW38" s="1"/>
      <c r="IVX38" s="1"/>
      <c r="IVY38" s="1"/>
      <c r="IVZ38" s="223"/>
      <c r="IWA38" s="222"/>
      <c r="IWB38" s="1"/>
      <c r="IWC38" s="301"/>
      <c r="IWD38" s="214"/>
      <c r="IWE38" s="5"/>
      <c r="IWF38" s="12"/>
      <c r="IWG38" s="5"/>
      <c r="IWH38" s="5"/>
      <c r="IWI38" s="1"/>
      <c r="IWJ38" s="1"/>
      <c r="IWK38" s="1"/>
      <c r="IWL38" s="1"/>
      <c r="IWM38" s="1"/>
      <c r="IWN38" s="178"/>
      <c r="IWO38" s="178"/>
      <c r="IWP38" s="1"/>
      <c r="IWQ38" s="2"/>
      <c r="IWR38" s="161"/>
      <c r="IWS38" s="161"/>
      <c r="IWT38" s="1"/>
      <c r="IWU38" s="213"/>
      <c r="IWV38" s="1"/>
      <c r="IWW38" s="1"/>
      <c r="IWX38" s="1"/>
      <c r="IWY38" s="1"/>
      <c r="IWZ38" s="223"/>
      <c r="IXA38" s="222"/>
      <c r="IXB38" s="1"/>
      <c r="IXC38" s="301"/>
      <c r="IXD38" s="214"/>
      <c r="IXE38" s="5"/>
      <c r="IXF38" s="12"/>
      <c r="IXG38" s="5"/>
      <c r="IXH38" s="5"/>
      <c r="IXI38" s="1"/>
      <c r="IXJ38" s="1"/>
      <c r="IXK38" s="1"/>
      <c r="IXL38" s="1"/>
      <c r="IXM38" s="1"/>
      <c r="IXN38" s="178"/>
      <c r="IXO38" s="178"/>
      <c r="IXP38" s="1"/>
      <c r="IXQ38" s="2"/>
      <c r="IXR38" s="161"/>
      <c r="IXS38" s="161"/>
      <c r="IXT38" s="1"/>
      <c r="IXU38" s="213"/>
      <c r="IXV38" s="1"/>
      <c r="IXW38" s="1"/>
      <c r="IXX38" s="1"/>
      <c r="IXY38" s="1"/>
      <c r="IXZ38" s="223"/>
      <c r="IYA38" s="222"/>
      <c r="IYB38" s="1"/>
      <c r="IYC38" s="301"/>
      <c r="IYD38" s="214"/>
      <c r="IYE38" s="5"/>
      <c r="IYF38" s="12"/>
      <c r="IYG38" s="5"/>
      <c r="IYH38" s="5"/>
      <c r="IYI38" s="1"/>
      <c r="IYJ38" s="1"/>
      <c r="IYK38" s="1"/>
      <c r="IYL38" s="1"/>
      <c r="IYM38" s="1"/>
      <c r="IYN38" s="178"/>
      <c r="IYO38" s="178"/>
      <c r="IYP38" s="1"/>
      <c r="IYQ38" s="2"/>
      <c r="IYR38" s="161"/>
      <c r="IYS38" s="161"/>
      <c r="IYT38" s="1"/>
      <c r="IYU38" s="213"/>
      <c r="IYV38" s="1"/>
      <c r="IYW38" s="1"/>
      <c r="IYX38" s="1"/>
      <c r="IYY38" s="1"/>
      <c r="IYZ38" s="223"/>
      <c r="IZA38" s="222"/>
      <c r="IZB38" s="1"/>
      <c r="IZC38" s="301"/>
      <c r="IZD38" s="214"/>
      <c r="IZE38" s="5"/>
      <c r="IZF38" s="12"/>
      <c r="IZG38" s="5"/>
      <c r="IZH38" s="5"/>
      <c r="IZI38" s="1"/>
      <c r="IZJ38" s="1"/>
      <c r="IZK38" s="1"/>
      <c r="IZL38" s="1"/>
      <c r="IZM38" s="1"/>
      <c r="IZN38" s="178"/>
      <c r="IZO38" s="178"/>
      <c r="IZP38" s="1"/>
      <c r="IZQ38" s="2"/>
      <c r="IZR38" s="161"/>
      <c r="IZS38" s="161"/>
      <c r="IZT38" s="1"/>
      <c r="IZU38" s="213"/>
      <c r="IZV38" s="1"/>
      <c r="IZW38" s="1"/>
      <c r="IZX38" s="1"/>
      <c r="IZY38" s="1"/>
      <c r="IZZ38" s="223"/>
      <c r="JAA38" s="222"/>
      <c r="JAB38" s="1"/>
      <c r="JAC38" s="301"/>
      <c r="JAD38" s="214"/>
      <c r="JAE38" s="5"/>
      <c r="JAF38" s="12"/>
      <c r="JAG38" s="5"/>
      <c r="JAH38" s="5"/>
      <c r="JAI38" s="1"/>
      <c r="JAJ38" s="1"/>
      <c r="JAK38" s="1"/>
      <c r="JAL38" s="1"/>
      <c r="JAM38" s="1"/>
      <c r="JAN38" s="178"/>
      <c r="JAO38" s="178"/>
      <c r="JAP38" s="1"/>
      <c r="JAQ38" s="2"/>
      <c r="JAR38" s="161"/>
      <c r="JAS38" s="161"/>
      <c r="JAT38" s="1"/>
      <c r="JAU38" s="213"/>
      <c r="JAV38" s="1"/>
      <c r="JAW38" s="1"/>
      <c r="JAX38" s="1"/>
      <c r="JAY38" s="1"/>
      <c r="JAZ38" s="223"/>
      <c r="JBA38" s="222"/>
      <c r="JBB38" s="1"/>
      <c r="JBC38" s="301"/>
      <c r="JBD38" s="214"/>
      <c r="JBE38" s="5"/>
      <c r="JBF38" s="12"/>
      <c r="JBG38" s="5"/>
      <c r="JBH38" s="5"/>
      <c r="JBI38" s="1"/>
      <c r="JBJ38" s="1"/>
      <c r="JBK38" s="1"/>
      <c r="JBL38" s="1"/>
      <c r="JBM38" s="1"/>
      <c r="JBN38" s="178"/>
      <c r="JBO38" s="178"/>
      <c r="JBP38" s="1"/>
      <c r="JBQ38" s="2"/>
      <c r="JBR38" s="161"/>
      <c r="JBS38" s="161"/>
      <c r="JBT38" s="1"/>
      <c r="JBU38" s="213"/>
      <c r="JBV38" s="1"/>
      <c r="JBW38" s="1"/>
      <c r="JBX38" s="1"/>
      <c r="JBY38" s="1"/>
      <c r="JBZ38" s="223"/>
      <c r="JCA38" s="222"/>
      <c r="JCB38" s="1"/>
      <c r="JCC38" s="301"/>
      <c r="JCD38" s="214"/>
      <c r="JCE38" s="5"/>
      <c r="JCF38" s="12"/>
      <c r="JCG38" s="5"/>
      <c r="JCH38" s="5"/>
      <c r="JCI38" s="1"/>
      <c r="JCJ38" s="1"/>
      <c r="JCK38" s="1"/>
      <c r="JCL38" s="1"/>
      <c r="JCM38" s="1"/>
      <c r="JCN38" s="178"/>
      <c r="JCO38" s="178"/>
      <c r="JCP38" s="1"/>
      <c r="JCQ38" s="2"/>
      <c r="JCR38" s="161"/>
      <c r="JCS38" s="161"/>
      <c r="JCT38" s="1"/>
      <c r="JCU38" s="213"/>
      <c r="JCV38" s="1"/>
      <c r="JCW38" s="1"/>
      <c r="JCX38" s="1"/>
      <c r="JCY38" s="1"/>
      <c r="JCZ38" s="223"/>
      <c r="JDA38" s="222"/>
      <c r="JDB38" s="1"/>
      <c r="JDC38" s="301"/>
      <c r="JDD38" s="214"/>
      <c r="JDE38" s="5"/>
      <c r="JDF38" s="12"/>
      <c r="JDG38" s="5"/>
      <c r="JDH38" s="5"/>
      <c r="JDI38" s="1"/>
      <c r="JDJ38" s="1"/>
      <c r="JDK38" s="1"/>
      <c r="JDL38" s="1"/>
      <c r="JDM38" s="1"/>
      <c r="JDN38" s="178"/>
      <c r="JDO38" s="178"/>
      <c r="JDP38" s="1"/>
      <c r="JDQ38" s="2"/>
      <c r="JDR38" s="161"/>
      <c r="JDS38" s="161"/>
      <c r="JDT38" s="1"/>
      <c r="JDU38" s="213"/>
      <c r="JDV38" s="1"/>
      <c r="JDW38" s="1"/>
      <c r="JDX38" s="1"/>
      <c r="JDY38" s="1"/>
      <c r="JDZ38" s="223"/>
      <c r="JEA38" s="222"/>
      <c r="JEB38" s="1"/>
      <c r="JEC38" s="301"/>
      <c r="JED38" s="214"/>
      <c r="JEE38" s="5"/>
      <c r="JEF38" s="12"/>
      <c r="JEG38" s="5"/>
      <c r="JEH38" s="5"/>
      <c r="JEI38" s="1"/>
      <c r="JEJ38" s="1"/>
      <c r="JEK38" s="1"/>
      <c r="JEL38" s="1"/>
      <c r="JEM38" s="1"/>
      <c r="JEN38" s="178"/>
      <c r="JEO38" s="178"/>
      <c r="JEP38" s="1"/>
      <c r="JEQ38" s="2"/>
      <c r="JER38" s="161"/>
      <c r="JES38" s="161"/>
      <c r="JET38" s="1"/>
      <c r="JEU38" s="213"/>
      <c r="JEV38" s="1"/>
      <c r="JEW38" s="1"/>
      <c r="JEX38" s="1"/>
      <c r="JEY38" s="1"/>
      <c r="JEZ38" s="223"/>
      <c r="JFA38" s="222"/>
      <c r="JFB38" s="1"/>
      <c r="JFC38" s="301"/>
      <c r="JFD38" s="214"/>
      <c r="JFE38" s="5"/>
      <c r="JFF38" s="12"/>
      <c r="JFG38" s="5"/>
      <c r="JFH38" s="5"/>
      <c r="JFI38" s="1"/>
      <c r="JFJ38" s="1"/>
      <c r="JFK38" s="1"/>
      <c r="JFL38" s="1"/>
      <c r="JFM38" s="1"/>
      <c r="JFN38" s="178"/>
      <c r="JFO38" s="178"/>
      <c r="JFP38" s="1"/>
      <c r="JFQ38" s="2"/>
      <c r="JFR38" s="161"/>
      <c r="JFS38" s="161"/>
      <c r="JFT38" s="1"/>
      <c r="JFU38" s="213"/>
      <c r="JFV38" s="1"/>
      <c r="JFW38" s="1"/>
      <c r="JFX38" s="1"/>
      <c r="JFY38" s="1"/>
      <c r="JFZ38" s="223"/>
      <c r="JGA38" s="222"/>
      <c r="JGB38" s="1"/>
      <c r="JGC38" s="301"/>
      <c r="JGD38" s="214"/>
      <c r="JGE38" s="5"/>
      <c r="JGF38" s="12"/>
      <c r="JGG38" s="5"/>
      <c r="JGH38" s="5"/>
      <c r="JGI38" s="1"/>
      <c r="JGJ38" s="1"/>
      <c r="JGK38" s="1"/>
      <c r="JGL38" s="1"/>
      <c r="JGM38" s="1"/>
      <c r="JGN38" s="178"/>
      <c r="JGO38" s="178"/>
      <c r="JGP38" s="1"/>
      <c r="JGQ38" s="2"/>
      <c r="JGR38" s="161"/>
      <c r="JGS38" s="161"/>
      <c r="JGT38" s="1"/>
      <c r="JGU38" s="213"/>
      <c r="JGV38" s="1"/>
      <c r="JGW38" s="1"/>
      <c r="JGX38" s="1"/>
      <c r="JGY38" s="1"/>
      <c r="JGZ38" s="223"/>
      <c r="JHA38" s="222"/>
      <c r="JHB38" s="1"/>
      <c r="JHC38" s="301"/>
      <c r="JHD38" s="214"/>
      <c r="JHE38" s="5"/>
      <c r="JHF38" s="12"/>
      <c r="JHG38" s="5"/>
      <c r="JHH38" s="5"/>
      <c r="JHI38" s="1"/>
      <c r="JHJ38" s="1"/>
      <c r="JHK38" s="1"/>
      <c r="JHL38" s="1"/>
      <c r="JHM38" s="1"/>
      <c r="JHN38" s="178"/>
      <c r="JHO38" s="178"/>
      <c r="JHP38" s="1"/>
      <c r="JHQ38" s="2"/>
      <c r="JHR38" s="161"/>
      <c r="JHS38" s="161"/>
      <c r="JHT38" s="1"/>
      <c r="JHU38" s="213"/>
      <c r="JHV38" s="1"/>
      <c r="JHW38" s="1"/>
      <c r="JHX38" s="1"/>
      <c r="JHY38" s="1"/>
      <c r="JHZ38" s="223"/>
      <c r="JIA38" s="222"/>
      <c r="JIB38" s="1"/>
      <c r="JIC38" s="301"/>
      <c r="JID38" s="214"/>
      <c r="JIE38" s="5"/>
      <c r="JIF38" s="12"/>
      <c r="JIG38" s="5"/>
      <c r="JIH38" s="5"/>
      <c r="JII38" s="1"/>
      <c r="JIJ38" s="1"/>
      <c r="JIK38" s="1"/>
      <c r="JIL38" s="1"/>
      <c r="JIM38" s="1"/>
      <c r="JIN38" s="178"/>
      <c r="JIO38" s="178"/>
      <c r="JIP38" s="1"/>
      <c r="JIQ38" s="2"/>
      <c r="JIR38" s="161"/>
      <c r="JIS38" s="161"/>
      <c r="JIT38" s="1"/>
      <c r="JIU38" s="213"/>
      <c r="JIV38" s="1"/>
      <c r="JIW38" s="1"/>
      <c r="JIX38" s="1"/>
      <c r="JIY38" s="1"/>
      <c r="JIZ38" s="223"/>
      <c r="JJA38" s="222"/>
      <c r="JJB38" s="1"/>
      <c r="JJC38" s="301"/>
      <c r="JJD38" s="214"/>
      <c r="JJE38" s="5"/>
      <c r="JJF38" s="12"/>
      <c r="JJG38" s="5"/>
      <c r="JJH38" s="5"/>
      <c r="JJI38" s="1"/>
      <c r="JJJ38" s="1"/>
      <c r="JJK38" s="1"/>
      <c r="JJL38" s="1"/>
      <c r="JJM38" s="1"/>
      <c r="JJN38" s="178"/>
      <c r="JJO38" s="178"/>
      <c r="JJP38" s="1"/>
      <c r="JJQ38" s="2"/>
      <c r="JJR38" s="161"/>
      <c r="JJS38" s="161"/>
      <c r="JJT38" s="1"/>
      <c r="JJU38" s="213"/>
      <c r="JJV38" s="1"/>
      <c r="JJW38" s="1"/>
      <c r="JJX38" s="1"/>
      <c r="JJY38" s="1"/>
      <c r="JJZ38" s="223"/>
      <c r="JKA38" s="222"/>
      <c r="JKB38" s="1"/>
      <c r="JKC38" s="301"/>
      <c r="JKD38" s="214"/>
      <c r="JKE38" s="5"/>
      <c r="JKF38" s="12"/>
      <c r="JKG38" s="5"/>
      <c r="JKH38" s="5"/>
      <c r="JKI38" s="1"/>
      <c r="JKJ38" s="1"/>
      <c r="JKK38" s="1"/>
      <c r="JKL38" s="1"/>
      <c r="JKM38" s="1"/>
      <c r="JKN38" s="178"/>
      <c r="JKO38" s="178"/>
      <c r="JKP38" s="1"/>
      <c r="JKQ38" s="2"/>
      <c r="JKR38" s="161"/>
      <c r="JKS38" s="161"/>
      <c r="JKT38" s="1"/>
      <c r="JKU38" s="213"/>
      <c r="JKV38" s="1"/>
      <c r="JKW38" s="1"/>
      <c r="JKX38" s="1"/>
      <c r="JKY38" s="1"/>
      <c r="JKZ38" s="223"/>
      <c r="JLA38" s="222"/>
      <c r="JLB38" s="1"/>
      <c r="JLC38" s="301"/>
      <c r="JLD38" s="214"/>
      <c r="JLE38" s="5"/>
      <c r="JLF38" s="12"/>
      <c r="JLG38" s="5"/>
      <c r="JLH38" s="5"/>
      <c r="JLI38" s="1"/>
      <c r="JLJ38" s="1"/>
      <c r="JLK38" s="1"/>
      <c r="JLL38" s="1"/>
      <c r="JLM38" s="1"/>
      <c r="JLN38" s="178"/>
      <c r="JLO38" s="178"/>
      <c r="JLP38" s="1"/>
      <c r="JLQ38" s="2"/>
      <c r="JLR38" s="161"/>
      <c r="JLS38" s="161"/>
      <c r="JLT38" s="1"/>
      <c r="JLU38" s="213"/>
      <c r="JLV38" s="1"/>
      <c r="JLW38" s="1"/>
      <c r="JLX38" s="1"/>
      <c r="JLY38" s="1"/>
      <c r="JLZ38" s="223"/>
      <c r="JMA38" s="222"/>
      <c r="JMB38" s="1"/>
      <c r="JMC38" s="301"/>
      <c r="JMD38" s="214"/>
      <c r="JME38" s="5"/>
      <c r="JMF38" s="12"/>
      <c r="JMG38" s="5"/>
      <c r="JMH38" s="5"/>
      <c r="JMI38" s="1"/>
      <c r="JMJ38" s="1"/>
      <c r="JMK38" s="1"/>
      <c r="JML38" s="1"/>
      <c r="JMM38" s="1"/>
      <c r="JMN38" s="178"/>
      <c r="JMO38" s="178"/>
      <c r="JMP38" s="1"/>
      <c r="JMQ38" s="2"/>
      <c r="JMR38" s="161"/>
      <c r="JMS38" s="161"/>
      <c r="JMT38" s="1"/>
      <c r="JMU38" s="213"/>
      <c r="JMV38" s="1"/>
      <c r="JMW38" s="1"/>
      <c r="JMX38" s="1"/>
      <c r="JMY38" s="1"/>
      <c r="JMZ38" s="223"/>
      <c r="JNA38" s="222"/>
      <c r="JNB38" s="1"/>
      <c r="JNC38" s="301"/>
      <c r="JND38" s="214"/>
      <c r="JNE38" s="5"/>
      <c r="JNF38" s="12"/>
      <c r="JNG38" s="5"/>
      <c r="JNH38" s="5"/>
      <c r="JNI38" s="1"/>
      <c r="JNJ38" s="1"/>
      <c r="JNK38" s="1"/>
      <c r="JNL38" s="1"/>
      <c r="JNM38" s="1"/>
      <c r="JNN38" s="178"/>
      <c r="JNO38" s="178"/>
      <c r="JNP38" s="1"/>
      <c r="JNQ38" s="2"/>
      <c r="JNR38" s="161"/>
      <c r="JNS38" s="161"/>
      <c r="JNT38" s="1"/>
      <c r="JNU38" s="213"/>
      <c r="JNV38" s="1"/>
      <c r="JNW38" s="1"/>
      <c r="JNX38" s="1"/>
      <c r="JNY38" s="1"/>
      <c r="JNZ38" s="223"/>
      <c r="JOA38" s="222"/>
      <c r="JOB38" s="1"/>
      <c r="JOC38" s="301"/>
      <c r="JOD38" s="214"/>
      <c r="JOE38" s="5"/>
      <c r="JOF38" s="12"/>
      <c r="JOG38" s="5"/>
      <c r="JOH38" s="5"/>
      <c r="JOI38" s="1"/>
      <c r="JOJ38" s="1"/>
      <c r="JOK38" s="1"/>
      <c r="JOL38" s="1"/>
      <c r="JOM38" s="1"/>
      <c r="JON38" s="178"/>
      <c r="JOO38" s="178"/>
      <c r="JOP38" s="1"/>
      <c r="JOQ38" s="2"/>
      <c r="JOR38" s="161"/>
      <c r="JOS38" s="161"/>
      <c r="JOT38" s="1"/>
      <c r="JOU38" s="213"/>
      <c r="JOV38" s="1"/>
      <c r="JOW38" s="1"/>
      <c r="JOX38" s="1"/>
      <c r="JOY38" s="1"/>
      <c r="JOZ38" s="223"/>
      <c r="JPA38" s="222"/>
      <c r="JPB38" s="1"/>
      <c r="JPC38" s="301"/>
      <c r="JPD38" s="214"/>
      <c r="JPE38" s="5"/>
      <c r="JPF38" s="12"/>
      <c r="JPG38" s="5"/>
      <c r="JPH38" s="5"/>
      <c r="JPI38" s="1"/>
      <c r="JPJ38" s="1"/>
      <c r="JPK38" s="1"/>
      <c r="JPL38" s="1"/>
      <c r="JPM38" s="1"/>
      <c r="JPN38" s="178"/>
      <c r="JPO38" s="178"/>
      <c r="JPP38" s="1"/>
      <c r="JPQ38" s="2"/>
      <c r="JPR38" s="161"/>
      <c r="JPS38" s="161"/>
      <c r="JPT38" s="1"/>
      <c r="JPU38" s="213"/>
      <c r="JPV38" s="1"/>
      <c r="JPW38" s="1"/>
      <c r="JPX38" s="1"/>
      <c r="JPY38" s="1"/>
      <c r="JPZ38" s="223"/>
      <c r="JQA38" s="222"/>
      <c r="JQB38" s="1"/>
      <c r="JQC38" s="301"/>
      <c r="JQD38" s="214"/>
      <c r="JQE38" s="5"/>
      <c r="JQF38" s="12"/>
      <c r="JQG38" s="5"/>
      <c r="JQH38" s="5"/>
      <c r="JQI38" s="1"/>
      <c r="JQJ38" s="1"/>
      <c r="JQK38" s="1"/>
      <c r="JQL38" s="1"/>
      <c r="JQM38" s="1"/>
      <c r="JQN38" s="178"/>
      <c r="JQO38" s="178"/>
      <c r="JQP38" s="1"/>
      <c r="JQQ38" s="2"/>
      <c r="JQR38" s="161"/>
      <c r="JQS38" s="161"/>
      <c r="JQT38" s="1"/>
      <c r="JQU38" s="213"/>
      <c r="JQV38" s="1"/>
      <c r="JQW38" s="1"/>
      <c r="JQX38" s="1"/>
      <c r="JQY38" s="1"/>
      <c r="JQZ38" s="223"/>
      <c r="JRA38" s="222"/>
      <c r="JRB38" s="1"/>
      <c r="JRC38" s="301"/>
      <c r="JRD38" s="214"/>
      <c r="JRE38" s="5"/>
      <c r="JRF38" s="12"/>
      <c r="JRG38" s="5"/>
      <c r="JRH38" s="5"/>
      <c r="JRI38" s="1"/>
      <c r="JRJ38" s="1"/>
      <c r="JRK38" s="1"/>
      <c r="JRL38" s="1"/>
      <c r="JRM38" s="1"/>
      <c r="JRN38" s="178"/>
      <c r="JRO38" s="178"/>
      <c r="JRP38" s="1"/>
      <c r="JRQ38" s="2"/>
      <c r="JRR38" s="161"/>
      <c r="JRS38" s="161"/>
      <c r="JRT38" s="1"/>
      <c r="JRU38" s="213"/>
      <c r="JRV38" s="1"/>
      <c r="JRW38" s="1"/>
      <c r="JRX38" s="1"/>
      <c r="JRY38" s="1"/>
      <c r="JRZ38" s="223"/>
      <c r="JSA38" s="222"/>
      <c r="JSB38" s="1"/>
      <c r="JSC38" s="301"/>
      <c r="JSD38" s="214"/>
      <c r="JSE38" s="5"/>
      <c r="JSF38" s="12"/>
      <c r="JSG38" s="5"/>
      <c r="JSH38" s="5"/>
      <c r="JSI38" s="1"/>
      <c r="JSJ38" s="1"/>
      <c r="JSK38" s="1"/>
      <c r="JSL38" s="1"/>
      <c r="JSM38" s="1"/>
      <c r="JSN38" s="178"/>
      <c r="JSO38" s="178"/>
      <c r="JSP38" s="1"/>
      <c r="JSQ38" s="2"/>
      <c r="JSR38" s="161"/>
      <c r="JSS38" s="161"/>
      <c r="JST38" s="1"/>
      <c r="JSU38" s="213"/>
      <c r="JSV38" s="1"/>
      <c r="JSW38" s="1"/>
      <c r="JSX38" s="1"/>
      <c r="JSY38" s="1"/>
      <c r="JSZ38" s="223"/>
      <c r="JTA38" s="222"/>
      <c r="JTB38" s="1"/>
      <c r="JTC38" s="301"/>
      <c r="JTD38" s="214"/>
      <c r="JTE38" s="5"/>
      <c r="JTF38" s="12"/>
      <c r="JTG38" s="5"/>
      <c r="JTH38" s="5"/>
      <c r="JTI38" s="1"/>
      <c r="JTJ38" s="1"/>
      <c r="JTK38" s="1"/>
      <c r="JTL38" s="1"/>
      <c r="JTM38" s="1"/>
      <c r="JTN38" s="178"/>
      <c r="JTO38" s="178"/>
      <c r="JTP38" s="1"/>
      <c r="JTQ38" s="2"/>
      <c r="JTR38" s="161"/>
      <c r="JTS38" s="161"/>
      <c r="JTT38" s="1"/>
      <c r="JTU38" s="213"/>
      <c r="JTV38" s="1"/>
      <c r="JTW38" s="1"/>
      <c r="JTX38" s="1"/>
      <c r="JTY38" s="1"/>
      <c r="JTZ38" s="223"/>
      <c r="JUA38" s="222"/>
      <c r="JUB38" s="1"/>
      <c r="JUC38" s="301"/>
      <c r="JUD38" s="214"/>
      <c r="JUE38" s="5"/>
      <c r="JUF38" s="12"/>
      <c r="JUG38" s="5"/>
      <c r="JUH38" s="5"/>
      <c r="JUI38" s="1"/>
      <c r="JUJ38" s="1"/>
      <c r="JUK38" s="1"/>
      <c r="JUL38" s="1"/>
      <c r="JUM38" s="1"/>
      <c r="JUN38" s="178"/>
      <c r="JUO38" s="178"/>
      <c r="JUP38" s="1"/>
      <c r="JUQ38" s="2"/>
      <c r="JUR38" s="161"/>
      <c r="JUS38" s="161"/>
      <c r="JUT38" s="1"/>
      <c r="JUU38" s="213"/>
      <c r="JUV38" s="1"/>
      <c r="JUW38" s="1"/>
      <c r="JUX38" s="1"/>
      <c r="JUY38" s="1"/>
      <c r="JUZ38" s="223"/>
      <c r="JVA38" s="222"/>
      <c r="JVB38" s="1"/>
      <c r="JVC38" s="301"/>
      <c r="JVD38" s="214"/>
      <c r="JVE38" s="5"/>
      <c r="JVF38" s="12"/>
      <c r="JVG38" s="5"/>
      <c r="JVH38" s="5"/>
      <c r="JVI38" s="1"/>
      <c r="JVJ38" s="1"/>
      <c r="JVK38" s="1"/>
      <c r="JVL38" s="1"/>
      <c r="JVM38" s="1"/>
      <c r="JVN38" s="178"/>
      <c r="JVO38" s="178"/>
      <c r="JVP38" s="1"/>
      <c r="JVQ38" s="2"/>
      <c r="JVR38" s="161"/>
      <c r="JVS38" s="161"/>
      <c r="JVT38" s="1"/>
      <c r="JVU38" s="213"/>
      <c r="JVV38" s="1"/>
      <c r="JVW38" s="1"/>
      <c r="JVX38" s="1"/>
      <c r="JVY38" s="1"/>
      <c r="JVZ38" s="223"/>
      <c r="JWA38" s="222"/>
      <c r="JWB38" s="1"/>
      <c r="JWC38" s="301"/>
      <c r="JWD38" s="214"/>
      <c r="JWE38" s="5"/>
      <c r="JWF38" s="12"/>
      <c r="JWG38" s="5"/>
      <c r="JWH38" s="5"/>
      <c r="JWI38" s="1"/>
      <c r="JWJ38" s="1"/>
      <c r="JWK38" s="1"/>
      <c r="JWL38" s="1"/>
      <c r="JWM38" s="1"/>
      <c r="JWN38" s="178"/>
      <c r="JWO38" s="178"/>
      <c r="JWP38" s="1"/>
      <c r="JWQ38" s="2"/>
      <c r="JWR38" s="161"/>
      <c r="JWS38" s="161"/>
      <c r="JWT38" s="1"/>
      <c r="JWU38" s="213"/>
      <c r="JWV38" s="1"/>
      <c r="JWW38" s="1"/>
      <c r="JWX38" s="1"/>
      <c r="JWY38" s="1"/>
      <c r="JWZ38" s="223"/>
      <c r="JXA38" s="222"/>
      <c r="JXB38" s="1"/>
      <c r="JXC38" s="301"/>
      <c r="JXD38" s="214"/>
      <c r="JXE38" s="5"/>
      <c r="JXF38" s="12"/>
      <c r="JXG38" s="5"/>
      <c r="JXH38" s="5"/>
      <c r="JXI38" s="1"/>
      <c r="JXJ38" s="1"/>
      <c r="JXK38" s="1"/>
      <c r="JXL38" s="1"/>
      <c r="JXM38" s="1"/>
      <c r="JXN38" s="178"/>
      <c r="JXO38" s="178"/>
      <c r="JXP38" s="1"/>
      <c r="JXQ38" s="2"/>
      <c r="JXR38" s="161"/>
      <c r="JXS38" s="161"/>
      <c r="JXT38" s="1"/>
      <c r="JXU38" s="213"/>
      <c r="JXV38" s="1"/>
      <c r="JXW38" s="1"/>
      <c r="JXX38" s="1"/>
      <c r="JXY38" s="1"/>
      <c r="JXZ38" s="223"/>
      <c r="JYA38" s="222"/>
      <c r="JYB38" s="1"/>
      <c r="JYC38" s="301"/>
      <c r="JYD38" s="214"/>
      <c r="JYE38" s="5"/>
      <c r="JYF38" s="12"/>
      <c r="JYG38" s="5"/>
      <c r="JYH38" s="5"/>
      <c r="JYI38" s="1"/>
      <c r="JYJ38" s="1"/>
      <c r="JYK38" s="1"/>
      <c r="JYL38" s="1"/>
      <c r="JYM38" s="1"/>
      <c r="JYN38" s="178"/>
      <c r="JYO38" s="178"/>
      <c r="JYP38" s="1"/>
      <c r="JYQ38" s="2"/>
      <c r="JYR38" s="161"/>
      <c r="JYS38" s="161"/>
      <c r="JYT38" s="1"/>
      <c r="JYU38" s="213"/>
      <c r="JYV38" s="1"/>
      <c r="JYW38" s="1"/>
      <c r="JYX38" s="1"/>
      <c r="JYY38" s="1"/>
      <c r="JYZ38" s="223"/>
      <c r="JZA38" s="222"/>
      <c r="JZB38" s="1"/>
      <c r="JZC38" s="301"/>
      <c r="JZD38" s="214"/>
      <c r="JZE38" s="5"/>
      <c r="JZF38" s="12"/>
      <c r="JZG38" s="5"/>
      <c r="JZH38" s="5"/>
      <c r="JZI38" s="1"/>
      <c r="JZJ38" s="1"/>
      <c r="JZK38" s="1"/>
      <c r="JZL38" s="1"/>
      <c r="JZM38" s="1"/>
      <c r="JZN38" s="178"/>
      <c r="JZO38" s="178"/>
      <c r="JZP38" s="1"/>
      <c r="JZQ38" s="2"/>
      <c r="JZR38" s="161"/>
      <c r="JZS38" s="161"/>
      <c r="JZT38" s="1"/>
      <c r="JZU38" s="213"/>
      <c r="JZV38" s="1"/>
      <c r="JZW38" s="1"/>
      <c r="JZX38" s="1"/>
      <c r="JZY38" s="1"/>
      <c r="JZZ38" s="223"/>
      <c r="KAA38" s="222"/>
      <c r="KAB38" s="1"/>
      <c r="KAC38" s="301"/>
      <c r="KAD38" s="214"/>
      <c r="KAE38" s="5"/>
      <c r="KAF38" s="12"/>
      <c r="KAG38" s="5"/>
      <c r="KAH38" s="5"/>
      <c r="KAI38" s="1"/>
      <c r="KAJ38" s="1"/>
      <c r="KAK38" s="1"/>
      <c r="KAL38" s="1"/>
      <c r="KAM38" s="1"/>
      <c r="KAN38" s="178"/>
      <c r="KAO38" s="178"/>
      <c r="KAP38" s="1"/>
      <c r="KAQ38" s="2"/>
      <c r="KAR38" s="161"/>
      <c r="KAS38" s="161"/>
      <c r="KAT38" s="1"/>
      <c r="KAU38" s="213"/>
      <c r="KAV38" s="1"/>
      <c r="KAW38" s="1"/>
      <c r="KAX38" s="1"/>
      <c r="KAY38" s="1"/>
      <c r="KAZ38" s="223"/>
      <c r="KBA38" s="222"/>
      <c r="KBB38" s="1"/>
      <c r="KBC38" s="301"/>
      <c r="KBD38" s="214"/>
      <c r="KBE38" s="5"/>
      <c r="KBF38" s="12"/>
      <c r="KBG38" s="5"/>
      <c r="KBH38" s="5"/>
      <c r="KBI38" s="1"/>
      <c r="KBJ38" s="1"/>
      <c r="KBK38" s="1"/>
      <c r="KBL38" s="1"/>
      <c r="KBM38" s="1"/>
      <c r="KBN38" s="178"/>
      <c r="KBO38" s="178"/>
      <c r="KBP38" s="1"/>
      <c r="KBQ38" s="2"/>
      <c r="KBR38" s="161"/>
      <c r="KBS38" s="161"/>
      <c r="KBT38" s="1"/>
      <c r="KBU38" s="213"/>
      <c r="KBV38" s="1"/>
      <c r="KBW38" s="1"/>
      <c r="KBX38" s="1"/>
      <c r="KBY38" s="1"/>
      <c r="KBZ38" s="223"/>
      <c r="KCA38" s="222"/>
      <c r="KCB38" s="1"/>
      <c r="KCC38" s="301"/>
      <c r="KCD38" s="214"/>
      <c r="KCE38" s="5"/>
      <c r="KCF38" s="12"/>
      <c r="KCG38" s="5"/>
      <c r="KCH38" s="5"/>
      <c r="KCI38" s="1"/>
      <c r="KCJ38" s="1"/>
      <c r="KCK38" s="1"/>
      <c r="KCL38" s="1"/>
      <c r="KCM38" s="1"/>
      <c r="KCN38" s="178"/>
      <c r="KCO38" s="178"/>
      <c r="KCP38" s="1"/>
      <c r="KCQ38" s="2"/>
      <c r="KCR38" s="161"/>
      <c r="KCS38" s="161"/>
      <c r="KCT38" s="1"/>
      <c r="KCU38" s="213"/>
      <c r="KCV38" s="1"/>
      <c r="KCW38" s="1"/>
      <c r="KCX38" s="1"/>
      <c r="KCY38" s="1"/>
      <c r="KCZ38" s="223"/>
      <c r="KDA38" s="222"/>
      <c r="KDB38" s="1"/>
      <c r="KDC38" s="301"/>
      <c r="KDD38" s="214"/>
      <c r="KDE38" s="5"/>
      <c r="KDF38" s="12"/>
      <c r="KDG38" s="5"/>
      <c r="KDH38" s="5"/>
      <c r="KDI38" s="1"/>
      <c r="KDJ38" s="1"/>
      <c r="KDK38" s="1"/>
      <c r="KDL38" s="1"/>
      <c r="KDM38" s="1"/>
      <c r="KDN38" s="178"/>
      <c r="KDO38" s="178"/>
      <c r="KDP38" s="1"/>
      <c r="KDQ38" s="2"/>
      <c r="KDR38" s="161"/>
      <c r="KDS38" s="161"/>
      <c r="KDT38" s="1"/>
      <c r="KDU38" s="213"/>
      <c r="KDV38" s="1"/>
      <c r="KDW38" s="1"/>
      <c r="KDX38" s="1"/>
      <c r="KDY38" s="1"/>
      <c r="KDZ38" s="223"/>
      <c r="KEA38" s="222"/>
      <c r="KEB38" s="1"/>
      <c r="KEC38" s="301"/>
      <c r="KED38" s="214"/>
      <c r="KEE38" s="5"/>
      <c r="KEF38" s="12"/>
      <c r="KEG38" s="5"/>
      <c r="KEH38" s="5"/>
      <c r="KEI38" s="1"/>
      <c r="KEJ38" s="1"/>
      <c r="KEK38" s="1"/>
      <c r="KEL38" s="1"/>
      <c r="KEM38" s="1"/>
      <c r="KEN38" s="178"/>
      <c r="KEO38" s="178"/>
      <c r="KEP38" s="1"/>
      <c r="KEQ38" s="2"/>
      <c r="KER38" s="161"/>
      <c r="KES38" s="161"/>
      <c r="KET38" s="1"/>
      <c r="KEU38" s="213"/>
      <c r="KEV38" s="1"/>
      <c r="KEW38" s="1"/>
      <c r="KEX38" s="1"/>
      <c r="KEY38" s="1"/>
      <c r="KEZ38" s="223"/>
      <c r="KFA38" s="222"/>
      <c r="KFB38" s="1"/>
      <c r="KFC38" s="301"/>
      <c r="KFD38" s="214"/>
      <c r="KFE38" s="5"/>
      <c r="KFF38" s="12"/>
      <c r="KFG38" s="5"/>
      <c r="KFH38" s="5"/>
      <c r="KFI38" s="1"/>
      <c r="KFJ38" s="1"/>
      <c r="KFK38" s="1"/>
      <c r="KFL38" s="1"/>
      <c r="KFM38" s="1"/>
      <c r="KFN38" s="178"/>
      <c r="KFO38" s="178"/>
      <c r="KFP38" s="1"/>
      <c r="KFQ38" s="2"/>
      <c r="KFR38" s="161"/>
      <c r="KFS38" s="161"/>
      <c r="KFT38" s="1"/>
      <c r="KFU38" s="213"/>
      <c r="KFV38" s="1"/>
      <c r="KFW38" s="1"/>
      <c r="KFX38" s="1"/>
      <c r="KFY38" s="1"/>
      <c r="KFZ38" s="223"/>
      <c r="KGA38" s="222"/>
      <c r="KGB38" s="1"/>
      <c r="KGC38" s="301"/>
      <c r="KGD38" s="214"/>
      <c r="KGE38" s="5"/>
      <c r="KGF38" s="12"/>
      <c r="KGG38" s="5"/>
      <c r="KGH38" s="5"/>
      <c r="KGI38" s="1"/>
      <c r="KGJ38" s="1"/>
      <c r="KGK38" s="1"/>
      <c r="KGL38" s="1"/>
      <c r="KGM38" s="1"/>
      <c r="KGN38" s="178"/>
      <c r="KGO38" s="178"/>
      <c r="KGP38" s="1"/>
      <c r="KGQ38" s="2"/>
      <c r="KGR38" s="161"/>
      <c r="KGS38" s="161"/>
      <c r="KGT38" s="1"/>
      <c r="KGU38" s="213"/>
      <c r="KGV38" s="1"/>
      <c r="KGW38" s="1"/>
      <c r="KGX38" s="1"/>
      <c r="KGY38" s="1"/>
      <c r="KGZ38" s="223"/>
      <c r="KHA38" s="222"/>
      <c r="KHB38" s="1"/>
      <c r="KHC38" s="301"/>
      <c r="KHD38" s="214"/>
      <c r="KHE38" s="5"/>
      <c r="KHF38" s="12"/>
      <c r="KHG38" s="5"/>
      <c r="KHH38" s="5"/>
      <c r="KHI38" s="1"/>
      <c r="KHJ38" s="1"/>
      <c r="KHK38" s="1"/>
      <c r="KHL38" s="1"/>
      <c r="KHM38" s="1"/>
      <c r="KHN38" s="178"/>
      <c r="KHO38" s="178"/>
      <c r="KHP38" s="1"/>
      <c r="KHQ38" s="2"/>
      <c r="KHR38" s="161"/>
      <c r="KHS38" s="161"/>
      <c r="KHT38" s="1"/>
      <c r="KHU38" s="213"/>
      <c r="KHV38" s="1"/>
      <c r="KHW38" s="1"/>
      <c r="KHX38" s="1"/>
      <c r="KHY38" s="1"/>
      <c r="KHZ38" s="223"/>
      <c r="KIA38" s="222"/>
      <c r="KIB38" s="1"/>
      <c r="KIC38" s="301"/>
      <c r="KID38" s="214"/>
      <c r="KIE38" s="5"/>
      <c r="KIF38" s="12"/>
      <c r="KIG38" s="5"/>
      <c r="KIH38" s="5"/>
      <c r="KII38" s="1"/>
      <c r="KIJ38" s="1"/>
      <c r="KIK38" s="1"/>
      <c r="KIL38" s="1"/>
      <c r="KIM38" s="1"/>
      <c r="KIN38" s="178"/>
      <c r="KIO38" s="178"/>
      <c r="KIP38" s="1"/>
      <c r="KIQ38" s="2"/>
      <c r="KIR38" s="161"/>
      <c r="KIS38" s="161"/>
      <c r="KIT38" s="1"/>
      <c r="KIU38" s="213"/>
      <c r="KIV38" s="1"/>
      <c r="KIW38" s="1"/>
      <c r="KIX38" s="1"/>
      <c r="KIY38" s="1"/>
      <c r="KIZ38" s="223"/>
      <c r="KJA38" s="222"/>
      <c r="KJB38" s="1"/>
      <c r="KJC38" s="301"/>
      <c r="KJD38" s="214"/>
      <c r="KJE38" s="5"/>
      <c r="KJF38" s="12"/>
      <c r="KJG38" s="5"/>
      <c r="KJH38" s="5"/>
      <c r="KJI38" s="1"/>
      <c r="KJJ38" s="1"/>
      <c r="KJK38" s="1"/>
      <c r="KJL38" s="1"/>
      <c r="KJM38" s="1"/>
      <c r="KJN38" s="178"/>
      <c r="KJO38" s="178"/>
      <c r="KJP38" s="1"/>
      <c r="KJQ38" s="2"/>
      <c r="KJR38" s="161"/>
      <c r="KJS38" s="161"/>
      <c r="KJT38" s="1"/>
      <c r="KJU38" s="213"/>
      <c r="KJV38" s="1"/>
      <c r="KJW38" s="1"/>
      <c r="KJX38" s="1"/>
      <c r="KJY38" s="1"/>
      <c r="KJZ38" s="223"/>
      <c r="KKA38" s="222"/>
      <c r="KKB38" s="1"/>
      <c r="KKC38" s="301"/>
      <c r="KKD38" s="214"/>
      <c r="KKE38" s="5"/>
      <c r="KKF38" s="12"/>
      <c r="KKG38" s="5"/>
      <c r="KKH38" s="5"/>
      <c r="KKI38" s="1"/>
      <c r="KKJ38" s="1"/>
      <c r="KKK38" s="1"/>
      <c r="KKL38" s="1"/>
      <c r="KKM38" s="1"/>
      <c r="KKN38" s="178"/>
      <c r="KKO38" s="178"/>
      <c r="KKP38" s="1"/>
      <c r="KKQ38" s="2"/>
      <c r="KKR38" s="161"/>
      <c r="KKS38" s="161"/>
      <c r="KKT38" s="1"/>
      <c r="KKU38" s="213"/>
      <c r="KKV38" s="1"/>
      <c r="KKW38" s="1"/>
      <c r="KKX38" s="1"/>
      <c r="KKY38" s="1"/>
      <c r="KKZ38" s="223"/>
      <c r="KLA38" s="222"/>
      <c r="KLB38" s="1"/>
      <c r="KLC38" s="301"/>
      <c r="KLD38" s="214"/>
      <c r="KLE38" s="5"/>
      <c r="KLF38" s="12"/>
      <c r="KLG38" s="5"/>
      <c r="KLH38" s="5"/>
      <c r="KLI38" s="1"/>
      <c r="KLJ38" s="1"/>
      <c r="KLK38" s="1"/>
      <c r="KLL38" s="1"/>
      <c r="KLM38" s="1"/>
      <c r="KLN38" s="178"/>
      <c r="KLO38" s="178"/>
      <c r="KLP38" s="1"/>
      <c r="KLQ38" s="2"/>
      <c r="KLR38" s="161"/>
      <c r="KLS38" s="161"/>
      <c r="KLT38" s="1"/>
      <c r="KLU38" s="213"/>
      <c r="KLV38" s="1"/>
      <c r="KLW38" s="1"/>
      <c r="KLX38" s="1"/>
      <c r="KLY38" s="1"/>
      <c r="KLZ38" s="223"/>
      <c r="KMA38" s="222"/>
      <c r="KMB38" s="1"/>
      <c r="KMC38" s="301"/>
      <c r="KMD38" s="214"/>
      <c r="KME38" s="5"/>
      <c r="KMF38" s="12"/>
      <c r="KMG38" s="5"/>
      <c r="KMH38" s="5"/>
      <c r="KMI38" s="1"/>
      <c r="KMJ38" s="1"/>
      <c r="KMK38" s="1"/>
      <c r="KML38" s="1"/>
      <c r="KMM38" s="1"/>
      <c r="KMN38" s="178"/>
      <c r="KMO38" s="178"/>
      <c r="KMP38" s="1"/>
      <c r="KMQ38" s="2"/>
      <c r="KMR38" s="161"/>
      <c r="KMS38" s="161"/>
      <c r="KMT38" s="1"/>
      <c r="KMU38" s="213"/>
      <c r="KMV38" s="1"/>
      <c r="KMW38" s="1"/>
      <c r="KMX38" s="1"/>
      <c r="KMY38" s="1"/>
      <c r="KMZ38" s="223"/>
      <c r="KNA38" s="222"/>
      <c r="KNB38" s="1"/>
      <c r="KNC38" s="301"/>
      <c r="KND38" s="214"/>
      <c r="KNE38" s="5"/>
      <c r="KNF38" s="12"/>
      <c r="KNG38" s="5"/>
      <c r="KNH38" s="5"/>
      <c r="KNI38" s="1"/>
      <c r="KNJ38" s="1"/>
      <c r="KNK38" s="1"/>
      <c r="KNL38" s="1"/>
      <c r="KNM38" s="1"/>
      <c r="KNN38" s="178"/>
      <c r="KNO38" s="178"/>
      <c r="KNP38" s="1"/>
      <c r="KNQ38" s="2"/>
      <c r="KNR38" s="161"/>
      <c r="KNS38" s="161"/>
      <c r="KNT38" s="1"/>
      <c r="KNU38" s="213"/>
      <c r="KNV38" s="1"/>
      <c r="KNW38" s="1"/>
      <c r="KNX38" s="1"/>
      <c r="KNY38" s="1"/>
      <c r="KNZ38" s="223"/>
      <c r="KOA38" s="222"/>
      <c r="KOB38" s="1"/>
      <c r="KOC38" s="301"/>
      <c r="KOD38" s="214"/>
      <c r="KOE38" s="5"/>
      <c r="KOF38" s="12"/>
      <c r="KOG38" s="5"/>
      <c r="KOH38" s="5"/>
      <c r="KOI38" s="1"/>
      <c r="KOJ38" s="1"/>
      <c r="KOK38" s="1"/>
      <c r="KOL38" s="1"/>
      <c r="KOM38" s="1"/>
      <c r="KON38" s="178"/>
      <c r="KOO38" s="178"/>
      <c r="KOP38" s="1"/>
      <c r="KOQ38" s="2"/>
      <c r="KOR38" s="161"/>
      <c r="KOS38" s="161"/>
      <c r="KOT38" s="1"/>
      <c r="KOU38" s="213"/>
      <c r="KOV38" s="1"/>
      <c r="KOW38" s="1"/>
      <c r="KOX38" s="1"/>
      <c r="KOY38" s="1"/>
      <c r="KOZ38" s="223"/>
      <c r="KPA38" s="222"/>
      <c r="KPB38" s="1"/>
      <c r="KPC38" s="301"/>
      <c r="KPD38" s="214"/>
      <c r="KPE38" s="5"/>
      <c r="KPF38" s="12"/>
      <c r="KPG38" s="5"/>
      <c r="KPH38" s="5"/>
      <c r="KPI38" s="1"/>
      <c r="KPJ38" s="1"/>
      <c r="KPK38" s="1"/>
      <c r="KPL38" s="1"/>
      <c r="KPM38" s="1"/>
      <c r="KPN38" s="178"/>
      <c r="KPO38" s="178"/>
      <c r="KPP38" s="1"/>
      <c r="KPQ38" s="2"/>
      <c r="KPR38" s="161"/>
      <c r="KPS38" s="161"/>
      <c r="KPT38" s="1"/>
      <c r="KPU38" s="213"/>
      <c r="KPV38" s="1"/>
      <c r="KPW38" s="1"/>
      <c r="KPX38" s="1"/>
      <c r="KPY38" s="1"/>
      <c r="KPZ38" s="223"/>
      <c r="KQA38" s="222"/>
      <c r="KQB38" s="1"/>
      <c r="KQC38" s="301"/>
      <c r="KQD38" s="214"/>
      <c r="KQE38" s="5"/>
      <c r="KQF38" s="12"/>
      <c r="KQG38" s="5"/>
      <c r="KQH38" s="5"/>
      <c r="KQI38" s="1"/>
      <c r="KQJ38" s="1"/>
      <c r="KQK38" s="1"/>
      <c r="KQL38" s="1"/>
      <c r="KQM38" s="1"/>
      <c r="KQN38" s="178"/>
      <c r="KQO38" s="178"/>
      <c r="KQP38" s="1"/>
      <c r="KQQ38" s="2"/>
      <c r="KQR38" s="161"/>
      <c r="KQS38" s="161"/>
      <c r="KQT38" s="1"/>
      <c r="KQU38" s="213"/>
      <c r="KQV38" s="1"/>
      <c r="KQW38" s="1"/>
      <c r="KQX38" s="1"/>
      <c r="KQY38" s="1"/>
      <c r="KQZ38" s="223"/>
      <c r="KRA38" s="222"/>
      <c r="KRB38" s="1"/>
      <c r="KRC38" s="301"/>
      <c r="KRD38" s="214"/>
      <c r="KRE38" s="5"/>
      <c r="KRF38" s="12"/>
      <c r="KRG38" s="5"/>
      <c r="KRH38" s="5"/>
      <c r="KRI38" s="1"/>
      <c r="KRJ38" s="1"/>
      <c r="KRK38" s="1"/>
      <c r="KRL38" s="1"/>
      <c r="KRM38" s="1"/>
      <c r="KRN38" s="178"/>
      <c r="KRO38" s="178"/>
      <c r="KRP38" s="1"/>
      <c r="KRQ38" s="2"/>
      <c r="KRR38" s="161"/>
      <c r="KRS38" s="161"/>
      <c r="KRT38" s="1"/>
      <c r="KRU38" s="213"/>
      <c r="KRV38" s="1"/>
      <c r="KRW38" s="1"/>
      <c r="KRX38" s="1"/>
      <c r="KRY38" s="1"/>
      <c r="KRZ38" s="223"/>
      <c r="KSA38" s="222"/>
      <c r="KSB38" s="1"/>
      <c r="KSC38" s="301"/>
      <c r="KSD38" s="214"/>
      <c r="KSE38" s="5"/>
      <c r="KSF38" s="12"/>
      <c r="KSG38" s="5"/>
      <c r="KSH38" s="5"/>
      <c r="KSI38" s="1"/>
      <c r="KSJ38" s="1"/>
      <c r="KSK38" s="1"/>
      <c r="KSL38" s="1"/>
      <c r="KSM38" s="1"/>
      <c r="KSN38" s="178"/>
      <c r="KSO38" s="178"/>
      <c r="KSP38" s="1"/>
      <c r="KSQ38" s="2"/>
      <c r="KSR38" s="161"/>
      <c r="KSS38" s="161"/>
      <c r="KST38" s="1"/>
      <c r="KSU38" s="213"/>
      <c r="KSV38" s="1"/>
      <c r="KSW38" s="1"/>
      <c r="KSX38" s="1"/>
      <c r="KSY38" s="1"/>
      <c r="KSZ38" s="223"/>
      <c r="KTA38" s="222"/>
      <c r="KTB38" s="1"/>
      <c r="KTC38" s="301"/>
      <c r="KTD38" s="214"/>
      <c r="KTE38" s="5"/>
      <c r="KTF38" s="12"/>
      <c r="KTG38" s="5"/>
      <c r="KTH38" s="5"/>
      <c r="KTI38" s="1"/>
      <c r="KTJ38" s="1"/>
      <c r="KTK38" s="1"/>
      <c r="KTL38" s="1"/>
      <c r="KTM38" s="1"/>
      <c r="KTN38" s="178"/>
      <c r="KTO38" s="178"/>
      <c r="KTP38" s="1"/>
      <c r="KTQ38" s="2"/>
      <c r="KTR38" s="161"/>
      <c r="KTS38" s="161"/>
      <c r="KTT38" s="1"/>
      <c r="KTU38" s="213"/>
      <c r="KTV38" s="1"/>
      <c r="KTW38" s="1"/>
      <c r="KTX38" s="1"/>
      <c r="KTY38" s="1"/>
      <c r="KTZ38" s="223"/>
      <c r="KUA38" s="222"/>
      <c r="KUB38" s="1"/>
      <c r="KUC38" s="301"/>
      <c r="KUD38" s="214"/>
      <c r="KUE38" s="5"/>
      <c r="KUF38" s="12"/>
      <c r="KUG38" s="5"/>
      <c r="KUH38" s="5"/>
      <c r="KUI38" s="1"/>
      <c r="KUJ38" s="1"/>
      <c r="KUK38" s="1"/>
      <c r="KUL38" s="1"/>
      <c r="KUM38" s="1"/>
      <c r="KUN38" s="178"/>
      <c r="KUO38" s="178"/>
      <c r="KUP38" s="1"/>
      <c r="KUQ38" s="2"/>
      <c r="KUR38" s="161"/>
      <c r="KUS38" s="161"/>
      <c r="KUT38" s="1"/>
      <c r="KUU38" s="213"/>
      <c r="KUV38" s="1"/>
      <c r="KUW38" s="1"/>
      <c r="KUX38" s="1"/>
      <c r="KUY38" s="1"/>
      <c r="KUZ38" s="223"/>
      <c r="KVA38" s="222"/>
      <c r="KVB38" s="1"/>
      <c r="KVC38" s="301"/>
      <c r="KVD38" s="214"/>
      <c r="KVE38" s="5"/>
      <c r="KVF38" s="12"/>
      <c r="KVG38" s="5"/>
      <c r="KVH38" s="5"/>
      <c r="KVI38" s="1"/>
      <c r="KVJ38" s="1"/>
      <c r="KVK38" s="1"/>
      <c r="KVL38" s="1"/>
      <c r="KVM38" s="1"/>
      <c r="KVN38" s="178"/>
      <c r="KVO38" s="178"/>
      <c r="KVP38" s="1"/>
      <c r="KVQ38" s="2"/>
      <c r="KVR38" s="161"/>
      <c r="KVS38" s="161"/>
      <c r="KVT38" s="1"/>
      <c r="KVU38" s="213"/>
      <c r="KVV38" s="1"/>
      <c r="KVW38" s="1"/>
      <c r="KVX38" s="1"/>
      <c r="KVY38" s="1"/>
      <c r="KVZ38" s="223"/>
      <c r="KWA38" s="222"/>
      <c r="KWB38" s="1"/>
      <c r="KWC38" s="301"/>
      <c r="KWD38" s="214"/>
      <c r="KWE38" s="5"/>
      <c r="KWF38" s="12"/>
      <c r="KWG38" s="5"/>
      <c r="KWH38" s="5"/>
      <c r="KWI38" s="1"/>
      <c r="KWJ38" s="1"/>
      <c r="KWK38" s="1"/>
      <c r="KWL38" s="1"/>
      <c r="KWM38" s="1"/>
      <c r="KWN38" s="178"/>
      <c r="KWO38" s="178"/>
      <c r="KWP38" s="1"/>
      <c r="KWQ38" s="2"/>
      <c r="KWR38" s="161"/>
      <c r="KWS38" s="161"/>
      <c r="KWT38" s="1"/>
      <c r="KWU38" s="213"/>
      <c r="KWV38" s="1"/>
      <c r="KWW38" s="1"/>
      <c r="KWX38" s="1"/>
      <c r="KWY38" s="1"/>
      <c r="KWZ38" s="223"/>
      <c r="KXA38" s="222"/>
      <c r="KXB38" s="1"/>
      <c r="KXC38" s="301"/>
      <c r="KXD38" s="214"/>
      <c r="KXE38" s="5"/>
      <c r="KXF38" s="12"/>
      <c r="KXG38" s="5"/>
      <c r="KXH38" s="5"/>
      <c r="KXI38" s="1"/>
      <c r="KXJ38" s="1"/>
      <c r="KXK38" s="1"/>
      <c r="KXL38" s="1"/>
      <c r="KXM38" s="1"/>
      <c r="KXN38" s="178"/>
      <c r="KXO38" s="178"/>
      <c r="KXP38" s="1"/>
      <c r="KXQ38" s="2"/>
      <c r="KXR38" s="161"/>
      <c r="KXS38" s="161"/>
      <c r="KXT38" s="1"/>
      <c r="KXU38" s="213"/>
      <c r="KXV38" s="1"/>
      <c r="KXW38" s="1"/>
      <c r="KXX38" s="1"/>
      <c r="KXY38" s="1"/>
      <c r="KXZ38" s="223"/>
      <c r="KYA38" s="222"/>
      <c r="KYB38" s="1"/>
      <c r="KYC38" s="301"/>
      <c r="KYD38" s="214"/>
      <c r="KYE38" s="5"/>
      <c r="KYF38" s="12"/>
      <c r="KYG38" s="5"/>
      <c r="KYH38" s="5"/>
      <c r="KYI38" s="1"/>
      <c r="KYJ38" s="1"/>
      <c r="KYK38" s="1"/>
      <c r="KYL38" s="1"/>
      <c r="KYM38" s="1"/>
      <c r="KYN38" s="178"/>
      <c r="KYO38" s="178"/>
      <c r="KYP38" s="1"/>
      <c r="KYQ38" s="2"/>
      <c r="KYR38" s="161"/>
      <c r="KYS38" s="161"/>
      <c r="KYT38" s="1"/>
      <c r="KYU38" s="213"/>
      <c r="KYV38" s="1"/>
      <c r="KYW38" s="1"/>
      <c r="KYX38" s="1"/>
      <c r="KYY38" s="1"/>
      <c r="KYZ38" s="223"/>
      <c r="KZA38" s="222"/>
      <c r="KZB38" s="1"/>
      <c r="KZC38" s="301"/>
      <c r="KZD38" s="214"/>
      <c r="KZE38" s="5"/>
      <c r="KZF38" s="12"/>
      <c r="KZG38" s="5"/>
      <c r="KZH38" s="5"/>
      <c r="KZI38" s="1"/>
      <c r="KZJ38" s="1"/>
      <c r="KZK38" s="1"/>
      <c r="KZL38" s="1"/>
      <c r="KZM38" s="1"/>
      <c r="KZN38" s="178"/>
      <c r="KZO38" s="178"/>
      <c r="KZP38" s="1"/>
      <c r="KZQ38" s="2"/>
      <c r="KZR38" s="161"/>
      <c r="KZS38" s="161"/>
      <c r="KZT38" s="1"/>
      <c r="KZU38" s="213"/>
      <c r="KZV38" s="1"/>
      <c r="KZW38" s="1"/>
      <c r="KZX38" s="1"/>
      <c r="KZY38" s="1"/>
      <c r="KZZ38" s="223"/>
      <c r="LAA38" s="222"/>
      <c r="LAB38" s="1"/>
      <c r="LAC38" s="301"/>
      <c r="LAD38" s="214"/>
      <c r="LAE38" s="5"/>
      <c r="LAF38" s="12"/>
      <c r="LAG38" s="5"/>
      <c r="LAH38" s="5"/>
      <c r="LAI38" s="1"/>
      <c r="LAJ38" s="1"/>
      <c r="LAK38" s="1"/>
      <c r="LAL38" s="1"/>
      <c r="LAM38" s="1"/>
      <c r="LAN38" s="178"/>
      <c r="LAO38" s="178"/>
      <c r="LAP38" s="1"/>
      <c r="LAQ38" s="2"/>
      <c r="LAR38" s="161"/>
      <c r="LAS38" s="161"/>
      <c r="LAT38" s="1"/>
      <c r="LAU38" s="213"/>
      <c r="LAV38" s="1"/>
      <c r="LAW38" s="1"/>
      <c r="LAX38" s="1"/>
      <c r="LAY38" s="1"/>
      <c r="LAZ38" s="223"/>
      <c r="LBA38" s="222"/>
      <c r="LBB38" s="1"/>
      <c r="LBC38" s="301"/>
      <c r="LBD38" s="214"/>
      <c r="LBE38" s="5"/>
      <c r="LBF38" s="12"/>
      <c r="LBG38" s="5"/>
      <c r="LBH38" s="5"/>
      <c r="LBI38" s="1"/>
      <c r="LBJ38" s="1"/>
      <c r="LBK38" s="1"/>
      <c r="LBL38" s="1"/>
      <c r="LBM38" s="1"/>
      <c r="LBN38" s="178"/>
      <c r="LBO38" s="178"/>
      <c r="LBP38" s="1"/>
      <c r="LBQ38" s="2"/>
      <c r="LBR38" s="161"/>
      <c r="LBS38" s="161"/>
      <c r="LBT38" s="1"/>
      <c r="LBU38" s="213"/>
      <c r="LBV38" s="1"/>
      <c r="LBW38" s="1"/>
      <c r="LBX38" s="1"/>
      <c r="LBY38" s="1"/>
      <c r="LBZ38" s="223"/>
      <c r="LCA38" s="222"/>
      <c r="LCB38" s="1"/>
      <c r="LCC38" s="301"/>
      <c r="LCD38" s="214"/>
      <c r="LCE38" s="5"/>
      <c r="LCF38" s="12"/>
      <c r="LCG38" s="5"/>
      <c r="LCH38" s="5"/>
      <c r="LCI38" s="1"/>
      <c r="LCJ38" s="1"/>
      <c r="LCK38" s="1"/>
      <c r="LCL38" s="1"/>
      <c r="LCM38" s="1"/>
      <c r="LCN38" s="178"/>
      <c r="LCO38" s="178"/>
      <c r="LCP38" s="1"/>
      <c r="LCQ38" s="2"/>
      <c r="LCR38" s="161"/>
      <c r="LCS38" s="161"/>
      <c r="LCT38" s="1"/>
      <c r="LCU38" s="213"/>
      <c r="LCV38" s="1"/>
      <c r="LCW38" s="1"/>
      <c r="LCX38" s="1"/>
      <c r="LCY38" s="1"/>
      <c r="LCZ38" s="223"/>
      <c r="LDA38" s="222"/>
      <c r="LDB38" s="1"/>
      <c r="LDC38" s="301"/>
      <c r="LDD38" s="214"/>
      <c r="LDE38" s="5"/>
      <c r="LDF38" s="12"/>
      <c r="LDG38" s="5"/>
      <c r="LDH38" s="5"/>
      <c r="LDI38" s="1"/>
      <c r="LDJ38" s="1"/>
      <c r="LDK38" s="1"/>
      <c r="LDL38" s="1"/>
      <c r="LDM38" s="1"/>
      <c r="LDN38" s="178"/>
      <c r="LDO38" s="178"/>
      <c r="LDP38" s="1"/>
      <c r="LDQ38" s="2"/>
      <c r="LDR38" s="161"/>
      <c r="LDS38" s="161"/>
      <c r="LDT38" s="1"/>
      <c r="LDU38" s="213"/>
      <c r="LDV38" s="1"/>
      <c r="LDW38" s="1"/>
      <c r="LDX38" s="1"/>
      <c r="LDY38" s="1"/>
      <c r="LDZ38" s="223"/>
      <c r="LEA38" s="222"/>
      <c r="LEB38" s="1"/>
      <c r="LEC38" s="301"/>
      <c r="LED38" s="214"/>
      <c r="LEE38" s="5"/>
      <c r="LEF38" s="12"/>
      <c r="LEG38" s="5"/>
      <c r="LEH38" s="5"/>
      <c r="LEI38" s="1"/>
      <c r="LEJ38" s="1"/>
      <c r="LEK38" s="1"/>
      <c r="LEL38" s="1"/>
      <c r="LEM38" s="1"/>
      <c r="LEN38" s="178"/>
      <c r="LEO38" s="178"/>
      <c r="LEP38" s="1"/>
      <c r="LEQ38" s="2"/>
      <c r="LER38" s="161"/>
      <c r="LES38" s="161"/>
      <c r="LET38" s="1"/>
      <c r="LEU38" s="213"/>
      <c r="LEV38" s="1"/>
      <c r="LEW38" s="1"/>
      <c r="LEX38" s="1"/>
      <c r="LEY38" s="1"/>
      <c r="LEZ38" s="223"/>
      <c r="LFA38" s="222"/>
      <c r="LFB38" s="1"/>
      <c r="LFC38" s="301"/>
      <c r="LFD38" s="214"/>
      <c r="LFE38" s="5"/>
      <c r="LFF38" s="12"/>
      <c r="LFG38" s="5"/>
      <c r="LFH38" s="5"/>
      <c r="LFI38" s="1"/>
      <c r="LFJ38" s="1"/>
      <c r="LFK38" s="1"/>
      <c r="LFL38" s="1"/>
      <c r="LFM38" s="1"/>
      <c r="LFN38" s="178"/>
      <c r="LFO38" s="178"/>
      <c r="LFP38" s="1"/>
      <c r="LFQ38" s="2"/>
      <c r="LFR38" s="161"/>
      <c r="LFS38" s="161"/>
      <c r="LFT38" s="1"/>
      <c r="LFU38" s="213"/>
      <c r="LFV38" s="1"/>
      <c r="LFW38" s="1"/>
      <c r="LFX38" s="1"/>
      <c r="LFY38" s="1"/>
      <c r="LFZ38" s="223"/>
      <c r="LGA38" s="222"/>
      <c r="LGB38" s="1"/>
      <c r="LGC38" s="301"/>
      <c r="LGD38" s="214"/>
      <c r="LGE38" s="5"/>
      <c r="LGF38" s="12"/>
      <c r="LGG38" s="5"/>
      <c r="LGH38" s="5"/>
      <c r="LGI38" s="1"/>
      <c r="LGJ38" s="1"/>
      <c r="LGK38" s="1"/>
      <c r="LGL38" s="1"/>
      <c r="LGM38" s="1"/>
      <c r="LGN38" s="178"/>
      <c r="LGO38" s="178"/>
      <c r="LGP38" s="1"/>
      <c r="LGQ38" s="2"/>
      <c r="LGR38" s="161"/>
      <c r="LGS38" s="161"/>
      <c r="LGT38" s="1"/>
      <c r="LGU38" s="213"/>
      <c r="LGV38" s="1"/>
      <c r="LGW38" s="1"/>
      <c r="LGX38" s="1"/>
      <c r="LGY38" s="1"/>
      <c r="LGZ38" s="223"/>
      <c r="LHA38" s="222"/>
      <c r="LHB38" s="1"/>
      <c r="LHC38" s="301"/>
      <c r="LHD38" s="214"/>
      <c r="LHE38" s="5"/>
      <c r="LHF38" s="12"/>
      <c r="LHG38" s="5"/>
      <c r="LHH38" s="5"/>
      <c r="LHI38" s="1"/>
      <c r="LHJ38" s="1"/>
      <c r="LHK38" s="1"/>
      <c r="LHL38" s="1"/>
      <c r="LHM38" s="1"/>
      <c r="LHN38" s="178"/>
      <c r="LHO38" s="178"/>
      <c r="LHP38" s="1"/>
      <c r="LHQ38" s="2"/>
      <c r="LHR38" s="161"/>
      <c r="LHS38" s="161"/>
      <c r="LHT38" s="1"/>
      <c r="LHU38" s="213"/>
      <c r="LHV38" s="1"/>
      <c r="LHW38" s="1"/>
      <c r="LHX38" s="1"/>
      <c r="LHY38" s="1"/>
      <c r="LHZ38" s="223"/>
      <c r="LIA38" s="222"/>
      <c r="LIB38" s="1"/>
      <c r="LIC38" s="301"/>
      <c r="LID38" s="214"/>
      <c r="LIE38" s="5"/>
      <c r="LIF38" s="12"/>
      <c r="LIG38" s="5"/>
      <c r="LIH38" s="5"/>
      <c r="LII38" s="1"/>
      <c r="LIJ38" s="1"/>
      <c r="LIK38" s="1"/>
      <c r="LIL38" s="1"/>
      <c r="LIM38" s="1"/>
      <c r="LIN38" s="178"/>
      <c r="LIO38" s="178"/>
      <c r="LIP38" s="1"/>
      <c r="LIQ38" s="2"/>
      <c r="LIR38" s="161"/>
      <c r="LIS38" s="161"/>
      <c r="LIT38" s="1"/>
      <c r="LIU38" s="213"/>
      <c r="LIV38" s="1"/>
      <c r="LIW38" s="1"/>
      <c r="LIX38" s="1"/>
      <c r="LIY38" s="1"/>
      <c r="LIZ38" s="223"/>
      <c r="LJA38" s="222"/>
      <c r="LJB38" s="1"/>
      <c r="LJC38" s="301"/>
      <c r="LJD38" s="214"/>
      <c r="LJE38" s="5"/>
      <c r="LJF38" s="12"/>
      <c r="LJG38" s="5"/>
      <c r="LJH38" s="5"/>
      <c r="LJI38" s="1"/>
      <c r="LJJ38" s="1"/>
      <c r="LJK38" s="1"/>
      <c r="LJL38" s="1"/>
      <c r="LJM38" s="1"/>
      <c r="LJN38" s="178"/>
      <c r="LJO38" s="178"/>
      <c r="LJP38" s="1"/>
      <c r="LJQ38" s="2"/>
      <c r="LJR38" s="161"/>
      <c r="LJS38" s="161"/>
      <c r="LJT38" s="1"/>
      <c r="LJU38" s="213"/>
      <c r="LJV38" s="1"/>
      <c r="LJW38" s="1"/>
      <c r="LJX38" s="1"/>
      <c r="LJY38" s="1"/>
      <c r="LJZ38" s="223"/>
      <c r="LKA38" s="222"/>
      <c r="LKB38" s="1"/>
      <c r="LKC38" s="301"/>
      <c r="LKD38" s="214"/>
      <c r="LKE38" s="5"/>
      <c r="LKF38" s="12"/>
      <c r="LKG38" s="5"/>
      <c r="LKH38" s="5"/>
      <c r="LKI38" s="1"/>
      <c r="LKJ38" s="1"/>
      <c r="LKK38" s="1"/>
      <c r="LKL38" s="1"/>
      <c r="LKM38" s="1"/>
      <c r="LKN38" s="178"/>
      <c r="LKO38" s="178"/>
      <c r="LKP38" s="1"/>
      <c r="LKQ38" s="2"/>
      <c r="LKR38" s="161"/>
      <c r="LKS38" s="161"/>
      <c r="LKT38" s="1"/>
      <c r="LKU38" s="213"/>
      <c r="LKV38" s="1"/>
      <c r="LKW38" s="1"/>
      <c r="LKX38" s="1"/>
      <c r="LKY38" s="1"/>
      <c r="LKZ38" s="223"/>
      <c r="LLA38" s="222"/>
      <c r="LLB38" s="1"/>
      <c r="LLC38" s="301"/>
      <c r="LLD38" s="214"/>
      <c r="LLE38" s="5"/>
      <c r="LLF38" s="12"/>
      <c r="LLG38" s="5"/>
      <c r="LLH38" s="5"/>
      <c r="LLI38" s="1"/>
      <c r="LLJ38" s="1"/>
      <c r="LLK38" s="1"/>
      <c r="LLL38" s="1"/>
      <c r="LLM38" s="1"/>
      <c r="LLN38" s="178"/>
      <c r="LLO38" s="178"/>
      <c r="LLP38" s="1"/>
      <c r="LLQ38" s="2"/>
      <c r="LLR38" s="161"/>
      <c r="LLS38" s="161"/>
      <c r="LLT38" s="1"/>
      <c r="LLU38" s="213"/>
      <c r="LLV38" s="1"/>
      <c r="LLW38" s="1"/>
      <c r="LLX38" s="1"/>
      <c r="LLY38" s="1"/>
      <c r="LLZ38" s="223"/>
      <c r="LMA38" s="222"/>
      <c r="LMB38" s="1"/>
      <c r="LMC38" s="301"/>
      <c r="LMD38" s="214"/>
      <c r="LME38" s="5"/>
      <c r="LMF38" s="12"/>
      <c r="LMG38" s="5"/>
      <c r="LMH38" s="5"/>
      <c r="LMI38" s="1"/>
      <c r="LMJ38" s="1"/>
      <c r="LMK38" s="1"/>
      <c r="LML38" s="1"/>
      <c r="LMM38" s="1"/>
      <c r="LMN38" s="178"/>
      <c r="LMO38" s="178"/>
      <c r="LMP38" s="1"/>
      <c r="LMQ38" s="2"/>
      <c r="LMR38" s="161"/>
      <c r="LMS38" s="161"/>
      <c r="LMT38" s="1"/>
      <c r="LMU38" s="213"/>
      <c r="LMV38" s="1"/>
      <c r="LMW38" s="1"/>
      <c r="LMX38" s="1"/>
      <c r="LMY38" s="1"/>
      <c r="LMZ38" s="223"/>
      <c r="LNA38" s="222"/>
      <c r="LNB38" s="1"/>
      <c r="LNC38" s="301"/>
      <c r="LND38" s="214"/>
      <c r="LNE38" s="5"/>
      <c r="LNF38" s="12"/>
      <c r="LNG38" s="5"/>
      <c r="LNH38" s="5"/>
      <c r="LNI38" s="1"/>
      <c r="LNJ38" s="1"/>
      <c r="LNK38" s="1"/>
      <c r="LNL38" s="1"/>
      <c r="LNM38" s="1"/>
      <c r="LNN38" s="178"/>
      <c r="LNO38" s="178"/>
      <c r="LNP38" s="1"/>
      <c r="LNQ38" s="2"/>
      <c r="LNR38" s="161"/>
      <c r="LNS38" s="161"/>
      <c r="LNT38" s="1"/>
      <c r="LNU38" s="213"/>
      <c r="LNV38" s="1"/>
      <c r="LNW38" s="1"/>
      <c r="LNX38" s="1"/>
      <c r="LNY38" s="1"/>
      <c r="LNZ38" s="223"/>
      <c r="LOA38" s="222"/>
      <c r="LOB38" s="1"/>
      <c r="LOC38" s="301"/>
      <c r="LOD38" s="214"/>
      <c r="LOE38" s="5"/>
      <c r="LOF38" s="12"/>
      <c r="LOG38" s="5"/>
      <c r="LOH38" s="5"/>
      <c r="LOI38" s="1"/>
      <c r="LOJ38" s="1"/>
      <c r="LOK38" s="1"/>
      <c r="LOL38" s="1"/>
      <c r="LOM38" s="1"/>
      <c r="LON38" s="178"/>
      <c r="LOO38" s="178"/>
      <c r="LOP38" s="1"/>
      <c r="LOQ38" s="2"/>
      <c r="LOR38" s="161"/>
      <c r="LOS38" s="161"/>
      <c r="LOT38" s="1"/>
      <c r="LOU38" s="213"/>
      <c r="LOV38" s="1"/>
      <c r="LOW38" s="1"/>
      <c r="LOX38" s="1"/>
      <c r="LOY38" s="1"/>
      <c r="LOZ38" s="223"/>
      <c r="LPA38" s="222"/>
      <c r="LPB38" s="1"/>
      <c r="LPC38" s="301"/>
      <c r="LPD38" s="214"/>
      <c r="LPE38" s="5"/>
      <c r="LPF38" s="12"/>
      <c r="LPG38" s="5"/>
      <c r="LPH38" s="5"/>
      <c r="LPI38" s="1"/>
      <c r="LPJ38" s="1"/>
      <c r="LPK38" s="1"/>
      <c r="LPL38" s="1"/>
      <c r="LPM38" s="1"/>
      <c r="LPN38" s="178"/>
      <c r="LPO38" s="178"/>
      <c r="LPP38" s="1"/>
      <c r="LPQ38" s="2"/>
      <c r="LPR38" s="161"/>
      <c r="LPS38" s="161"/>
      <c r="LPT38" s="1"/>
      <c r="LPU38" s="213"/>
      <c r="LPV38" s="1"/>
      <c r="LPW38" s="1"/>
      <c r="LPX38" s="1"/>
      <c r="LPY38" s="1"/>
      <c r="LPZ38" s="223"/>
      <c r="LQA38" s="222"/>
      <c r="LQB38" s="1"/>
      <c r="LQC38" s="301"/>
      <c r="LQD38" s="214"/>
      <c r="LQE38" s="5"/>
      <c r="LQF38" s="12"/>
      <c r="LQG38" s="5"/>
      <c r="LQH38" s="5"/>
      <c r="LQI38" s="1"/>
      <c r="LQJ38" s="1"/>
      <c r="LQK38" s="1"/>
      <c r="LQL38" s="1"/>
      <c r="LQM38" s="1"/>
      <c r="LQN38" s="178"/>
      <c r="LQO38" s="178"/>
      <c r="LQP38" s="1"/>
      <c r="LQQ38" s="2"/>
      <c r="LQR38" s="161"/>
      <c r="LQS38" s="161"/>
      <c r="LQT38" s="1"/>
      <c r="LQU38" s="213"/>
      <c r="LQV38" s="1"/>
      <c r="LQW38" s="1"/>
      <c r="LQX38" s="1"/>
      <c r="LQY38" s="1"/>
      <c r="LQZ38" s="223"/>
      <c r="LRA38" s="222"/>
      <c r="LRB38" s="1"/>
      <c r="LRC38" s="301"/>
      <c r="LRD38" s="214"/>
      <c r="LRE38" s="5"/>
      <c r="LRF38" s="12"/>
      <c r="LRG38" s="5"/>
      <c r="LRH38" s="5"/>
      <c r="LRI38" s="1"/>
      <c r="LRJ38" s="1"/>
      <c r="LRK38" s="1"/>
      <c r="LRL38" s="1"/>
      <c r="LRM38" s="1"/>
      <c r="LRN38" s="178"/>
      <c r="LRO38" s="178"/>
      <c r="LRP38" s="1"/>
      <c r="LRQ38" s="2"/>
      <c r="LRR38" s="161"/>
      <c r="LRS38" s="161"/>
      <c r="LRT38" s="1"/>
      <c r="LRU38" s="213"/>
      <c r="LRV38" s="1"/>
      <c r="LRW38" s="1"/>
      <c r="LRX38" s="1"/>
      <c r="LRY38" s="1"/>
      <c r="LRZ38" s="223"/>
      <c r="LSA38" s="222"/>
      <c r="LSB38" s="1"/>
      <c r="LSC38" s="301"/>
      <c r="LSD38" s="214"/>
      <c r="LSE38" s="5"/>
      <c r="LSF38" s="12"/>
      <c r="LSG38" s="5"/>
      <c r="LSH38" s="5"/>
      <c r="LSI38" s="1"/>
      <c r="LSJ38" s="1"/>
      <c r="LSK38" s="1"/>
      <c r="LSL38" s="1"/>
      <c r="LSM38" s="1"/>
      <c r="LSN38" s="178"/>
      <c r="LSO38" s="178"/>
      <c r="LSP38" s="1"/>
      <c r="LSQ38" s="2"/>
      <c r="LSR38" s="161"/>
      <c r="LSS38" s="161"/>
      <c r="LST38" s="1"/>
      <c r="LSU38" s="213"/>
      <c r="LSV38" s="1"/>
      <c r="LSW38" s="1"/>
      <c r="LSX38" s="1"/>
      <c r="LSY38" s="1"/>
      <c r="LSZ38" s="223"/>
      <c r="LTA38" s="222"/>
      <c r="LTB38" s="1"/>
      <c r="LTC38" s="301"/>
      <c r="LTD38" s="214"/>
      <c r="LTE38" s="5"/>
      <c r="LTF38" s="12"/>
      <c r="LTG38" s="5"/>
      <c r="LTH38" s="5"/>
      <c r="LTI38" s="1"/>
      <c r="LTJ38" s="1"/>
      <c r="LTK38" s="1"/>
      <c r="LTL38" s="1"/>
      <c r="LTM38" s="1"/>
      <c r="LTN38" s="178"/>
      <c r="LTO38" s="178"/>
      <c r="LTP38" s="1"/>
      <c r="LTQ38" s="2"/>
      <c r="LTR38" s="161"/>
      <c r="LTS38" s="161"/>
      <c r="LTT38" s="1"/>
      <c r="LTU38" s="213"/>
      <c r="LTV38" s="1"/>
      <c r="LTW38" s="1"/>
      <c r="LTX38" s="1"/>
      <c r="LTY38" s="1"/>
      <c r="LTZ38" s="223"/>
      <c r="LUA38" s="222"/>
      <c r="LUB38" s="1"/>
      <c r="LUC38" s="301"/>
      <c r="LUD38" s="214"/>
      <c r="LUE38" s="5"/>
      <c r="LUF38" s="12"/>
      <c r="LUG38" s="5"/>
      <c r="LUH38" s="5"/>
      <c r="LUI38" s="1"/>
      <c r="LUJ38" s="1"/>
      <c r="LUK38" s="1"/>
      <c r="LUL38" s="1"/>
      <c r="LUM38" s="1"/>
      <c r="LUN38" s="178"/>
      <c r="LUO38" s="178"/>
      <c r="LUP38" s="1"/>
      <c r="LUQ38" s="2"/>
      <c r="LUR38" s="161"/>
      <c r="LUS38" s="161"/>
      <c r="LUT38" s="1"/>
      <c r="LUU38" s="213"/>
      <c r="LUV38" s="1"/>
      <c r="LUW38" s="1"/>
      <c r="LUX38" s="1"/>
      <c r="LUY38" s="1"/>
      <c r="LUZ38" s="223"/>
      <c r="LVA38" s="222"/>
      <c r="LVB38" s="1"/>
      <c r="LVC38" s="301"/>
      <c r="LVD38" s="214"/>
      <c r="LVE38" s="5"/>
      <c r="LVF38" s="12"/>
      <c r="LVG38" s="5"/>
      <c r="LVH38" s="5"/>
      <c r="LVI38" s="1"/>
      <c r="LVJ38" s="1"/>
      <c r="LVK38" s="1"/>
      <c r="LVL38" s="1"/>
      <c r="LVM38" s="1"/>
      <c r="LVN38" s="178"/>
      <c r="LVO38" s="178"/>
      <c r="LVP38" s="1"/>
      <c r="LVQ38" s="2"/>
      <c r="LVR38" s="161"/>
      <c r="LVS38" s="161"/>
      <c r="LVT38" s="1"/>
      <c r="LVU38" s="213"/>
      <c r="LVV38" s="1"/>
      <c r="LVW38" s="1"/>
      <c r="LVX38" s="1"/>
      <c r="LVY38" s="1"/>
      <c r="LVZ38" s="223"/>
      <c r="LWA38" s="222"/>
      <c r="LWB38" s="1"/>
      <c r="LWC38" s="301"/>
      <c r="LWD38" s="214"/>
      <c r="LWE38" s="5"/>
      <c r="LWF38" s="12"/>
      <c r="LWG38" s="5"/>
      <c r="LWH38" s="5"/>
      <c r="LWI38" s="1"/>
      <c r="LWJ38" s="1"/>
      <c r="LWK38" s="1"/>
      <c r="LWL38" s="1"/>
      <c r="LWM38" s="1"/>
      <c r="LWN38" s="178"/>
      <c r="LWO38" s="178"/>
      <c r="LWP38" s="1"/>
      <c r="LWQ38" s="2"/>
      <c r="LWR38" s="161"/>
      <c r="LWS38" s="161"/>
      <c r="LWT38" s="1"/>
      <c r="LWU38" s="213"/>
      <c r="LWV38" s="1"/>
      <c r="LWW38" s="1"/>
      <c r="LWX38" s="1"/>
      <c r="LWY38" s="1"/>
      <c r="LWZ38" s="223"/>
      <c r="LXA38" s="222"/>
      <c r="LXB38" s="1"/>
      <c r="LXC38" s="301"/>
      <c r="LXD38" s="214"/>
      <c r="LXE38" s="5"/>
      <c r="LXF38" s="12"/>
      <c r="LXG38" s="5"/>
      <c r="LXH38" s="5"/>
      <c r="LXI38" s="1"/>
      <c r="LXJ38" s="1"/>
      <c r="LXK38" s="1"/>
      <c r="LXL38" s="1"/>
      <c r="LXM38" s="1"/>
      <c r="LXN38" s="178"/>
      <c r="LXO38" s="178"/>
      <c r="LXP38" s="1"/>
      <c r="LXQ38" s="2"/>
      <c r="LXR38" s="161"/>
      <c r="LXS38" s="161"/>
      <c r="LXT38" s="1"/>
      <c r="LXU38" s="213"/>
      <c r="LXV38" s="1"/>
      <c r="LXW38" s="1"/>
      <c r="LXX38" s="1"/>
      <c r="LXY38" s="1"/>
      <c r="LXZ38" s="223"/>
      <c r="LYA38" s="222"/>
      <c r="LYB38" s="1"/>
      <c r="LYC38" s="301"/>
      <c r="LYD38" s="214"/>
      <c r="LYE38" s="5"/>
      <c r="LYF38" s="12"/>
      <c r="LYG38" s="5"/>
      <c r="LYH38" s="5"/>
      <c r="LYI38" s="1"/>
      <c r="LYJ38" s="1"/>
      <c r="LYK38" s="1"/>
      <c r="LYL38" s="1"/>
      <c r="LYM38" s="1"/>
      <c r="LYN38" s="178"/>
      <c r="LYO38" s="178"/>
      <c r="LYP38" s="1"/>
      <c r="LYQ38" s="2"/>
      <c r="LYR38" s="161"/>
      <c r="LYS38" s="161"/>
      <c r="LYT38" s="1"/>
      <c r="LYU38" s="213"/>
      <c r="LYV38" s="1"/>
      <c r="LYW38" s="1"/>
      <c r="LYX38" s="1"/>
      <c r="LYY38" s="1"/>
      <c r="LYZ38" s="223"/>
      <c r="LZA38" s="222"/>
      <c r="LZB38" s="1"/>
      <c r="LZC38" s="301"/>
      <c r="LZD38" s="214"/>
      <c r="LZE38" s="5"/>
      <c r="LZF38" s="12"/>
      <c r="LZG38" s="5"/>
      <c r="LZH38" s="5"/>
      <c r="LZI38" s="1"/>
      <c r="LZJ38" s="1"/>
      <c r="LZK38" s="1"/>
      <c r="LZL38" s="1"/>
      <c r="LZM38" s="1"/>
      <c r="LZN38" s="178"/>
      <c r="LZO38" s="178"/>
      <c r="LZP38" s="1"/>
      <c r="LZQ38" s="2"/>
      <c r="LZR38" s="161"/>
      <c r="LZS38" s="161"/>
      <c r="LZT38" s="1"/>
      <c r="LZU38" s="213"/>
      <c r="LZV38" s="1"/>
      <c r="LZW38" s="1"/>
      <c r="LZX38" s="1"/>
      <c r="LZY38" s="1"/>
      <c r="LZZ38" s="223"/>
      <c r="MAA38" s="222"/>
      <c r="MAB38" s="1"/>
      <c r="MAC38" s="301"/>
      <c r="MAD38" s="214"/>
      <c r="MAE38" s="5"/>
      <c r="MAF38" s="12"/>
      <c r="MAG38" s="5"/>
      <c r="MAH38" s="5"/>
      <c r="MAI38" s="1"/>
      <c r="MAJ38" s="1"/>
      <c r="MAK38" s="1"/>
      <c r="MAL38" s="1"/>
      <c r="MAM38" s="1"/>
      <c r="MAN38" s="178"/>
      <c r="MAO38" s="178"/>
      <c r="MAP38" s="1"/>
      <c r="MAQ38" s="2"/>
      <c r="MAR38" s="161"/>
      <c r="MAS38" s="161"/>
      <c r="MAT38" s="1"/>
      <c r="MAU38" s="213"/>
      <c r="MAV38" s="1"/>
      <c r="MAW38" s="1"/>
      <c r="MAX38" s="1"/>
      <c r="MAY38" s="1"/>
      <c r="MAZ38" s="223"/>
      <c r="MBA38" s="222"/>
      <c r="MBB38" s="1"/>
      <c r="MBC38" s="301"/>
      <c r="MBD38" s="214"/>
      <c r="MBE38" s="5"/>
      <c r="MBF38" s="12"/>
      <c r="MBG38" s="5"/>
      <c r="MBH38" s="5"/>
      <c r="MBI38" s="1"/>
      <c r="MBJ38" s="1"/>
      <c r="MBK38" s="1"/>
      <c r="MBL38" s="1"/>
      <c r="MBM38" s="1"/>
      <c r="MBN38" s="178"/>
      <c r="MBO38" s="178"/>
      <c r="MBP38" s="1"/>
      <c r="MBQ38" s="2"/>
      <c r="MBR38" s="161"/>
      <c r="MBS38" s="161"/>
      <c r="MBT38" s="1"/>
      <c r="MBU38" s="213"/>
      <c r="MBV38" s="1"/>
      <c r="MBW38" s="1"/>
      <c r="MBX38" s="1"/>
      <c r="MBY38" s="1"/>
      <c r="MBZ38" s="223"/>
      <c r="MCA38" s="222"/>
      <c r="MCB38" s="1"/>
      <c r="MCC38" s="301"/>
      <c r="MCD38" s="214"/>
      <c r="MCE38" s="5"/>
      <c r="MCF38" s="12"/>
      <c r="MCG38" s="5"/>
      <c r="MCH38" s="5"/>
      <c r="MCI38" s="1"/>
      <c r="MCJ38" s="1"/>
      <c r="MCK38" s="1"/>
      <c r="MCL38" s="1"/>
      <c r="MCM38" s="1"/>
      <c r="MCN38" s="178"/>
      <c r="MCO38" s="178"/>
      <c r="MCP38" s="1"/>
      <c r="MCQ38" s="2"/>
      <c r="MCR38" s="161"/>
      <c r="MCS38" s="161"/>
      <c r="MCT38" s="1"/>
      <c r="MCU38" s="213"/>
      <c r="MCV38" s="1"/>
      <c r="MCW38" s="1"/>
      <c r="MCX38" s="1"/>
      <c r="MCY38" s="1"/>
      <c r="MCZ38" s="223"/>
      <c r="MDA38" s="222"/>
      <c r="MDB38" s="1"/>
      <c r="MDC38" s="301"/>
      <c r="MDD38" s="214"/>
      <c r="MDE38" s="5"/>
      <c r="MDF38" s="12"/>
      <c r="MDG38" s="5"/>
      <c r="MDH38" s="5"/>
      <c r="MDI38" s="1"/>
      <c r="MDJ38" s="1"/>
      <c r="MDK38" s="1"/>
      <c r="MDL38" s="1"/>
      <c r="MDM38" s="1"/>
      <c r="MDN38" s="178"/>
      <c r="MDO38" s="178"/>
      <c r="MDP38" s="1"/>
      <c r="MDQ38" s="2"/>
      <c r="MDR38" s="161"/>
      <c r="MDS38" s="161"/>
      <c r="MDT38" s="1"/>
      <c r="MDU38" s="213"/>
      <c r="MDV38" s="1"/>
      <c r="MDW38" s="1"/>
      <c r="MDX38" s="1"/>
      <c r="MDY38" s="1"/>
      <c r="MDZ38" s="223"/>
      <c r="MEA38" s="222"/>
      <c r="MEB38" s="1"/>
      <c r="MEC38" s="301"/>
      <c r="MED38" s="214"/>
      <c r="MEE38" s="5"/>
      <c r="MEF38" s="12"/>
      <c r="MEG38" s="5"/>
      <c r="MEH38" s="5"/>
      <c r="MEI38" s="1"/>
      <c r="MEJ38" s="1"/>
      <c r="MEK38" s="1"/>
      <c r="MEL38" s="1"/>
      <c r="MEM38" s="1"/>
      <c r="MEN38" s="178"/>
      <c r="MEO38" s="178"/>
      <c r="MEP38" s="1"/>
      <c r="MEQ38" s="2"/>
      <c r="MER38" s="161"/>
      <c r="MES38" s="161"/>
      <c r="MET38" s="1"/>
      <c r="MEU38" s="213"/>
      <c r="MEV38" s="1"/>
      <c r="MEW38" s="1"/>
      <c r="MEX38" s="1"/>
      <c r="MEY38" s="1"/>
      <c r="MEZ38" s="223"/>
      <c r="MFA38" s="222"/>
      <c r="MFB38" s="1"/>
      <c r="MFC38" s="301"/>
      <c r="MFD38" s="214"/>
      <c r="MFE38" s="5"/>
      <c r="MFF38" s="12"/>
      <c r="MFG38" s="5"/>
      <c r="MFH38" s="5"/>
      <c r="MFI38" s="1"/>
      <c r="MFJ38" s="1"/>
      <c r="MFK38" s="1"/>
      <c r="MFL38" s="1"/>
      <c r="MFM38" s="1"/>
      <c r="MFN38" s="178"/>
      <c r="MFO38" s="178"/>
      <c r="MFP38" s="1"/>
      <c r="MFQ38" s="2"/>
      <c r="MFR38" s="161"/>
      <c r="MFS38" s="161"/>
      <c r="MFT38" s="1"/>
      <c r="MFU38" s="213"/>
      <c r="MFV38" s="1"/>
      <c r="MFW38" s="1"/>
      <c r="MFX38" s="1"/>
      <c r="MFY38" s="1"/>
      <c r="MFZ38" s="223"/>
      <c r="MGA38" s="222"/>
      <c r="MGB38" s="1"/>
      <c r="MGC38" s="301"/>
      <c r="MGD38" s="214"/>
      <c r="MGE38" s="5"/>
      <c r="MGF38" s="12"/>
      <c r="MGG38" s="5"/>
      <c r="MGH38" s="5"/>
      <c r="MGI38" s="1"/>
      <c r="MGJ38" s="1"/>
      <c r="MGK38" s="1"/>
      <c r="MGL38" s="1"/>
      <c r="MGM38" s="1"/>
      <c r="MGN38" s="178"/>
      <c r="MGO38" s="178"/>
      <c r="MGP38" s="1"/>
      <c r="MGQ38" s="2"/>
      <c r="MGR38" s="161"/>
      <c r="MGS38" s="161"/>
      <c r="MGT38" s="1"/>
      <c r="MGU38" s="213"/>
      <c r="MGV38" s="1"/>
      <c r="MGW38" s="1"/>
      <c r="MGX38" s="1"/>
      <c r="MGY38" s="1"/>
      <c r="MGZ38" s="223"/>
      <c r="MHA38" s="222"/>
      <c r="MHB38" s="1"/>
      <c r="MHC38" s="301"/>
      <c r="MHD38" s="214"/>
      <c r="MHE38" s="5"/>
      <c r="MHF38" s="12"/>
      <c r="MHG38" s="5"/>
      <c r="MHH38" s="5"/>
      <c r="MHI38" s="1"/>
      <c r="MHJ38" s="1"/>
      <c r="MHK38" s="1"/>
      <c r="MHL38" s="1"/>
      <c r="MHM38" s="1"/>
      <c r="MHN38" s="178"/>
      <c r="MHO38" s="178"/>
      <c r="MHP38" s="1"/>
      <c r="MHQ38" s="2"/>
      <c r="MHR38" s="161"/>
      <c r="MHS38" s="161"/>
      <c r="MHT38" s="1"/>
      <c r="MHU38" s="213"/>
      <c r="MHV38" s="1"/>
      <c r="MHW38" s="1"/>
      <c r="MHX38" s="1"/>
      <c r="MHY38" s="1"/>
      <c r="MHZ38" s="223"/>
      <c r="MIA38" s="222"/>
      <c r="MIB38" s="1"/>
      <c r="MIC38" s="301"/>
      <c r="MID38" s="214"/>
      <c r="MIE38" s="5"/>
      <c r="MIF38" s="12"/>
      <c r="MIG38" s="5"/>
      <c r="MIH38" s="5"/>
      <c r="MII38" s="1"/>
      <c r="MIJ38" s="1"/>
      <c r="MIK38" s="1"/>
      <c r="MIL38" s="1"/>
      <c r="MIM38" s="1"/>
      <c r="MIN38" s="178"/>
      <c r="MIO38" s="178"/>
      <c r="MIP38" s="1"/>
      <c r="MIQ38" s="2"/>
      <c r="MIR38" s="161"/>
      <c r="MIS38" s="161"/>
      <c r="MIT38" s="1"/>
      <c r="MIU38" s="213"/>
      <c r="MIV38" s="1"/>
      <c r="MIW38" s="1"/>
      <c r="MIX38" s="1"/>
      <c r="MIY38" s="1"/>
      <c r="MIZ38" s="223"/>
      <c r="MJA38" s="222"/>
      <c r="MJB38" s="1"/>
      <c r="MJC38" s="301"/>
      <c r="MJD38" s="214"/>
      <c r="MJE38" s="5"/>
      <c r="MJF38" s="12"/>
      <c r="MJG38" s="5"/>
      <c r="MJH38" s="5"/>
      <c r="MJI38" s="1"/>
      <c r="MJJ38" s="1"/>
      <c r="MJK38" s="1"/>
      <c r="MJL38" s="1"/>
      <c r="MJM38" s="1"/>
      <c r="MJN38" s="178"/>
      <c r="MJO38" s="178"/>
      <c r="MJP38" s="1"/>
      <c r="MJQ38" s="2"/>
      <c r="MJR38" s="161"/>
      <c r="MJS38" s="161"/>
      <c r="MJT38" s="1"/>
      <c r="MJU38" s="213"/>
      <c r="MJV38" s="1"/>
      <c r="MJW38" s="1"/>
      <c r="MJX38" s="1"/>
      <c r="MJY38" s="1"/>
      <c r="MJZ38" s="223"/>
      <c r="MKA38" s="222"/>
      <c r="MKB38" s="1"/>
      <c r="MKC38" s="301"/>
      <c r="MKD38" s="214"/>
      <c r="MKE38" s="5"/>
      <c r="MKF38" s="12"/>
      <c r="MKG38" s="5"/>
      <c r="MKH38" s="5"/>
      <c r="MKI38" s="1"/>
      <c r="MKJ38" s="1"/>
      <c r="MKK38" s="1"/>
      <c r="MKL38" s="1"/>
      <c r="MKM38" s="1"/>
      <c r="MKN38" s="178"/>
      <c r="MKO38" s="178"/>
      <c r="MKP38" s="1"/>
      <c r="MKQ38" s="2"/>
      <c r="MKR38" s="161"/>
      <c r="MKS38" s="161"/>
      <c r="MKT38" s="1"/>
      <c r="MKU38" s="213"/>
      <c r="MKV38" s="1"/>
      <c r="MKW38" s="1"/>
      <c r="MKX38" s="1"/>
      <c r="MKY38" s="1"/>
      <c r="MKZ38" s="223"/>
      <c r="MLA38" s="222"/>
      <c r="MLB38" s="1"/>
      <c r="MLC38" s="301"/>
      <c r="MLD38" s="214"/>
      <c r="MLE38" s="5"/>
      <c r="MLF38" s="12"/>
      <c r="MLG38" s="5"/>
      <c r="MLH38" s="5"/>
      <c r="MLI38" s="1"/>
      <c r="MLJ38" s="1"/>
      <c r="MLK38" s="1"/>
      <c r="MLL38" s="1"/>
      <c r="MLM38" s="1"/>
      <c r="MLN38" s="178"/>
      <c r="MLO38" s="178"/>
      <c r="MLP38" s="1"/>
      <c r="MLQ38" s="2"/>
      <c r="MLR38" s="161"/>
      <c r="MLS38" s="161"/>
      <c r="MLT38" s="1"/>
      <c r="MLU38" s="213"/>
      <c r="MLV38" s="1"/>
      <c r="MLW38" s="1"/>
      <c r="MLX38" s="1"/>
      <c r="MLY38" s="1"/>
      <c r="MLZ38" s="223"/>
      <c r="MMA38" s="222"/>
      <c r="MMB38" s="1"/>
      <c r="MMC38" s="301"/>
      <c r="MMD38" s="214"/>
      <c r="MME38" s="5"/>
      <c r="MMF38" s="12"/>
      <c r="MMG38" s="5"/>
      <c r="MMH38" s="5"/>
      <c r="MMI38" s="1"/>
      <c r="MMJ38" s="1"/>
      <c r="MMK38" s="1"/>
      <c r="MML38" s="1"/>
      <c r="MMM38" s="1"/>
      <c r="MMN38" s="178"/>
      <c r="MMO38" s="178"/>
      <c r="MMP38" s="1"/>
      <c r="MMQ38" s="2"/>
      <c r="MMR38" s="161"/>
      <c r="MMS38" s="161"/>
      <c r="MMT38" s="1"/>
      <c r="MMU38" s="213"/>
      <c r="MMV38" s="1"/>
      <c r="MMW38" s="1"/>
      <c r="MMX38" s="1"/>
      <c r="MMY38" s="1"/>
      <c r="MMZ38" s="223"/>
      <c r="MNA38" s="222"/>
      <c r="MNB38" s="1"/>
      <c r="MNC38" s="301"/>
      <c r="MND38" s="214"/>
      <c r="MNE38" s="5"/>
      <c r="MNF38" s="12"/>
      <c r="MNG38" s="5"/>
      <c r="MNH38" s="5"/>
      <c r="MNI38" s="1"/>
      <c r="MNJ38" s="1"/>
      <c r="MNK38" s="1"/>
      <c r="MNL38" s="1"/>
      <c r="MNM38" s="1"/>
      <c r="MNN38" s="178"/>
      <c r="MNO38" s="178"/>
      <c r="MNP38" s="1"/>
      <c r="MNQ38" s="2"/>
      <c r="MNR38" s="161"/>
      <c r="MNS38" s="161"/>
      <c r="MNT38" s="1"/>
      <c r="MNU38" s="213"/>
      <c r="MNV38" s="1"/>
      <c r="MNW38" s="1"/>
      <c r="MNX38" s="1"/>
      <c r="MNY38" s="1"/>
      <c r="MNZ38" s="223"/>
      <c r="MOA38" s="222"/>
      <c r="MOB38" s="1"/>
      <c r="MOC38" s="301"/>
      <c r="MOD38" s="214"/>
      <c r="MOE38" s="5"/>
      <c r="MOF38" s="12"/>
      <c r="MOG38" s="5"/>
      <c r="MOH38" s="5"/>
      <c r="MOI38" s="1"/>
      <c r="MOJ38" s="1"/>
      <c r="MOK38" s="1"/>
      <c r="MOL38" s="1"/>
      <c r="MOM38" s="1"/>
      <c r="MON38" s="178"/>
      <c r="MOO38" s="178"/>
      <c r="MOP38" s="1"/>
      <c r="MOQ38" s="2"/>
      <c r="MOR38" s="161"/>
      <c r="MOS38" s="161"/>
      <c r="MOT38" s="1"/>
      <c r="MOU38" s="213"/>
      <c r="MOV38" s="1"/>
      <c r="MOW38" s="1"/>
      <c r="MOX38" s="1"/>
      <c r="MOY38" s="1"/>
      <c r="MOZ38" s="223"/>
      <c r="MPA38" s="222"/>
      <c r="MPB38" s="1"/>
      <c r="MPC38" s="301"/>
      <c r="MPD38" s="214"/>
      <c r="MPE38" s="5"/>
      <c r="MPF38" s="12"/>
      <c r="MPG38" s="5"/>
      <c r="MPH38" s="5"/>
      <c r="MPI38" s="1"/>
      <c r="MPJ38" s="1"/>
      <c r="MPK38" s="1"/>
      <c r="MPL38" s="1"/>
      <c r="MPM38" s="1"/>
      <c r="MPN38" s="178"/>
      <c r="MPO38" s="178"/>
      <c r="MPP38" s="1"/>
      <c r="MPQ38" s="2"/>
      <c r="MPR38" s="161"/>
      <c r="MPS38" s="161"/>
      <c r="MPT38" s="1"/>
      <c r="MPU38" s="213"/>
      <c r="MPV38" s="1"/>
      <c r="MPW38" s="1"/>
      <c r="MPX38" s="1"/>
      <c r="MPY38" s="1"/>
      <c r="MPZ38" s="223"/>
      <c r="MQA38" s="222"/>
      <c r="MQB38" s="1"/>
      <c r="MQC38" s="301"/>
      <c r="MQD38" s="214"/>
      <c r="MQE38" s="5"/>
      <c r="MQF38" s="12"/>
      <c r="MQG38" s="5"/>
      <c r="MQH38" s="5"/>
      <c r="MQI38" s="1"/>
      <c r="MQJ38" s="1"/>
      <c r="MQK38" s="1"/>
      <c r="MQL38" s="1"/>
      <c r="MQM38" s="1"/>
      <c r="MQN38" s="178"/>
      <c r="MQO38" s="178"/>
      <c r="MQP38" s="1"/>
      <c r="MQQ38" s="2"/>
      <c r="MQR38" s="161"/>
      <c r="MQS38" s="161"/>
      <c r="MQT38" s="1"/>
      <c r="MQU38" s="213"/>
      <c r="MQV38" s="1"/>
      <c r="MQW38" s="1"/>
      <c r="MQX38" s="1"/>
      <c r="MQY38" s="1"/>
      <c r="MQZ38" s="223"/>
      <c r="MRA38" s="222"/>
      <c r="MRB38" s="1"/>
      <c r="MRC38" s="301"/>
      <c r="MRD38" s="214"/>
      <c r="MRE38" s="5"/>
      <c r="MRF38" s="12"/>
      <c r="MRG38" s="5"/>
      <c r="MRH38" s="5"/>
      <c r="MRI38" s="1"/>
      <c r="MRJ38" s="1"/>
      <c r="MRK38" s="1"/>
      <c r="MRL38" s="1"/>
      <c r="MRM38" s="1"/>
      <c r="MRN38" s="178"/>
      <c r="MRO38" s="178"/>
      <c r="MRP38" s="1"/>
      <c r="MRQ38" s="2"/>
      <c r="MRR38" s="161"/>
      <c r="MRS38" s="161"/>
      <c r="MRT38" s="1"/>
      <c r="MRU38" s="213"/>
      <c r="MRV38" s="1"/>
      <c r="MRW38" s="1"/>
      <c r="MRX38" s="1"/>
      <c r="MRY38" s="1"/>
      <c r="MRZ38" s="223"/>
      <c r="MSA38" s="222"/>
      <c r="MSB38" s="1"/>
      <c r="MSC38" s="301"/>
      <c r="MSD38" s="214"/>
      <c r="MSE38" s="5"/>
      <c r="MSF38" s="12"/>
      <c r="MSG38" s="5"/>
      <c r="MSH38" s="5"/>
      <c r="MSI38" s="1"/>
      <c r="MSJ38" s="1"/>
      <c r="MSK38" s="1"/>
      <c r="MSL38" s="1"/>
      <c r="MSM38" s="1"/>
      <c r="MSN38" s="178"/>
      <c r="MSO38" s="178"/>
      <c r="MSP38" s="1"/>
      <c r="MSQ38" s="2"/>
      <c r="MSR38" s="161"/>
      <c r="MSS38" s="161"/>
      <c r="MST38" s="1"/>
      <c r="MSU38" s="213"/>
      <c r="MSV38" s="1"/>
      <c r="MSW38" s="1"/>
      <c r="MSX38" s="1"/>
      <c r="MSY38" s="1"/>
      <c r="MSZ38" s="223"/>
      <c r="MTA38" s="222"/>
      <c r="MTB38" s="1"/>
      <c r="MTC38" s="301"/>
      <c r="MTD38" s="214"/>
      <c r="MTE38" s="5"/>
      <c r="MTF38" s="12"/>
      <c r="MTG38" s="5"/>
      <c r="MTH38" s="5"/>
      <c r="MTI38" s="1"/>
      <c r="MTJ38" s="1"/>
      <c r="MTK38" s="1"/>
      <c r="MTL38" s="1"/>
      <c r="MTM38" s="1"/>
      <c r="MTN38" s="178"/>
      <c r="MTO38" s="178"/>
      <c r="MTP38" s="1"/>
      <c r="MTQ38" s="2"/>
      <c r="MTR38" s="161"/>
      <c r="MTS38" s="161"/>
      <c r="MTT38" s="1"/>
      <c r="MTU38" s="213"/>
      <c r="MTV38" s="1"/>
      <c r="MTW38" s="1"/>
      <c r="MTX38" s="1"/>
      <c r="MTY38" s="1"/>
      <c r="MTZ38" s="223"/>
      <c r="MUA38" s="222"/>
      <c r="MUB38" s="1"/>
      <c r="MUC38" s="301"/>
      <c r="MUD38" s="214"/>
      <c r="MUE38" s="5"/>
      <c r="MUF38" s="12"/>
      <c r="MUG38" s="5"/>
      <c r="MUH38" s="5"/>
      <c r="MUI38" s="1"/>
      <c r="MUJ38" s="1"/>
      <c r="MUK38" s="1"/>
      <c r="MUL38" s="1"/>
      <c r="MUM38" s="1"/>
      <c r="MUN38" s="178"/>
      <c r="MUO38" s="178"/>
      <c r="MUP38" s="1"/>
      <c r="MUQ38" s="2"/>
      <c r="MUR38" s="161"/>
      <c r="MUS38" s="161"/>
      <c r="MUT38" s="1"/>
      <c r="MUU38" s="213"/>
      <c r="MUV38" s="1"/>
      <c r="MUW38" s="1"/>
      <c r="MUX38" s="1"/>
      <c r="MUY38" s="1"/>
      <c r="MUZ38" s="223"/>
      <c r="MVA38" s="222"/>
      <c r="MVB38" s="1"/>
      <c r="MVC38" s="301"/>
      <c r="MVD38" s="214"/>
      <c r="MVE38" s="5"/>
      <c r="MVF38" s="12"/>
      <c r="MVG38" s="5"/>
      <c r="MVH38" s="5"/>
      <c r="MVI38" s="1"/>
      <c r="MVJ38" s="1"/>
      <c r="MVK38" s="1"/>
      <c r="MVL38" s="1"/>
      <c r="MVM38" s="1"/>
      <c r="MVN38" s="178"/>
      <c r="MVO38" s="178"/>
      <c r="MVP38" s="1"/>
      <c r="MVQ38" s="2"/>
      <c r="MVR38" s="161"/>
      <c r="MVS38" s="161"/>
      <c r="MVT38" s="1"/>
      <c r="MVU38" s="213"/>
      <c r="MVV38" s="1"/>
      <c r="MVW38" s="1"/>
      <c r="MVX38" s="1"/>
      <c r="MVY38" s="1"/>
      <c r="MVZ38" s="223"/>
      <c r="MWA38" s="222"/>
      <c r="MWB38" s="1"/>
      <c r="MWC38" s="301"/>
      <c r="MWD38" s="214"/>
      <c r="MWE38" s="5"/>
      <c r="MWF38" s="12"/>
      <c r="MWG38" s="5"/>
      <c r="MWH38" s="5"/>
      <c r="MWI38" s="1"/>
      <c r="MWJ38" s="1"/>
      <c r="MWK38" s="1"/>
      <c r="MWL38" s="1"/>
      <c r="MWM38" s="1"/>
      <c r="MWN38" s="178"/>
      <c r="MWO38" s="178"/>
      <c r="MWP38" s="1"/>
      <c r="MWQ38" s="2"/>
      <c r="MWR38" s="161"/>
      <c r="MWS38" s="161"/>
      <c r="MWT38" s="1"/>
      <c r="MWU38" s="213"/>
      <c r="MWV38" s="1"/>
      <c r="MWW38" s="1"/>
      <c r="MWX38" s="1"/>
      <c r="MWY38" s="1"/>
      <c r="MWZ38" s="223"/>
      <c r="MXA38" s="222"/>
      <c r="MXB38" s="1"/>
      <c r="MXC38" s="301"/>
      <c r="MXD38" s="214"/>
      <c r="MXE38" s="5"/>
      <c r="MXF38" s="12"/>
      <c r="MXG38" s="5"/>
      <c r="MXH38" s="5"/>
      <c r="MXI38" s="1"/>
      <c r="MXJ38" s="1"/>
      <c r="MXK38" s="1"/>
      <c r="MXL38" s="1"/>
      <c r="MXM38" s="1"/>
      <c r="MXN38" s="178"/>
      <c r="MXO38" s="178"/>
      <c r="MXP38" s="1"/>
      <c r="MXQ38" s="2"/>
      <c r="MXR38" s="161"/>
      <c r="MXS38" s="161"/>
      <c r="MXT38" s="1"/>
      <c r="MXU38" s="213"/>
      <c r="MXV38" s="1"/>
      <c r="MXW38" s="1"/>
      <c r="MXX38" s="1"/>
      <c r="MXY38" s="1"/>
      <c r="MXZ38" s="223"/>
      <c r="MYA38" s="222"/>
      <c r="MYB38" s="1"/>
      <c r="MYC38" s="301"/>
      <c r="MYD38" s="214"/>
      <c r="MYE38" s="5"/>
      <c r="MYF38" s="12"/>
      <c r="MYG38" s="5"/>
      <c r="MYH38" s="5"/>
      <c r="MYI38" s="1"/>
      <c r="MYJ38" s="1"/>
      <c r="MYK38" s="1"/>
      <c r="MYL38" s="1"/>
      <c r="MYM38" s="1"/>
      <c r="MYN38" s="178"/>
      <c r="MYO38" s="178"/>
      <c r="MYP38" s="1"/>
      <c r="MYQ38" s="2"/>
      <c r="MYR38" s="161"/>
      <c r="MYS38" s="161"/>
      <c r="MYT38" s="1"/>
      <c r="MYU38" s="213"/>
      <c r="MYV38" s="1"/>
      <c r="MYW38" s="1"/>
      <c r="MYX38" s="1"/>
      <c r="MYY38" s="1"/>
      <c r="MYZ38" s="223"/>
      <c r="MZA38" s="222"/>
      <c r="MZB38" s="1"/>
      <c r="MZC38" s="301"/>
      <c r="MZD38" s="214"/>
      <c r="MZE38" s="5"/>
      <c r="MZF38" s="12"/>
      <c r="MZG38" s="5"/>
      <c r="MZH38" s="5"/>
      <c r="MZI38" s="1"/>
      <c r="MZJ38" s="1"/>
      <c r="MZK38" s="1"/>
      <c r="MZL38" s="1"/>
      <c r="MZM38" s="1"/>
      <c r="MZN38" s="178"/>
      <c r="MZO38" s="178"/>
      <c r="MZP38" s="1"/>
      <c r="MZQ38" s="2"/>
      <c r="MZR38" s="161"/>
      <c r="MZS38" s="161"/>
      <c r="MZT38" s="1"/>
      <c r="MZU38" s="213"/>
      <c r="MZV38" s="1"/>
      <c r="MZW38" s="1"/>
      <c r="MZX38" s="1"/>
      <c r="MZY38" s="1"/>
      <c r="MZZ38" s="223"/>
      <c r="NAA38" s="222"/>
      <c r="NAB38" s="1"/>
      <c r="NAC38" s="301"/>
      <c r="NAD38" s="214"/>
      <c r="NAE38" s="5"/>
      <c r="NAF38" s="12"/>
      <c r="NAG38" s="5"/>
      <c r="NAH38" s="5"/>
      <c r="NAI38" s="1"/>
      <c r="NAJ38" s="1"/>
      <c r="NAK38" s="1"/>
      <c r="NAL38" s="1"/>
      <c r="NAM38" s="1"/>
      <c r="NAN38" s="178"/>
      <c r="NAO38" s="178"/>
      <c r="NAP38" s="1"/>
      <c r="NAQ38" s="2"/>
      <c r="NAR38" s="161"/>
      <c r="NAS38" s="161"/>
      <c r="NAT38" s="1"/>
      <c r="NAU38" s="213"/>
      <c r="NAV38" s="1"/>
      <c r="NAW38" s="1"/>
      <c r="NAX38" s="1"/>
      <c r="NAY38" s="1"/>
      <c r="NAZ38" s="223"/>
      <c r="NBA38" s="222"/>
      <c r="NBB38" s="1"/>
      <c r="NBC38" s="301"/>
      <c r="NBD38" s="214"/>
      <c r="NBE38" s="5"/>
      <c r="NBF38" s="12"/>
      <c r="NBG38" s="5"/>
      <c r="NBH38" s="5"/>
      <c r="NBI38" s="1"/>
      <c r="NBJ38" s="1"/>
      <c r="NBK38" s="1"/>
      <c r="NBL38" s="1"/>
      <c r="NBM38" s="1"/>
      <c r="NBN38" s="178"/>
      <c r="NBO38" s="178"/>
      <c r="NBP38" s="1"/>
      <c r="NBQ38" s="2"/>
      <c r="NBR38" s="161"/>
      <c r="NBS38" s="161"/>
      <c r="NBT38" s="1"/>
      <c r="NBU38" s="213"/>
      <c r="NBV38" s="1"/>
      <c r="NBW38" s="1"/>
      <c r="NBX38" s="1"/>
      <c r="NBY38" s="1"/>
      <c r="NBZ38" s="223"/>
      <c r="NCA38" s="222"/>
      <c r="NCB38" s="1"/>
      <c r="NCC38" s="301"/>
      <c r="NCD38" s="214"/>
      <c r="NCE38" s="5"/>
      <c r="NCF38" s="12"/>
      <c r="NCG38" s="5"/>
      <c r="NCH38" s="5"/>
      <c r="NCI38" s="1"/>
      <c r="NCJ38" s="1"/>
      <c r="NCK38" s="1"/>
      <c r="NCL38" s="1"/>
      <c r="NCM38" s="1"/>
      <c r="NCN38" s="178"/>
      <c r="NCO38" s="178"/>
      <c r="NCP38" s="1"/>
      <c r="NCQ38" s="2"/>
      <c r="NCR38" s="161"/>
      <c r="NCS38" s="161"/>
      <c r="NCT38" s="1"/>
      <c r="NCU38" s="213"/>
      <c r="NCV38" s="1"/>
      <c r="NCW38" s="1"/>
      <c r="NCX38" s="1"/>
      <c r="NCY38" s="1"/>
      <c r="NCZ38" s="223"/>
      <c r="NDA38" s="222"/>
      <c r="NDB38" s="1"/>
      <c r="NDC38" s="301"/>
      <c r="NDD38" s="214"/>
      <c r="NDE38" s="5"/>
      <c r="NDF38" s="12"/>
      <c r="NDG38" s="5"/>
      <c r="NDH38" s="5"/>
      <c r="NDI38" s="1"/>
      <c r="NDJ38" s="1"/>
      <c r="NDK38" s="1"/>
      <c r="NDL38" s="1"/>
      <c r="NDM38" s="1"/>
      <c r="NDN38" s="178"/>
      <c r="NDO38" s="178"/>
      <c r="NDP38" s="1"/>
      <c r="NDQ38" s="2"/>
      <c r="NDR38" s="161"/>
      <c r="NDS38" s="161"/>
      <c r="NDT38" s="1"/>
      <c r="NDU38" s="213"/>
      <c r="NDV38" s="1"/>
      <c r="NDW38" s="1"/>
      <c r="NDX38" s="1"/>
      <c r="NDY38" s="1"/>
      <c r="NDZ38" s="223"/>
      <c r="NEA38" s="222"/>
      <c r="NEB38" s="1"/>
      <c r="NEC38" s="301"/>
      <c r="NED38" s="214"/>
      <c r="NEE38" s="5"/>
      <c r="NEF38" s="12"/>
      <c r="NEG38" s="5"/>
      <c r="NEH38" s="5"/>
      <c r="NEI38" s="1"/>
      <c r="NEJ38" s="1"/>
      <c r="NEK38" s="1"/>
      <c r="NEL38" s="1"/>
      <c r="NEM38" s="1"/>
      <c r="NEN38" s="178"/>
      <c r="NEO38" s="178"/>
      <c r="NEP38" s="1"/>
      <c r="NEQ38" s="2"/>
      <c r="NER38" s="161"/>
      <c r="NES38" s="161"/>
      <c r="NET38" s="1"/>
      <c r="NEU38" s="213"/>
      <c r="NEV38" s="1"/>
      <c r="NEW38" s="1"/>
      <c r="NEX38" s="1"/>
      <c r="NEY38" s="1"/>
      <c r="NEZ38" s="223"/>
      <c r="NFA38" s="222"/>
      <c r="NFB38" s="1"/>
      <c r="NFC38" s="301"/>
      <c r="NFD38" s="214"/>
      <c r="NFE38" s="5"/>
      <c r="NFF38" s="12"/>
      <c r="NFG38" s="5"/>
      <c r="NFH38" s="5"/>
      <c r="NFI38" s="1"/>
      <c r="NFJ38" s="1"/>
      <c r="NFK38" s="1"/>
      <c r="NFL38" s="1"/>
      <c r="NFM38" s="1"/>
      <c r="NFN38" s="178"/>
      <c r="NFO38" s="178"/>
      <c r="NFP38" s="1"/>
      <c r="NFQ38" s="2"/>
      <c r="NFR38" s="161"/>
      <c r="NFS38" s="161"/>
      <c r="NFT38" s="1"/>
      <c r="NFU38" s="213"/>
      <c r="NFV38" s="1"/>
      <c r="NFW38" s="1"/>
      <c r="NFX38" s="1"/>
      <c r="NFY38" s="1"/>
      <c r="NFZ38" s="223"/>
      <c r="NGA38" s="222"/>
      <c r="NGB38" s="1"/>
      <c r="NGC38" s="301"/>
      <c r="NGD38" s="214"/>
      <c r="NGE38" s="5"/>
      <c r="NGF38" s="12"/>
      <c r="NGG38" s="5"/>
      <c r="NGH38" s="5"/>
      <c r="NGI38" s="1"/>
      <c r="NGJ38" s="1"/>
      <c r="NGK38" s="1"/>
      <c r="NGL38" s="1"/>
      <c r="NGM38" s="1"/>
      <c r="NGN38" s="178"/>
      <c r="NGO38" s="178"/>
      <c r="NGP38" s="1"/>
      <c r="NGQ38" s="2"/>
      <c r="NGR38" s="161"/>
      <c r="NGS38" s="161"/>
      <c r="NGT38" s="1"/>
      <c r="NGU38" s="213"/>
      <c r="NGV38" s="1"/>
      <c r="NGW38" s="1"/>
      <c r="NGX38" s="1"/>
      <c r="NGY38" s="1"/>
      <c r="NGZ38" s="223"/>
      <c r="NHA38" s="222"/>
      <c r="NHB38" s="1"/>
      <c r="NHC38" s="301"/>
      <c r="NHD38" s="214"/>
      <c r="NHE38" s="5"/>
      <c r="NHF38" s="12"/>
      <c r="NHG38" s="5"/>
      <c r="NHH38" s="5"/>
      <c r="NHI38" s="1"/>
      <c r="NHJ38" s="1"/>
      <c r="NHK38" s="1"/>
      <c r="NHL38" s="1"/>
      <c r="NHM38" s="1"/>
      <c r="NHN38" s="178"/>
      <c r="NHO38" s="178"/>
      <c r="NHP38" s="1"/>
      <c r="NHQ38" s="2"/>
      <c r="NHR38" s="161"/>
      <c r="NHS38" s="161"/>
      <c r="NHT38" s="1"/>
      <c r="NHU38" s="213"/>
      <c r="NHV38" s="1"/>
      <c r="NHW38" s="1"/>
      <c r="NHX38" s="1"/>
      <c r="NHY38" s="1"/>
      <c r="NHZ38" s="223"/>
      <c r="NIA38" s="222"/>
      <c r="NIB38" s="1"/>
      <c r="NIC38" s="301"/>
      <c r="NID38" s="214"/>
      <c r="NIE38" s="5"/>
      <c r="NIF38" s="12"/>
      <c r="NIG38" s="5"/>
      <c r="NIH38" s="5"/>
      <c r="NII38" s="1"/>
      <c r="NIJ38" s="1"/>
      <c r="NIK38" s="1"/>
      <c r="NIL38" s="1"/>
      <c r="NIM38" s="1"/>
      <c r="NIN38" s="178"/>
      <c r="NIO38" s="178"/>
      <c r="NIP38" s="1"/>
      <c r="NIQ38" s="2"/>
      <c r="NIR38" s="161"/>
      <c r="NIS38" s="161"/>
      <c r="NIT38" s="1"/>
      <c r="NIU38" s="213"/>
      <c r="NIV38" s="1"/>
      <c r="NIW38" s="1"/>
      <c r="NIX38" s="1"/>
      <c r="NIY38" s="1"/>
      <c r="NIZ38" s="223"/>
      <c r="NJA38" s="222"/>
      <c r="NJB38" s="1"/>
      <c r="NJC38" s="301"/>
      <c r="NJD38" s="214"/>
      <c r="NJE38" s="5"/>
      <c r="NJF38" s="12"/>
      <c r="NJG38" s="5"/>
      <c r="NJH38" s="5"/>
      <c r="NJI38" s="1"/>
      <c r="NJJ38" s="1"/>
      <c r="NJK38" s="1"/>
      <c r="NJL38" s="1"/>
      <c r="NJM38" s="1"/>
      <c r="NJN38" s="178"/>
      <c r="NJO38" s="178"/>
      <c r="NJP38" s="1"/>
      <c r="NJQ38" s="2"/>
      <c r="NJR38" s="161"/>
      <c r="NJS38" s="161"/>
      <c r="NJT38" s="1"/>
      <c r="NJU38" s="213"/>
      <c r="NJV38" s="1"/>
      <c r="NJW38" s="1"/>
      <c r="NJX38" s="1"/>
      <c r="NJY38" s="1"/>
      <c r="NJZ38" s="223"/>
      <c r="NKA38" s="222"/>
      <c r="NKB38" s="1"/>
      <c r="NKC38" s="301"/>
      <c r="NKD38" s="214"/>
      <c r="NKE38" s="5"/>
      <c r="NKF38" s="12"/>
      <c r="NKG38" s="5"/>
      <c r="NKH38" s="5"/>
      <c r="NKI38" s="1"/>
      <c r="NKJ38" s="1"/>
      <c r="NKK38" s="1"/>
      <c r="NKL38" s="1"/>
      <c r="NKM38" s="1"/>
      <c r="NKN38" s="178"/>
      <c r="NKO38" s="178"/>
      <c r="NKP38" s="1"/>
      <c r="NKQ38" s="2"/>
      <c r="NKR38" s="161"/>
      <c r="NKS38" s="161"/>
      <c r="NKT38" s="1"/>
      <c r="NKU38" s="213"/>
      <c r="NKV38" s="1"/>
      <c r="NKW38" s="1"/>
      <c r="NKX38" s="1"/>
      <c r="NKY38" s="1"/>
      <c r="NKZ38" s="223"/>
      <c r="NLA38" s="222"/>
      <c r="NLB38" s="1"/>
      <c r="NLC38" s="301"/>
      <c r="NLD38" s="214"/>
      <c r="NLE38" s="5"/>
      <c r="NLF38" s="12"/>
      <c r="NLG38" s="5"/>
      <c r="NLH38" s="5"/>
      <c r="NLI38" s="1"/>
      <c r="NLJ38" s="1"/>
      <c r="NLK38" s="1"/>
      <c r="NLL38" s="1"/>
      <c r="NLM38" s="1"/>
      <c r="NLN38" s="178"/>
      <c r="NLO38" s="178"/>
      <c r="NLP38" s="1"/>
      <c r="NLQ38" s="2"/>
      <c r="NLR38" s="161"/>
      <c r="NLS38" s="161"/>
      <c r="NLT38" s="1"/>
      <c r="NLU38" s="213"/>
      <c r="NLV38" s="1"/>
      <c r="NLW38" s="1"/>
      <c r="NLX38" s="1"/>
      <c r="NLY38" s="1"/>
      <c r="NLZ38" s="223"/>
      <c r="NMA38" s="222"/>
      <c r="NMB38" s="1"/>
      <c r="NMC38" s="301"/>
      <c r="NMD38" s="214"/>
      <c r="NME38" s="5"/>
      <c r="NMF38" s="12"/>
      <c r="NMG38" s="5"/>
      <c r="NMH38" s="5"/>
      <c r="NMI38" s="1"/>
      <c r="NMJ38" s="1"/>
      <c r="NMK38" s="1"/>
      <c r="NML38" s="1"/>
      <c r="NMM38" s="1"/>
      <c r="NMN38" s="178"/>
      <c r="NMO38" s="178"/>
      <c r="NMP38" s="1"/>
      <c r="NMQ38" s="2"/>
      <c r="NMR38" s="161"/>
      <c r="NMS38" s="161"/>
      <c r="NMT38" s="1"/>
      <c r="NMU38" s="213"/>
      <c r="NMV38" s="1"/>
      <c r="NMW38" s="1"/>
      <c r="NMX38" s="1"/>
      <c r="NMY38" s="1"/>
      <c r="NMZ38" s="223"/>
      <c r="NNA38" s="222"/>
      <c r="NNB38" s="1"/>
      <c r="NNC38" s="301"/>
      <c r="NND38" s="214"/>
      <c r="NNE38" s="5"/>
      <c r="NNF38" s="12"/>
      <c r="NNG38" s="5"/>
      <c r="NNH38" s="5"/>
      <c r="NNI38" s="1"/>
      <c r="NNJ38" s="1"/>
      <c r="NNK38" s="1"/>
      <c r="NNL38" s="1"/>
      <c r="NNM38" s="1"/>
      <c r="NNN38" s="178"/>
      <c r="NNO38" s="178"/>
      <c r="NNP38" s="1"/>
      <c r="NNQ38" s="2"/>
      <c r="NNR38" s="161"/>
      <c r="NNS38" s="161"/>
      <c r="NNT38" s="1"/>
      <c r="NNU38" s="213"/>
      <c r="NNV38" s="1"/>
      <c r="NNW38" s="1"/>
      <c r="NNX38" s="1"/>
      <c r="NNY38" s="1"/>
      <c r="NNZ38" s="223"/>
      <c r="NOA38" s="222"/>
      <c r="NOB38" s="1"/>
      <c r="NOC38" s="301"/>
      <c r="NOD38" s="214"/>
      <c r="NOE38" s="5"/>
      <c r="NOF38" s="12"/>
      <c r="NOG38" s="5"/>
      <c r="NOH38" s="5"/>
      <c r="NOI38" s="1"/>
      <c r="NOJ38" s="1"/>
      <c r="NOK38" s="1"/>
      <c r="NOL38" s="1"/>
      <c r="NOM38" s="1"/>
      <c r="NON38" s="178"/>
      <c r="NOO38" s="178"/>
      <c r="NOP38" s="1"/>
      <c r="NOQ38" s="2"/>
      <c r="NOR38" s="161"/>
      <c r="NOS38" s="161"/>
      <c r="NOT38" s="1"/>
      <c r="NOU38" s="213"/>
      <c r="NOV38" s="1"/>
      <c r="NOW38" s="1"/>
      <c r="NOX38" s="1"/>
      <c r="NOY38" s="1"/>
      <c r="NOZ38" s="223"/>
      <c r="NPA38" s="222"/>
      <c r="NPB38" s="1"/>
      <c r="NPC38" s="301"/>
      <c r="NPD38" s="214"/>
      <c r="NPE38" s="5"/>
      <c r="NPF38" s="12"/>
      <c r="NPG38" s="5"/>
      <c r="NPH38" s="5"/>
      <c r="NPI38" s="1"/>
      <c r="NPJ38" s="1"/>
      <c r="NPK38" s="1"/>
      <c r="NPL38" s="1"/>
      <c r="NPM38" s="1"/>
      <c r="NPN38" s="178"/>
      <c r="NPO38" s="178"/>
      <c r="NPP38" s="1"/>
      <c r="NPQ38" s="2"/>
      <c r="NPR38" s="161"/>
      <c r="NPS38" s="161"/>
      <c r="NPT38" s="1"/>
      <c r="NPU38" s="213"/>
      <c r="NPV38" s="1"/>
      <c r="NPW38" s="1"/>
      <c r="NPX38" s="1"/>
      <c r="NPY38" s="1"/>
      <c r="NPZ38" s="223"/>
      <c r="NQA38" s="222"/>
      <c r="NQB38" s="1"/>
      <c r="NQC38" s="301"/>
      <c r="NQD38" s="214"/>
      <c r="NQE38" s="5"/>
      <c r="NQF38" s="12"/>
      <c r="NQG38" s="5"/>
      <c r="NQH38" s="5"/>
      <c r="NQI38" s="1"/>
      <c r="NQJ38" s="1"/>
      <c r="NQK38" s="1"/>
      <c r="NQL38" s="1"/>
      <c r="NQM38" s="1"/>
      <c r="NQN38" s="178"/>
      <c r="NQO38" s="178"/>
      <c r="NQP38" s="1"/>
      <c r="NQQ38" s="2"/>
      <c r="NQR38" s="161"/>
      <c r="NQS38" s="161"/>
      <c r="NQT38" s="1"/>
      <c r="NQU38" s="213"/>
      <c r="NQV38" s="1"/>
      <c r="NQW38" s="1"/>
      <c r="NQX38" s="1"/>
      <c r="NQY38" s="1"/>
      <c r="NQZ38" s="223"/>
      <c r="NRA38" s="222"/>
      <c r="NRB38" s="1"/>
      <c r="NRC38" s="301"/>
      <c r="NRD38" s="214"/>
      <c r="NRE38" s="5"/>
      <c r="NRF38" s="12"/>
      <c r="NRG38" s="5"/>
      <c r="NRH38" s="5"/>
      <c r="NRI38" s="1"/>
      <c r="NRJ38" s="1"/>
      <c r="NRK38" s="1"/>
      <c r="NRL38" s="1"/>
      <c r="NRM38" s="1"/>
      <c r="NRN38" s="178"/>
      <c r="NRO38" s="178"/>
      <c r="NRP38" s="1"/>
      <c r="NRQ38" s="2"/>
      <c r="NRR38" s="161"/>
      <c r="NRS38" s="161"/>
      <c r="NRT38" s="1"/>
      <c r="NRU38" s="213"/>
      <c r="NRV38" s="1"/>
      <c r="NRW38" s="1"/>
      <c r="NRX38" s="1"/>
      <c r="NRY38" s="1"/>
      <c r="NRZ38" s="223"/>
      <c r="NSA38" s="222"/>
      <c r="NSB38" s="1"/>
      <c r="NSC38" s="301"/>
      <c r="NSD38" s="214"/>
      <c r="NSE38" s="5"/>
      <c r="NSF38" s="12"/>
      <c r="NSG38" s="5"/>
      <c r="NSH38" s="5"/>
      <c r="NSI38" s="1"/>
      <c r="NSJ38" s="1"/>
      <c r="NSK38" s="1"/>
      <c r="NSL38" s="1"/>
      <c r="NSM38" s="1"/>
      <c r="NSN38" s="178"/>
      <c r="NSO38" s="178"/>
      <c r="NSP38" s="1"/>
      <c r="NSQ38" s="2"/>
      <c r="NSR38" s="161"/>
      <c r="NSS38" s="161"/>
      <c r="NST38" s="1"/>
      <c r="NSU38" s="213"/>
      <c r="NSV38" s="1"/>
      <c r="NSW38" s="1"/>
      <c r="NSX38" s="1"/>
      <c r="NSY38" s="1"/>
      <c r="NSZ38" s="223"/>
      <c r="NTA38" s="222"/>
      <c r="NTB38" s="1"/>
      <c r="NTC38" s="301"/>
      <c r="NTD38" s="214"/>
      <c r="NTE38" s="5"/>
      <c r="NTF38" s="12"/>
      <c r="NTG38" s="5"/>
      <c r="NTH38" s="5"/>
      <c r="NTI38" s="1"/>
      <c r="NTJ38" s="1"/>
      <c r="NTK38" s="1"/>
      <c r="NTL38" s="1"/>
      <c r="NTM38" s="1"/>
      <c r="NTN38" s="178"/>
      <c r="NTO38" s="178"/>
      <c r="NTP38" s="1"/>
      <c r="NTQ38" s="2"/>
      <c r="NTR38" s="161"/>
      <c r="NTS38" s="161"/>
      <c r="NTT38" s="1"/>
      <c r="NTU38" s="213"/>
      <c r="NTV38" s="1"/>
      <c r="NTW38" s="1"/>
      <c r="NTX38" s="1"/>
      <c r="NTY38" s="1"/>
      <c r="NTZ38" s="223"/>
      <c r="NUA38" s="222"/>
      <c r="NUB38" s="1"/>
      <c r="NUC38" s="301"/>
      <c r="NUD38" s="214"/>
      <c r="NUE38" s="5"/>
      <c r="NUF38" s="12"/>
      <c r="NUG38" s="5"/>
      <c r="NUH38" s="5"/>
      <c r="NUI38" s="1"/>
      <c r="NUJ38" s="1"/>
      <c r="NUK38" s="1"/>
      <c r="NUL38" s="1"/>
      <c r="NUM38" s="1"/>
      <c r="NUN38" s="178"/>
      <c r="NUO38" s="178"/>
      <c r="NUP38" s="1"/>
      <c r="NUQ38" s="2"/>
      <c r="NUR38" s="161"/>
      <c r="NUS38" s="161"/>
      <c r="NUT38" s="1"/>
      <c r="NUU38" s="213"/>
      <c r="NUV38" s="1"/>
      <c r="NUW38" s="1"/>
      <c r="NUX38" s="1"/>
      <c r="NUY38" s="1"/>
      <c r="NUZ38" s="223"/>
      <c r="NVA38" s="222"/>
      <c r="NVB38" s="1"/>
      <c r="NVC38" s="301"/>
      <c r="NVD38" s="214"/>
      <c r="NVE38" s="5"/>
      <c r="NVF38" s="12"/>
      <c r="NVG38" s="5"/>
      <c r="NVH38" s="5"/>
      <c r="NVI38" s="1"/>
      <c r="NVJ38" s="1"/>
      <c r="NVK38" s="1"/>
      <c r="NVL38" s="1"/>
      <c r="NVM38" s="1"/>
      <c r="NVN38" s="178"/>
      <c r="NVO38" s="178"/>
      <c r="NVP38" s="1"/>
      <c r="NVQ38" s="2"/>
      <c r="NVR38" s="161"/>
      <c r="NVS38" s="161"/>
      <c r="NVT38" s="1"/>
      <c r="NVU38" s="213"/>
      <c r="NVV38" s="1"/>
      <c r="NVW38" s="1"/>
      <c r="NVX38" s="1"/>
      <c r="NVY38" s="1"/>
      <c r="NVZ38" s="223"/>
      <c r="NWA38" s="222"/>
      <c r="NWB38" s="1"/>
      <c r="NWC38" s="301"/>
      <c r="NWD38" s="214"/>
      <c r="NWE38" s="5"/>
      <c r="NWF38" s="12"/>
      <c r="NWG38" s="5"/>
      <c r="NWH38" s="5"/>
      <c r="NWI38" s="1"/>
      <c r="NWJ38" s="1"/>
      <c r="NWK38" s="1"/>
      <c r="NWL38" s="1"/>
      <c r="NWM38" s="1"/>
      <c r="NWN38" s="178"/>
      <c r="NWO38" s="178"/>
      <c r="NWP38" s="1"/>
      <c r="NWQ38" s="2"/>
      <c r="NWR38" s="161"/>
      <c r="NWS38" s="161"/>
      <c r="NWT38" s="1"/>
      <c r="NWU38" s="213"/>
      <c r="NWV38" s="1"/>
      <c r="NWW38" s="1"/>
      <c r="NWX38" s="1"/>
      <c r="NWY38" s="1"/>
      <c r="NWZ38" s="223"/>
      <c r="NXA38" s="222"/>
      <c r="NXB38" s="1"/>
      <c r="NXC38" s="301"/>
      <c r="NXD38" s="214"/>
      <c r="NXE38" s="5"/>
      <c r="NXF38" s="12"/>
      <c r="NXG38" s="5"/>
      <c r="NXH38" s="5"/>
      <c r="NXI38" s="1"/>
      <c r="NXJ38" s="1"/>
      <c r="NXK38" s="1"/>
      <c r="NXL38" s="1"/>
      <c r="NXM38" s="1"/>
      <c r="NXN38" s="178"/>
      <c r="NXO38" s="178"/>
      <c r="NXP38" s="1"/>
      <c r="NXQ38" s="2"/>
      <c r="NXR38" s="161"/>
      <c r="NXS38" s="161"/>
      <c r="NXT38" s="1"/>
      <c r="NXU38" s="213"/>
      <c r="NXV38" s="1"/>
      <c r="NXW38" s="1"/>
      <c r="NXX38" s="1"/>
      <c r="NXY38" s="1"/>
      <c r="NXZ38" s="223"/>
      <c r="NYA38" s="222"/>
      <c r="NYB38" s="1"/>
      <c r="NYC38" s="301"/>
      <c r="NYD38" s="214"/>
      <c r="NYE38" s="5"/>
      <c r="NYF38" s="12"/>
      <c r="NYG38" s="5"/>
      <c r="NYH38" s="5"/>
      <c r="NYI38" s="1"/>
      <c r="NYJ38" s="1"/>
      <c r="NYK38" s="1"/>
      <c r="NYL38" s="1"/>
      <c r="NYM38" s="1"/>
      <c r="NYN38" s="178"/>
      <c r="NYO38" s="178"/>
      <c r="NYP38" s="1"/>
      <c r="NYQ38" s="2"/>
      <c r="NYR38" s="161"/>
      <c r="NYS38" s="161"/>
      <c r="NYT38" s="1"/>
      <c r="NYU38" s="213"/>
      <c r="NYV38" s="1"/>
      <c r="NYW38" s="1"/>
      <c r="NYX38" s="1"/>
      <c r="NYY38" s="1"/>
      <c r="NYZ38" s="223"/>
      <c r="NZA38" s="222"/>
      <c r="NZB38" s="1"/>
      <c r="NZC38" s="301"/>
      <c r="NZD38" s="214"/>
      <c r="NZE38" s="5"/>
      <c r="NZF38" s="12"/>
      <c r="NZG38" s="5"/>
      <c r="NZH38" s="5"/>
      <c r="NZI38" s="1"/>
      <c r="NZJ38" s="1"/>
      <c r="NZK38" s="1"/>
      <c r="NZL38" s="1"/>
      <c r="NZM38" s="1"/>
      <c r="NZN38" s="178"/>
      <c r="NZO38" s="178"/>
      <c r="NZP38" s="1"/>
      <c r="NZQ38" s="2"/>
      <c r="NZR38" s="161"/>
      <c r="NZS38" s="161"/>
      <c r="NZT38" s="1"/>
      <c r="NZU38" s="213"/>
      <c r="NZV38" s="1"/>
      <c r="NZW38" s="1"/>
      <c r="NZX38" s="1"/>
      <c r="NZY38" s="1"/>
      <c r="NZZ38" s="223"/>
      <c r="OAA38" s="222"/>
      <c r="OAB38" s="1"/>
      <c r="OAC38" s="301"/>
      <c r="OAD38" s="214"/>
      <c r="OAE38" s="5"/>
      <c r="OAF38" s="12"/>
      <c r="OAG38" s="5"/>
      <c r="OAH38" s="5"/>
      <c r="OAI38" s="1"/>
      <c r="OAJ38" s="1"/>
      <c r="OAK38" s="1"/>
      <c r="OAL38" s="1"/>
      <c r="OAM38" s="1"/>
      <c r="OAN38" s="178"/>
      <c r="OAO38" s="178"/>
      <c r="OAP38" s="1"/>
      <c r="OAQ38" s="2"/>
      <c r="OAR38" s="161"/>
      <c r="OAS38" s="161"/>
      <c r="OAT38" s="1"/>
      <c r="OAU38" s="213"/>
      <c r="OAV38" s="1"/>
      <c r="OAW38" s="1"/>
      <c r="OAX38" s="1"/>
      <c r="OAY38" s="1"/>
      <c r="OAZ38" s="223"/>
      <c r="OBA38" s="222"/>
      <c r="OBB38" s="1"/>
      <c r="OBC38" s="301"/>
      <c r="OBD38" s="214"/>
      <c r="OBE38" s="5"/>
      <c r="OBF38" s="12"/>
      <c r="OBG38" s="5"/>
      <c r="OBH38" s="5"/>
      <c r="OBI38" s="1"/>
      <c r="OBJ38" s="1"/>
      <c r="OBK38" s="1"/>
      <c r="OBL38" s="1"/>
      <c r="OBM38" s="1"/>
      <c r="OBN38" s="178"/>
      <c r="OBO38" s="178"/>
      <c r="OBP38" s="1"/>
      <c r="OBQ38" s="2"/>
      <c r="OBR38" s="161"/>
      <c r="OBS38" s="161"/>
      <c r="OBT38" s="1"/>
      <c r="OBU38" s="213"/>
      <c r="OBV38" s="1"/>
      <c r="OBW38" s="1"/>
      <c r="OBX38" s="1"/>
      <c r="OBY38" s="1"/>
      <c r="OBZ38" s="223"/>
      <c r="OCA38" s="222"/>
      <c r="OCB38" s="1"/>
      <c r="OCC38" s="301"/>
      <c r="OCD38" s="214"/>
      <c r="OCE38" s="5"/>
      <c r="OCF38" s="12"/>
      <c r="OCG38" s="5"/>
      <c r="OCH38" s="5"/>
      <c r="OCI38" s="1"/>
      <c r="OCJ38" s="1"/>
      <c r="OCK38" s="1"/>
      <c r="OCL38" s="1"/>
      <c r="OCM38" s="1"/>
      <c r="OCN38" s="178"/>
      <c r="OCO38" s="178"/>
      <c r="OCP38" s="1"/>
      <c r="OCQ38" s="2"/>
      <c r="OCR38" s="161"/>
      <c r="OCS38" s="161"/>
      <c r="OCT38" s="1"/>
      <c r="OCU38" s="213"/>
      <c r="OCV38" s="1"/>
      <c r="OCW38" s="1"/>
      <c r="OCX38" s="1"/>
      <c r="OCY38" s="1"/>
      <c r="OCZ38" s="223"/>
      <c r="ODA38" s="222"/>
      <c r="ODB38" s="1"/>
      <c r="ODC38" s="301"/>
      <c r="ODD38" s="214"/>
      <c r="ODE38" s="5"/>
      <c r="ODF38" s="12"/>
      <c r="ODG38" s="5"/>
      <c r="ODH38" s="5"/>
      <c r="ODI38" s="1"/>
      <c r="ODJ38" s="1"/>
      <c r="ODK38" s="1"/>
      <c r="ODL38" s="1"/>
      <c r="ODM38" s="1"/>
      <c r="ODN38" s="178"/>
      <c r="ODO38" s="178"/>
      <c r="ODP38" s="1"/>
      <c r="ODQ38" s="2"/>
      <c r="ODR38" s="161"/>
      <c r="ODS38" s="161"/>
      <c r="ODT38" s="1"/>
      <c r="ODU38" s="213"/>
      <c r="ODV38" s="1"/>
      <c r="ODW38" s="1"/>
      <c r="ODX38" s="1"/>
      <c r="ODY38" s="1"/>
      <c r="ODZ38" s="223"/>
      <c r="OEA38" s="222"/>
      <c r="OEB38" s="1"/>
      <c r="OEC38" s="301"/>
      <c r="OED38" s="214"/>
      <c r="OEE38" s="5"/>
      <c r="OEF38" s="12"/>
      <c r="OEG38" s="5"/>
      <c r="OEH38" s="5"/>
      <c r="OEI38" s="1"/>
      <c r="OEJ38" s="1"/>
      <c r="OEK38" s="1"/>
      <c r="OEL38" s="1"/>
      <c r="OEM38" s="1"/>
      <c r="OEN38" s="178"/>
      <c r="OEO38" s="178"/>
      <c r="OEP38" s="1"/>
      <c r="OEQ38" s="2"/>
      <c r="OER38" s="161"/>
      <c r="OES38" s="161"/>
      <c r="OET38" s="1"/>
      <c r="OEU38" s="213"/>
      <c r="OEV38" s="1"/>
      <c r="OEW38" s="1"/>
      <c r="OEX38" s="1"/>
      <c r="OEY38" s="1"/>
      <c r="OEZ38" s="223"/>
      <c r="OFA38" s="222"/>
      <c r="OFB38" s="1"/>
      <c r="OFC38" s="301"/>
      <c r="OFD38" s="214"/>
      <c r="OFE38" s="5"/>
      <c r="OFF38" s="12"/>
      <c r="OFG38" s="5"/>
      <c r="OFH38" s="5"/>
      <c r="OFI38" s="1"/>
      <c r="OFJ38" s="1"/>
      <c r="OFK38" s="1"/>
      <c r="OFL38" s="1"/>
      <c r="OFM38" s="1"/>
      <c r="OFN38" s="178"/>
      <c r="OFO38" s="178"/>
      <c r="OFP38" s="1"/>
      <c r="OFQ38" s="2"/>
      <c r="OFR38" s="161"/>
      <c r="OFS38" s="161"/>
      <c r="OFT38" s="1"/>
      <c r="OFU38" s="213"/>
      <c r="OFV38" s="1"/>
      <c r="OFW38" s="1"/>
      <c r="OFX38" s="1"/>
      <c r="OFY38" s="1"/>
      <c r="OFZ38" s="223"/>
      <c r="OGA38" s="222"/>
      <c r="OGB38" s="1"/>
      <c r="OGC38" s="301"/>
      <c r="OGD38" s="214"/>
      <c r="OGE38" s="5"/>
      <c r="OGF38" s="12"/>
      <c r="OGG38" s="5"/>
      <c r="OGH38" s="5"/>
      <c r="OGI38" s="1"/>
      <c r="OGJ38" s="1"/>
      <c r="OGK38" s="1"/>
      <c r="OGL38" s="1"/>
      <c r="OGM38" s="1"/>
      <c r="OGN38" s="178"/>
      <c r="OGO38" s="178"/>
      <c r="OGP38" s="1"/>
      <c r="OGQ38" s="2"/>
      <c r="OGR38" s="161"/>
      <c r="OGS38" s="161"/>
      <c r="OGT38" s="1"/>
      <c r="OGU38" s="213"/>
      <c r="OGV38" s="1"/>
      <c r="OGW38" s="1"/>
      <c r="OGX38" s="1"/>
      <c r="OGY38" s="1"/>
      <c r="OGZ38" s="223"/>
      <c r="OHA38" s="222"/>
      <c r="OHB38" s="1"/>
      <c r="OHC38" s="301"/>
      <c r="OHD38" s="214"/>
      <c r="OHE38" s="5"/>
      <c r="OHF38" s="12"/>
      <c r="OHG38" s="5"/>
      <c r="OHH38" s="5"/>
      <c r="OHI38" s="1"/>
      <c r="OHJ38" s="1"/>
      <c r="OHK38" s="1"/>
      <c r="OHL38" s="1"/>
      <c r="OHM38" s="1"/>
      <c r="OHN38" s="178"/>
      <c r="OHO38" s="178"/>
      <c r="OHP38" s="1"/>
      <c r="OHQ38" s="2"/>
      <c r="OHR38" s="161"/>
      <c r="OHS38" s="161"/>
      <c r="OHT38" s="1"/>
      <c r="OHU38" s="213"/>
      <c r="OHV38" s="1"/>
      <c r="OHW38" s="1"/>
      <c r="OHX38" s="1"/>
      <c r="OHY38" s="1"/>
      <c r="OHZ38" s="223"/>
      <c r="OIA38" s="222"/>
      <c r="OIB38" s="1"/>
      <c r="OIC38" s="301"/>
      <c r="OID38" s="214"/>
      <c r="OIE38" s="5"/>
      <c r="OIF38" s="12"/>
      <c r="OIG38" s="5"/>
      <c r="OIH38" s="5"/>
      <c r="OII38" s="1"/>
      <c r="OIJ38" s="1"/>
      <c r="OIK38" s="1"/>
      <c r="OIL38" s="1"/>
      <c r="OIM38" s="1"/>
      <c r="OIN38" s="178"/>
      <c r="OIO38" s="178"/>
      <c r="OIP38" s="1"/>
      <c r="OIQ38" s="2"/>
      <c r="OIR38" s="161"/>
      <c r="OIS38" s="161"/>
      <c r="OIT38" s="1"/>
      <c r="OIU38" s="213"/>
      <c r="OIV38" s="1"/>
      <c r="OIW38" s="1"/>
      <c r="OIX38" s="1"/>
      <c r="OIY38" s="1"/>
      <c r="OIZ38" s="223"/>
      <c r="OJA38" s="222"/>
      <c r="OJB38" s="1"/>
      <c r="OJC38" s="301"/>
      <c r="OJD38" s="214"/>
      <c r="OJE38" s="5"/>
      <c r="OJF38" s="12"/>
      <c r="OJG38" s="5"/>
      <c r="OJH38" s="5"/>
      <c r="OJI38" s="1"/>
      <c r="OJJ38" s="1"/>
      <c r="OJK38" s="1"/>
      <c r="OJL38" s="1"/>
      <c r="OJM38" s="1"/>
      <c r="OJN38" s="178"/>
      <c r="OJO38" s="178"/>
      <c r="OJP38" s="1"/>
      <c r="OJQ38" s="2"/>
      <c r="OJR38" s="161"/>
      <c r="OJS38" s="161"/>
      <c r="OJT38" s="1"/>
      <c r="OJU38" s="213"/>
      <c r="OJV38" s="1"/>
      <c r="OJW38" s="1"/>
      <c r="OJX38" s="1"/>
      <c r="OJY38" s="1"/>
      <c r="OJZ38" s="223"/>
      <c r="OKA38" s="222"/>
      <c r="OKB38" s="1"/>
      <c r="OKC38" s="301"/>
      <c r="OKD38" s="214"/>
      <c r="OKE38" s="5"/>
      <c r="OKF38" s="12"/>
      <c r="OKG38" s="5"/>
      <c r="OKH38" s="5"/>
      <c r="OKI38" s="1"/>
      <c r="OKJ38" s="1"/>
      <c r="OKK38" s="1"/>
      <c r="OKL38" s="1"/>
      <c r="OKM38" s="1"/>
      <c r="OKN38" s="178"/>
      <c r="OKO38" s="178"/>
      <c r="OKP38" s="1"/>
      <c r="OKQ38" s="2"/>
      <c r="OKR38" s="161"/>
      <c r="OKS38" s="161"/>
      <c r="OKT38" s="1"/>
      <c r="OKU38" s="213"/>
      <c r="OKV38" s="1"/>
      <c r="OKW38" s="1"/>
      <c r="OKX38" s="1"/>
      <c r="OKY38" s="1"/>
      <c r="OKZ38" s="223"/>
      <c r="OLA38" s="222"/>
      <c r="OLB38" s="1"/>
      <c r="OLC38" s="301"/>
      <c r="OLD38" s="214"/>
      <c r="OLE38" s="5"/>
      <c r="OLF38" s="12"/>
      <c r="OLG38" s="5"/>
      <c r="OLH38" s="5"/>
      <c r="OLI38" s="1"/>
      <c r="OLJ38" s="1"/>
      <c r="OLK38" s="1"/>
      <c r="OLL38" s="1"/>
      <c r="OLM38" s="1"/>
      <c r="OLN38" s="178"/>
      <c r="OLO38" s="178"/>
      <c r="OLP38" s="1"/>
      <c r="OLQ38" s="2"/>
      <c r="OLR38" s="161"/>
      <c r="OLS38" s="161"/>
      <c r="OLT38" s="1"/>
      <c r="OLU38" s="213"/>
      <c r="OLV38" s="1"/>
      <c r="OLW38" s="1"/>
      <c r="OLX38" s="1"/>
      <c r="OLY38" s="1"/>
      <c r="OLZ38" s="223"/>
      <c r="OMA38" s="222"/>
      <c r="OMB38" s="1"/>
      <c r="OMC38" s="301"/>
      <c r="OMD38" s="214"/>
      <c r="OME38" s="5"/>
      <c r="OMF38" s="12"/>
      <c r="OMG38" s="5"/>
      <c r="OMH38" s="5"/>
      <c r="OMI38" s="1"/>
      <c r="OMJ38" s="1"/>
      <c r="OMK38" s="1"/>
      <c r="OML38" s="1"/>
      <c r="OMM38" s="1"/>
      <c r="OMN38" s="178"/>
      <c r="OMO38" s="178"/>
      <c r="OMP38" s="1"/>
      <c r="OMQ38" s="2"/>
      <c r="OMR38" s="161"/>
      <c r="OMS38" s="161"/>
      <c r="OMT38" s="1"/>
      <c r="OMU38" s="213"/>
      <c r="OMV38" s="1"/>
      <c r="OMW38" s="1"/>
      <c r="OMX38" s="1"/>
      <c r="OMY38" s="1"/>
      <c r="OMZ38" s="223"/>
      <c r="ONA38" s="222"/>
      <c r="ONB38" s="1"/>
      <c r="ONC38" s="301"/>
      <c r="OND38" s="214"/>
      <c r="ONE38" s="5"/>
      <c r="ONF38" s="12"/>
      <c r="ONG38" s="5"/>
      <c r="ONH38" s="5"/>
      <c r="ONI38" s="1"/>
      <c r="ONJ38" s="1"/>
      <c r="ONK38" s="1"/>
      <c r="ONL38" s="1"/>
      <c r="ONM38" s="1"/>
      <c r="ONN38" s="178"/>
      <c r="ONO38" s="178"/>
      <c r="ONP38" s="1"/>
      <c r="ONQ38" s="2"/>
      <c r="ONR38" s="161"/>
      <c r="ONS38" s="161"/>
      <c r="ONT38" s="1"/>
      <c r="ONU38" s="213"/>
      <c r="ONV38" s="1"/>
      <c r="ONW38" s="1"/>
      <c r="ONX38" s="1"/>
      <c r="ONY38" s="1"/>
      <c r="ONZ38" s="223"/>
      <c r="OOA38" s="222"/>
      <c r="OOB38" s="1"/>
      <c r="OOC38" s="301"/>
      <c r="OOD38" s="214"/>
      <c r="OOE38" s="5"/>
      <c r="OOF38" s="12"/>
      <c r="OOG38" s="5"/>
      <c r="OOH38" s="5"/>
      <c r="OOI38" s="1"/>
      <c r="OOJ38" s="1"/>
      <c r="OOK38" s="1"/>
      <c r="OOL38" s="1"/>
      <c r="OOM38" s="1"/>
      <c r="OON38" s="178"/>
      <c r="OOO38" s="178"/>
      <c r="OOP38" s="1"/>
      <c r="OOQ38" s="2"/>
      <c r="OOR38" s="161"/>
      <c r="OOS38" s="161"/>
      <c r="OOT38" s="1"/>
      <c r="OOU38" s="213"/>
      <c r="OOV38" s="1"/>
      <c r="OOW38" s="1"/>
      <c r="OOX38" s="1"/>
      <c r="OOY38" s="1"/>
      <c r="OOZ38" s="223"/>
      <c r="OPA38" s="222"/>
      <c r="OPB38" s="1"/>
      <c r="OPC38" s="301"/>
      <c r="OPD38" s="214"/>
      <c r="OPE38" s="5"/>
      <c r="OPF38" s="12"/>
      <c r="OPG38" s="5"/>
      <c r="OPH38" s="5"/>
      <c r="OPI38" s="1"/>
      <c r="OPJ38" s="1"/>
      <c r="OPK38" s="1"/>
      <c r="OPL38" s="1"/>
      <c r="OPM38" s="1"/>
      <c r="OPN38" s="178"/>
      <c r="OPO38" s="178"/>
      <c r="OPP38" s="1"/>
      <c r="OPQ38" s="2"/>
      <c r="OPR38" s="161"/>
      <c r="OPS38" s="161"/>
      <c r="OPT38" s="1"/>
      <c r="OPU38" s="213"/>
      <c r="OPV38" s="1"/>
      <c r="OPW38" s="1"/>
      <c r="OPX38" s="1"/>
      <c r="OPY38" s="1"/>
      <c r="OPZ38" s="223"/>
      <c r="OQA38" s="222"/>
      <c r="OQB38" s="1"/>
      <c r="OQC38" s="301"/>
      <c r="OQD38" s="214"/>
      <c r="OQE38" s="5"/>
      <c r="OQF38" s="12"/>
      <c r="OQG38" s="5"/>
      <c r="OQH38" s="5"/>
      <c r="OQI38" s="1"/>
      <c r="OQJ38" s="1"/>
      <c r="OQK38" s="1"/>
      <c r="OQL38" s="1"/>
      <c r="OQM38" s="1"/>
      <c r="OQN38" s="178"/>
      <c r="OQO38" s="178"/>
      <c r="OQP38" s="1"/>
      <c r="OQQ38" s="2"/>
      <c r="OQR38" s="161"/>
      <c r="OQS38" s="161"/>
      <c r="OQT38" s="1"/>
      <c r="OQU38" s="213"/>
      <c r="OQV38" s="1"/>
      <c r="OQW38" s="1"/>
      <c r="OQX38" s="1"/>
      <c r="OQY38" s="1"/>
      <c r="OQZ38" s="223"/>
      <c r="ORA38" s="222"/>
      <c r="ORB38" s="1"/>
      <c r="ORC38" s="301"/>
      <c r="ORD38" s="214"/>
      <c r="ORE38" s="5"/>
      <c r="ORF38" s="12"/>
      <c r="ORG38" s="5"/>
      <c r="ORH38" s="5"/>
      <c r="ORI38" s="1"/>
      <c r="ORJ38" s="1"/>
      <c r="ORK38" s="1"/>
      <c r="ORL38" s="1"/>
      <c r="ORM38" s="1"/>
      <c r="ORN38" s="178"/>
      <c r="ORO38" s="178"/>
      <c r="ORP38" s="1"/>
      <c r="ORQ38" s="2"/>
      <c r="ORR38" s="161"/>
      <c r="ORS38" s="161"/>
      <c r="ORT38" s="1"/>
      <c r="ORU38" s="213"/>
      <c r="ORV38" s="1"/>
      <c r="ORW38" s="1"/>
      <c r="ORX38" s="1"/>
      <c r="ORY38" s="1"/>
      <c r="ORZ38" s="223"/>
      <c r="OSA38" s="222"/>
      <c r="OSB38" s="1"/>
      <c r="OSC38" s="301"/>
      <c r="OSD38" s="214"/>
      <c r="OSE38" s="5"/>
      <c r="OSF38" s="12"/>
      <c r="OSG38" s="5"/>
      <c r="OSH38" s="5"/>
      <c r="OSI38" s="1"/>
      <c r="OSJ38" s="1"/>
      <c r="OSK38" s="1"/>
      <c r="OSL38" s="1"/>
      <c r="OSM38" s="1"/>
      <c r="OSN38" s="178"/>
      <c r="OSO38" s="178"/>
      <c r="OSP38" s="1"/>
      <c r="OSQ38" s="2"/>
      <c r="OSR38" s="161"/>
      <c r="OSS38" s="161"/>
      <c r="OST38" s="1"/>
      <c r="OSU38" s="213"/>
      <c r="OSV38" s="1"/>
      <c r="OSW38" s="1"/>
      <c r="OSX38" s="1"/>
      <c r="OSY38" s="1"/>
      <c r="OSZ38" s="223"/>
      <c r="OTA38" s="222"/>
      <c r="OTB38" s="1"/>
      <c r="OTC38" s="301"/>
      <c r="OTD38" s="214"/>
      <c r="OTE38" s="5"/>
      <c r="OTF38" s="12"/>
      <c r="OTG38" s="5"/>
      <c r="OTH38" s="5"/>
      <c r="OTI38" s="1"/>
      <c r="OTJ38" s="1"/>
      <c r="OTK38" s="1"/>
      <c r="OTL38" s="1"/>
      <c r="OTM38" s="1"/>
      <c r="OTN38" s="178"/>
      <c r="OTO38" s="178"/>
      <c r="OTP38" s="1"/>
      <c r="OTQ38" s="2"/>
      <c r="OTR38" s="161"/>
      <c r="OTS38" s="161"/>
      <c r="OTT38" s="1"/>
      <c r="OTU38" s="213"/>
      <c r="OTV38" s="1"/>
      <c r="OTW38" s="1"/>
      <c r="OTX38" s="1"/>
      <c r="OTY38" s="1"/>
      <c r="OTZ38" s="223"/>
      <c r="OUA38" s="222"/>
      <c r="OUB38" s="1"/>
      <c r="OUC38" s="301"/>
      <c r="OUD38" s="214"/>
      <c r="OUE38" s="5"/>
      <c r="OUF38" s="12"/>
      <c r="OUG38" s="5"/>
      <c r="OUH38" s="5"/>
      <c r="OUI38" s="1"/>
      <c r="OUJ38" s="1"/>
      <c r="OUK38" s="1"/>
      <c r="OUL38" s="1"/>
      <c r="OUM38" s="1"/>
      <c r="OUN38" s="178"/>
      <c r="OUO38" s="178"/>
      <c r="OUP38" s="1"/>
      <c r="OUQ38" s="2"/>
      <c r="OUR38" s="161"/>
      <c r="OUS38" s="161"/>
      <c r="OUT38" s="1"/>
      <c r="OUU38" s="213"/>
      <c r="OUV38" s="1"/>
      <c r="OUW38" s="1"/>
      <c r="OUX38" s="1"/>
      <c r="OUY38" s="1"/>
      <c r="OUZ38" s="223"/>
      <c r="OVA38" s="222"/>
      <c r="OVB38" s="1"/>
      <c r="OVC38" s="301"/>
      <c r="OVD38" s="214"/>
      <c r="OVE38" s="5"/>
      <c r="OVF38" s="12"/>
      <c r="OVG38" s="5"/>
      <c r="OVH38" s="5"/>
      <c r="OVI38" s="1"/>
      <c r="OVJ38" s="1"/>
      <c r="OVK38" s="1"/>
      <c r="OVL38" s="1"/>
      <c r="OVM38" s="1"/>
      <c r="OVN38" s="178"/>
      <c r="OVO38" s="178"/>
      <c r="OVP38" s="1"/>
      <c r="OVQ38" s="2"/>
      <c r="OVR38" s="161"/>
      <c r="OVS38" s="161"/>
      <c r="OVT38" s="1"/>
      <c r="OVU38" s="213"/>
      <c r="OVV38" s="1"/>
      <c r="OVW38" s="1"/>
      <c r="OVX38" s="1"/>
      <c r="OVY38" s="1"/>
      <c r="OVZ38" s="223"/>
      <c r="OWA38" s="222"/>
      <c r="OWB38" s="1"/>
      <c r="OWC38" s="301"/>
      <c r="OWD38" s="214"/>
      <c r="OWE38" s="5"/>
      <c r="OWF38" s="12"/>
      <c r="OWG38" s="5"/>
      <c r="OWH38" s="5"/>
      <c r="OWI38" s="1"/>
      <c r="OWJ38" s="1"/>
      <c r="OWK38" s="1"/>
      <c r="OWL38" s="1"/>
      <c r="OWM38" s="1"/>
      <c r="OWN38" s="178"/>
      <c r="OWO38" s="178"/>
      <c r="OWP38" s="1"/>
      <c r="OWQ38" s="2"/>
      <c r="OWR38" s="161"/>
      <c r="OWS38" s="161"/>
      <c r="OWT38" s="1"/>
      <c r="OWU38" s="213"/>
      <c r="OWV38" s="1"/>
      <c r="OWW38" s="1"/>
      <c r="OWX38" s="1"/>
      <c r="OWY38" s="1"/>
      <c r="OWZ38" s="223"/>
      <c r="OXA38" s="222"/>
      <c r="OXB38" s="1"/>
      <c r="OXC38" s="301"/>
      <c r="OXD38" s="214"/>
      <c r="OXE38" s="5"/>
      <c r="OXF38" s="12"/>
      <c r="OXG38" s="5"/>
      <c r="OXH38" s="5"/>
      <c r="OXI38" s="1"/>
      <c r="OXJ38" s="1"/>
      <c r="OXK38" s="1"/>
      <c r="OXL38" s="1"/>
      <c r="OXM38" s="1"/>
      <c r="OXN38" s="178"/>
      <c r="OXO38" s="178"/>
      <c r="OXP38" s="1"/>
      <c r="OXQ38" s="2"/>
      <c r="OXR38" s="161"/>
      <c r="OXS38" s="161"/>
      <c r="OXT38" s="1"/>
      <c r="OXU38" s="213"/>
      <c r="OXV38" s="1"/>
      <c r="OXW38" s="1"/>
      <c r="OXX38" s="1"/>
      <c r="OXY38" s="1"/>
      <c r="OXZ38" s="223"/>
      <c r="OYA38" s="222"/>
      <c r="OYB38" s="1"/>
      <c r="OYC38" s="301"/>
      <c r="OYD38" s="214"/>
      <c r="OYE38" s="5"/>
      <c r="OYF38" s="12"/>
      <c r="OYG38" s="5"/>
      <c r="OYH38" s="5"/>
      <c r="OYI38" s="1"/>
      <c r="OYJ38" s="1"/>
      <c r="OYK38" s="1"/>
      <c r="OYL38" s="1"/>
      <c r="OYM38" s="1"/>
      <c r="OYN38" s="178"/>
      <c r="OYO38" s="178"/>
      <c r="OYP38" s="1"/>
      <c r="OYQ38" s="2"/>
      <c r="OYR38" s="161"/>
      <c r="OYS38" s="161"/>
      <c r="OYT38" s="1"/>
      <c r="OYU38" s="213"/>
      <c r="OYV38" s="1"/>
      <c r="OYW38" s="1"/>
      <c r="OYX38" s="1"/>
      <c r="OYY38" s="1"/>
      <c r="OYZ38" s="223"/>
      <c r="OZA38" s="222"/>
      <c r="OZB38" s="1"/>
      <c r="OZC38" s="301"/>
      <c r="OZD38" s="214"/>
      <c r="OZE38" s="5"/>
      <c r="OZF38" s="12"/>
      <c r="OZG38" s="5"/>
      <c r="OZH38" s="5"/>
      <c r="OZI38" s="1"/>
      <c r="OZJ38" s="1"/>
      <c r="OZK38" s="1"/>
      <c r="OZL38" s="1"/>
      <c r="OZM38" s="1"/>
      <c r="OZN38" s="178"/>
      <c r="OZO38" s="178"/>
      <c r="OZP38" s="1"/>
      <c r="OZQ38" s="2"/>
      <c r="OZR38" s="161"/>
      <c r="OZS38" s="161"/>
      <c r="OZT38" s="1"/>
      <c r="OZU38" s="213"/>
      <c r="OZV38" s="1"/>
      <c r="OZW38" s="1"/>
      <c r="OZX38" s="1"/>
      <c r="OZY38" s="1"/>
      <c r="OZZ38" s="223"/>
      <c r="PAA38" s="222"/>
      <c r="PAB38" s="1"/>
      <c r="PAC38" s="301"/>
      <c r="PAD38" s="214"/>
      <c r="PAE38" s="5"/>
      <c r="PAF38" s="12"/>
      <c r="PAG38" s="5"/>
      <c r="PAH38" s="5"/>
      <c r="PAI38" s="1"/>
      <c r="PAJ38" s="1"/>
      <c r="PAK38" s="1"/>
      <c r="PAL38" s="1"/>
      <c r="PAM38" s="1"/>
      <c r="PAN38" s="178"/>
      <c r="PAO38" s="178"/>
      <c r="PAP38" s="1"/>
      <c r="PAQ38" s="2"/>
      <c r="PAR38" s="161"/>
      <c r="PAS38" s="161"/>
      <c r="PAT38" s="1"/>
      <c r="PAU38" s="213"/>
      <c r="PAV38" s="1"/>
      <c r="PAW38" s="1"/>
      <c r="PAX38" s="1"/>
      <c r="PAY38" s="1"/>
      <c r="PAZ38" s="223"/>
      <c r="PBA38" s="222"/>
      <c r="PBB38" s="1"/>
      <c r="PBC38" s="301"/>
      <c r="PBD38" s="214"/>
      <c r="PBE38" s="5"/>
      <c r="PBF38" s="12"/>
      <c r="PBG38" s="5"/>
      <c r="PBH38" s="5"/>
      <c r="PBI38" s="1"/>
      <c r="PBJ38" s="1"/>
      <c r="PBK38" s="1"/>
      <c r="PBL38" s="1"/>
      <c r="PBM38" s="1"/>
      <c r="PBN38" s="178"/>
      <c r="PBO38" s="178"/>
      <c r="PBP38" s="1"/>
      <c r="PBQ38" s="2"/>
      <c r="PBR38" s="161"/>
      <c r="PBS38" s="161"/>
      <c r="PBT38" s="1"/>
      <c r="PBU38" s="213"/>
      <c r="PBV38" s="1"/>
      <c r="PBW38" s="1"/>
      <c r="PBX38" s="1"/>
      <c r="PBY38" s="1"/>
      <c r="PBZ38" s="223"/>
      <c r="PCA38" s="222"/>
      <c r="PCB38" s="1"/>
      <c r="PCC38" s="301"/>
      <c r="PCD38" s="214"/>
      <c r="PCE38" s="5"/>
      <c r="PCF38" s="12"/>
      <c r="PCG38" s="5"/>
      <c r="PCH38" s="5"/>
      <c r="PCI38" s="1"/>
      <c r="PCJ38" s="1"/>
      <c r="PCK38" s="1"/>
      <c r="PCL38" s="1"/>
      <c r="PCM38" s="1"/>
      <c r="PCN38" s="178"/>
      <c r="PCO38" s="178"/>
      <c r="PCP38" s="1"/>
      <c r="PCQ38" s="2"/>
      <c r="PCR38" s="161"/>
      <c r="PCS38" s="161"/>
      <c r="PCT38" s="1"/>
      <c r="PCU38" s="213"/>
      <c r="PCV38" s="1"/>
      <c r="PCW38" s="1"/>
      <c r="PCX38" s="1"/>
      <c r="PCY38" s="1"/>
      <c r="PCZ38" s="223"/>
      <c r="PDA38" s="222"/>
      <c r="PDB38" s="1"/>
      <c r="PDC38" s="301"/>
      <c r="PDD38" s="214"/>
      <c r="PDE38" s="5"/>
      <c r="PDF38" s="12"/>
      <c r="PDG38" s="5"/>
      <c r="PDH38" s="5"/>
      <c r="PDI38" s="1"/>
      <c r="PDJ38" s="1"/>
      <c r="PDK38" s="1"/>
      <c r="PDL38" s="1"/>
      <c r="PDM38" s="1"/>
      <c r="PDN38" s="178"/>
      <c r="PDO38" s="178"/>
      <c r="PDP38" s="1"/>
      <c r="PDQ38" s="2"/>
      <c r="PDR38" s="161"/>
      <c r="PDS38" s="161"/>
      <c r="PDT38" s="1"/>
      <c r="PDU38" s="213"/>
      <c r="PDV38" s="1"/>
      <c r="PDW38" s="1"/>
      <c r="PDX38" s="1"/>
      <c r="PDY38" s="1"/>
      <c r="PDZ38" s="223"/>
      <c r="PEA38" s="222"/>
      <c r="PEB38" s="1"/>
      <c r="PEC38" s="301"/>
      <c r="PED38" s="214"/>
      <c r="PEE38" s="5"/>
      <c r="PEF38" s="12"/>
      <c r="PEG38" s="5"/>
      <c r="PEH38" s="5"/>
      <c r="PEI38" s="1"/>
      <c r="PEJ38" s="1"/>
      <c r="PEK38" s="1"/>
      <c r="PEL38" s="1"/>
      <c r="PEM38" s="1"/>
      <c r="PEN38" s="178"/>
      <c r="PEO38" s="178"/>
      <c r="PEP38" s="1"/>
      <c r="PEQ38" s="2"/>
      <c r="PER38" s="161"/>
      <c r="PES38" s="161"/>
      <c r="PET38" s="1"/>
      <c r="PEU38" s="213"/>
      <c r="PEV38" s="1"/>
      <c r="PEW38" s="1"/>
      <c r="PEX38" s="1"/>
      <c r="PEY38" s="1"/>
      <c r="PEZ38" s="223"/>
      <c r="PFA38" s="222"/>
      <c r="PFB38" s="1"/>
      <c r="PFC38" s="301"/>
      <c r="PFD38" s="214"/>
      <c r="PFE38" s="5"/>
      <c r="PFF38" s="12"/>
      <c r="PFG38" s="5"/>
      <c r="PFH38" s="5"/>
      <c r="PFI38" s="1"/>
      <c r="PFJ38" s="1"/>
      <c r="PFK38" s="1"/>
      <c r="PFL38" s="1"/>
      <c r="PFM38" s="1"/>
      <c r="PFN38" s="178"/>
      <c r="PFO38" s="178"/>
      <c r="PFP38" s="1"/>
      <c r="PFQ38" s="2"/>
      <c r="PFR38" s="161"/>
      <c r="PFS38" s="161"/>
      <c r="PFT38" s="1"/>
      <c r="PFU38" s="213"/>
      <c r="PFV38" s="1"/>
      <c r="PFW38" s="1"/>
      <c r="PFX38" s="1"/>
      <c r="PFY38" s="1"/>
      <c r="PFZ38" s="223"/>
      <c r="PGA38" s="222"/>
      <c r="PGB38" s="1"/>
      <c r="PGC38" s="301"/>
      <c r="PGD38" s="214"/>
      <c r="PGE38" s="5"/>
      <c r="PGF38" s="12"/>
      <c r="PGG38" s="5"/>
      <c r="PGH38" s="5"/>
      <c r="PGI38" s="1"/>
      <c r="PGJ38" s="1"/>
      <c r="PGK38" s="1"/>
      <c r="PGL38" s="1"/>
      <c r="PGM38" s="1"/>
      <c r="PGN38" s="178"/>
      <c r="PGO38" s="178"/>
      <c r="PGP38" s="1"/>
      <c r="PGQ38" s="2"/>
      <c r="PGR38" s="161"/>
      <c r="PGS38" s="161"/>
      <c r="PGT38" s="1"/>
      <c r="PGU38" s="213"/>
      <c r="PGV38" s="1"/>
      <c r="PGW38" s="1"/>
      <c r="PGX38" s="1"/>
      <c r="PGY38" s="1"/>
      <c r="PGZ38" s="223"/>
      <c r="PHA38" s="222"/>
      <c r="PHB38" s="1"/>
      <c r="PHC38" s="301"/>
      <c r="PHD38" s="214"/>
      <c r="PHE38" s="5"/>
      <c r="PHF38" s="12"/>
      <c r="PHG38" s="5"/>
      <c r="PHH38" s="5"/>
      <c r="PHI38" s="1"/>
      <c r="PHJ38" s="1"/>
      <c r="PHK38" s="1"/>
      <c r="PHL38" s="1"/>
      <c r="PHM38" s="1"/>
      <c r="PHN38" s="178"/>
      <c r="PHO38" s="178"/>
      <c r="PHP38" s="1"/>
      <c r="PHQ38" s="2"/>
      <c r="PHR38" s="161"/>
      <c r="PHS38" s="161"/>
      <c r="PHT38" s="1"/>
      <c r="PHU38" s="213"/>
      <c r="PHV38" s="1"/>
      <c r="PHW38" s="1"/>
      <c r="PHX38" s="1"/>
      <c r="PHY38" s="1"/>
      <c r="PHZ38" s="223"/>
      <c r="PIA38" s="222"/>
      <c r="PIB38" s="1"/>
      <c r="PIC38" s="301"/>
      <c r="PID38" s="214"/>
      <c r="PIE38" s="5"/>
      <c r="PIF38" s="12"/>
      <c r="PIG38" s="5"/>
      <c r="PIH38" s="5"/>
      <c r="PII38" s="1"/>
      <c r="PIJ38" s="1"/>
      <c r="PIK38" s="1"/>
      <c r="PIL38" s="1"/>
      <c r="PIM38" s="1"/>
      <c r="PIN38" s="178"/>
      <c r="PIO38" s="178"/>
      <c r="PIP38" s="1"/>
      <c r="PIQ38" s="2"/>
      <c r="PIR38" s="161"/>
      <c r="PIS38" s="161"/>
      <c r="PIT38" s="1"/>
      <c r="PIU38" s="213"/>
      <c r="PIV38" s="1"/>
      <c r="PIW38" s="1"/>
      <c r="PIX38" s="1"/>
      <c r="PIY38" s="1"/>
      <c r="PIZ38" s="223"/>
      <c r="PJA38" s="222"/>
      <c r="PJB38" s="1"/>
      <c r="PJC38" s="301"/>
      <c r="PJD38" s="214"/>
      <c r="PJE38" s="5"/>
      <c r="PJF38" s="12"/>
      <c r="PJG38" s="5"/>
      <c r="PJH38" s="5"/>
      <c r="PJI38" s="1"/>
      <c r="PJJ38" s="1"/>
      <c r="PJK38" s="1"/>
      <c r="PJL38" s="1"/>
      <c r="PJM38" s="1"/>
      <c r="PJN38" s="178"/>
      <c r="PJO38" s="178"/>
      <c r="PJP38" s="1"/>
      <c r="PJQ38" s="2"/>
      <c r="PJR38" s="161"/>
      <c r="PJS38" s="161"/>
      <c r="PJT38" s="1"/>
      <c r="PJU38" s="213"/>
      <c r="PJV38" s="1"/>
      <c r="PJW38" s="1"/>
      <c r="PJX38" s="1"/>
      <c r="PJY38" s="1"/>
      <c r="PJZ38" s="223"/>
      <c r="PKA38" s="222"/>
      <c r="PKB38" s="1"/>
      <c r="PKC38" s="301"/>
      <c r="PKD38" s="214"/>
      <c r="PKE38" s="5"/>
      <c r="PKF38" s="12"/>
      <c r="PKG38" s="5"/>
      <c r="PKH38" s="5"/>
      <c r="PKI38" s="1"/>
      <c r="PKJ38" s="1"/>
      <c r="PKK38" s="1"/>
      <c r="PKL38" s="1"/>
      <c r="PKM38" s="1"/>
      <c r="PKN38" s="178"/>
      <c r="PKO38" s="178"/>
      <c r="PKP38" s="1"/>
      <c r="PKQ38" s="2"/>
      <c r="PKR38" s="161"/>
      <c r="PKS38" s="161"/>
      <c r="PKT38" s="1"/>
      <c r="PKU38" s="213"/>
      <c r="PKV38" s="1"/>
      <c r="PKW38" s="1"/>
      <c r="PKX38" s="1"/>
      <c r="PKY38" s="1"/>
      <c r="PKZ38" s="223"/>
      <c r="PLA38" s="222"/>
      <c r="PLB38" s="1"/>
      <c r="PLC38" s="301"/>
      <c r="PLD38" s="214"/>
      <c r="PLE38" s="5"/>
      <c r="PLF38" s="12"/>
      <c r="PLG38" s="5"/>
      <c r="PLH38" s="5"/>
      <c r="PLI38" s="1"/>
      <c r="PLJ38" s="1"/>
      <c r="PLK38" s="1"/>
      <c r="PLL38" s="1"/>
      <c r="PLM38" s="1"/>
      <c r="PLN38" s="178"/>
      <c r="PLO38" s="178"/>
      <c r="PLP38" s="1"/>
      <c r="PLQ38" s="2"/>
      <c r="PLR38" s="161"/>
      <c r="PLS38" s="161"/>
      <c r="PLT38" s="1"/>
      <c r="PLU38" s="213"/>
      <c r="PLV38" s="1"/>
      <c r="PLW38" s="1"/>
      <c r="PLX38" s="1"/>
      <c r="PLY38" s="1"/>
      <c r="PLZ38" s="223"/>
      <c r="PMA38" s="222"/>
      <c r="PMB38" s="1"/>
      <c r="PMC38" s="301"/>
      <c r="PMD38" s="214"/>
      <c r="PME38" s="5"/>
      <c r="PMF38" s="12"/>
      <c r="PMG38" s="5"/>
      <c r="PMH38" s="5"/>
      <c r="PMI38" s="1"/>
      <c r="PMJ38" s="1"/>
      <c r="PMK38" s="1"/>
      <c r="PML38" s="1"/>
      <c r="PMM38" s="1"/>
      <c r="PMN38" s="178"/>
      <c r="PMO38" s="178"/>
      <c r="PMP38" s="1"/>
      <c r="PMQ38" s="2"/>
      <c r="PMR38" s="161"/>
      <c r="PMS38" s="161"/>
      <c r="PMT38" s="1"/>
      <c r="PMU38" s="213"/>
      <c r="PMV38" s="1"/>
      <c r="PMW38" s="1"/>
      <c r="PMX38" s="1"/>
      <c r="PMY38" s="1"/>
      <c r="PMZ38" s="223"/>
      <c r="PNA38" s="222"/>
      <c r="PNB38" s="1"/>
      <c r="PNC38" s="301"/>
      <c r="PND38" s="214"/>
      <c r="PNE38" s="5"/>
      <c r="PNF38" s="12"/>
      <c r="PNG38" s="5"/>
      <c r="PNH38" s="5"/>
      <c r="PNI38" s="1"/>
      <c r="PNJ38" s="1"/>
      <c r="PNK38" s="1"/>
      <c r="PNL38" s="1"/>
      <c r="PNM38" s="1"/>
      <c r="PNN38" s="178"/>
      <c r="PNO38" s="178"/>
      <c r="PNP38" s="1"/>
      <c r="PNQ38" s="2"/>
      <c r="PNR38" s="161"/>
      <c r="PNS38" s="161"/>
      <c r="PNT38" s="1"/>
      <c r="PNU38" s="213"/>
      <c r="PNV38" s="1"/>
      <c r="PNW38" s="1"/>
      <c r="PNX38" s="1"/>
      <c r="PNY38" s="1"/>
      <c r="PNZ38" s="223"/>
      <c r="POA38" s="222"/>
      <c r="POB38" s="1"/>
      <c r="POC38" s="301"/>
      <c r="POD38" s="214"/>
      <c r="POE38" s="5"/>
      <c r="POF38" s="12"/>
      <c r="POG38" s="5"/>
      <c r="POH38" s="5"/>
      <c r="POI38" s="1"/>
      <c r="POJ38" s="1"/>
      <c r="POK38" s="1"/>
      <c r="POL38" s="1"/>
      <c r="POM38" s="1"/>
      <c r="PON38" s="178"/>
      <c r="POO38" s="178"/>
      <c r="POP38" s="1"/>
      <c r="POQ38" s="2"/>
      <c r="POR38" s="161"/>
      <c r="POS38" s="161"/>
      <c r="POT38" s="1"/>
      <c r="POU38" s="213"/>
      <c r="POV38" s="1"/>
      <c r="POW38" s="1"/>
      <c r="POX38" s="1"/>
      <c r="POY38" s="1"/>
      <c r="POZ38" s="223"/>
      <c r="PPA38" s="222"/>
      <c r="PPB38" s="1"/>
      <c r="PPC38" s="301"/>
      <c r="PPD38" s="214"/>
      <c r="PPE38" s="5"/>
      <c r="PPF38" s="12"/>
      <c r="PPG38" s="5"/>
      <c r="PPH38" s="5"/>
      <c r="PPI38" s="1"/>
      <c r="PPJ38" s="1"/>
      <c r="PPK38" s="1"/>
      <c r="PPL38" s="1"/>
      <c r="PPM38" s="1"/>
      <c r="PPN38" s="178"/>
      <c r="PPO38" s="178"/>
      <c r="PPP38" s="1"/>
      <c r="PPQ38" s="2"/>
      <c r="PPR38" s="161"/>
      <c r="PPS38" s="161"/>
      <c r="PPT38" s="1"/>
      <c r="PPU38" s="213"/>
      <c r="PPV38" s="1"/>
      <c r="PPW38" s="1"/>
      <c r="PPX38" s="1"/>
      <c r="PPY38" s="1"/>
      <c r="PPZ38" s="223"/>
      <c r="PQA38" s="222"/>
      <c r="PQB38" s="1"/>
      <c r="PQC38" s="301"/>
      <c r="PQD38" s="214"/>
      <c r="PQE38" s="5"/>
      <c r="PQF38" s="12"/>
      <c r="PQG38" s="5"/>
      <c r="PQH38" s="5"/>
      <c r="PQI38" s="1"/>
      <c r="PQJ38" s="1"/>
      <c r="PQK38" s="1"/>
      <c r="PQL38" s="1"/>
      <c r="PQM38" s="1"/>
      <c r="PQN38" s="178"/>
      <c r="PQO38" s="178"/>
      <c r="PQP38" s="1"/>
      <c r="PQQ38" s="2"/>
      <c r="PQR38" s="161"/>
      <c r="PQS38" s="161"/>
      <c r="PQT38" s="1"/>
      <c r="PQU38" s="213"/>
      <c r="PQV38" s="1"/>
      <c r="PQW38" s="1"/>
      <c r="PQX38" s="1"/>
      <c r="PQY38" s="1"/>
      <c r="PQZ38" s="223"/>
      <c r="PRA38" s="222"/>
      <c r="PRB38" s="1"/>
      <c r="PRC38" s="301"/>
      <c r="PRD38" s="214"/>
      <c r="PRE38" s="5"/>
      <c r="PRF38" s="12"/>
      <c r="PRG38" s="5"/>
      <c r="PRH38" s="5"/>
      <c r="PRI38" s="1"/>
      <c r="PRJ38" s="1"/>
      <c r="PRK38" s="1"/>
      <c r="PRL38" s="1"/>
      <c r="PRM38" s="1"/>
      <c r="PRN38" s="178"/>
      <c r="PRO38" s="178"/>
      <c r="PRP38" s="1"/>
      <c r="PRQ38" s="2"/>
      <c r="PRR38" s="161"/>
      <c r="PRS38" s="161"/>
      <c r="PRT38" s="1"/>
      <c r="PRU38" s="213"/>
      <c r="PRV38" s="1"/>
      <c r="PRW38" s="1"/>
      <c r="PRX38" s="1"/>
      <c r="PRY38" s="1"/>
      <c r="PRZ38" s="223"/>
      <c r="PSA38" s="222"/>
      <c r="PSB38" s="1"/>
      <c r="PSC38" s="301"/>
      <c r="PSD38" s="214"/>
      <c r="PSE38" s="5"/>
      <c r="PSF38" s="12"/>
      <c r="PSG38" s="5"/>
      <c r="PSH38" s="5"/>
      <c r="PSI38" s="1"/>
      <c r="PSJ38" s="1"/>
      <c r="PSK38" s="1"/>
      <c r="PSL38" s="1"/>
      <c r="PSM38" s="1"/>
      <c r="PSN38" s="178"/>
      <c r="PSO38" s="178"/>
      <c r="PSP38" s="1"/>
      <c r="PSQ38" s="2"/>
      <c r="PSR38" s="161"/>
      <c r="PSS38" s="161"/>
      <c r="PST38" s="1"/>
      <c r="PSU38" s="213"/>
      <c r="PSV38" s="1"/>
      <c r="PSW38" s="1"/>
      <c r="PSX38" s="1"/>
      <c r="PSY38" s="1"/>
      <c r="PSZ38" s="223"/>
      <c r="PTA38" s="222"/>
      <c r="PTB38" s="1"/>
      <c r="PTC38" s="301"/>
      <c r="PTD38" s="214"/>
      <c r="PTE38" s="5"/>
      <c r="PTF38" s="12"/>
      <c r="PTG38" s="5"/>
      <c r="PTH38" s="5"/>
      <c r="PTI38" s="1"/>
      <c r="PTJ38" s="1"/>
      <c r="PTK38" s="1"/>
      <c r="PTL38" s="1"/>
      <c r="PTM38" s="1"/>
      <c r="PTN38" s="178"/>
      <c r="PTO38" s="178"/>
      <c r="PTP38" s="1"/>
      <c r="PTQ38" s="2"/>
      <c r="PTR38" s="161"/>
      <c r="PTS38" s="161"/>
      <c r="PTT38" s="1"/>
      <c r="PTU38" s="213"/>
      <c r="PTV38" s="1"/>
      <c r="PTW38" s="1"/>
      <c r="PTX38" s="1"/>
      <c r="PTY38" s="1"/>
      <c r="PTZ38" s="223"/>
      <c r="PUA38" s="222"/>
      <c r="PUB38" s="1"/>
      <c r="PUC38" s="301"/>
      <c r="PUD38" s="214"/>
      <c r="PUE38" s="5"/>
      <c r="PUF38" s="12"/>
      <c r="PUG38" s="5"/>
      <c r="PUH38" s="5"/>
      <c r="PUI38" s="1"/>
      <c r="PUJ38" s="1"/>
      <c r="PUK38" s="1"/>
      <c r="PUL38" s="1"/>
      <c r="PUM38" s="1"/>
      <c r="PUN38" s="178"/>
      <c r="PUO38" s="178"/>
      <c r="PUP38" s="1"/>
      <c r="PUQ38" s="2"/>
      <c r="PUR38" s="161"/>
      <c r="PUS38" s="161"/>
      <c r="PUT38" s="1"/>
      <c r="PUU38" s="213"/>
      <c r="PUV38" s="1"/>
      <c r="PUW38" s="1"/>
      <c r="PUX38" s="1"/>
      <c r="PUY38" s="1"/>
      <c r="PUZ38" s="223"/>
      <c r="PVA38" s="222"/>
      <c r="PVB38" s="1"/>
      <c r="PVC38" s="301"/>
      <c r="PVD38" s="214"/>
      <c r="PVE38" s="5"/>
      <c r="PVF38" s="12"/>
      <c r="PVG38" s="5"/>
      <c r="PVH38" s="5"/>
      <c r="PVI38" s="1"/>
      <c r="PVJ38" s="1"/>
      <c r="PVK38" s="1"/>
      <c r="PVL38" s="1"/>
      <c r="PVM38" s="1"/>
      <c r="PVN38" s="178"/>
      <c r="PVO38" s="178"/>
      <c r="PVP38" s="1"/>
      <c r="PVQ38" s="2"/>
      <c r="PVR38" s="161"/>
      <c r="PVS38" s="161"/>
      <c r="PVT38" s="1"/>
      <c r="PVU38" s="213"/>
      <c r="PVV38" s="1"/>
      <c r="PVW38" s="1"/>
      <c r="PVX38" s="1"/>
      <c r="PVY38" s="1"/>
      <c r="PVZ38" s="223"/>
      <c r="PWA38" s="222"/>
      <c r="PWB38" s="1"/>
      <c r="PWC38" s="301"/>
      <c r="PWD38" s="214"/>
      <c r="PWE38" s="5"/>
      <c r="PWF38" s="12"/>
      <c r="PWG38" s="5"/>
      <c r="PWH38" s="5"/>
      <c r="PWI38" s="1"/>
      <c r="PWJ38" s="1"/>
      <c r="PWK38" s="1"/>
      <c r="PWL38" s="1"/>
      <c r="PWM38" s="1"/>
      <c r="PWN38" s="178"/>
      <c r="PWO38" s="178"/>
      <c r="PWP38" s="1"/>
      <c r="PWQ38" s="2"/>
      <c r="PWR38" s="161"/>
      <c r="PWS38" s="161"/>
      <c r="PWT38" s="1"/>
      <c r="PWU38" s="213"/>
      <c r="PWV38" s="1"/>
      <c r="PWW38" s="1"/>
      <c r="PWX38" s="1"/>
      <c r="PWY38" s="1"/>
      <c r="PWZ38" s="223"/>
      <c r="PXA38" s="222"/>
      <c r="PXB38" s="1"/>
      <c r="PXC38" s="301"/>
      <c r="PXD38" s="214"/>
      <c r="PXE38" s="5"/>
      <c r="PXF38" s="12"/>
      <c r="PXG38" s="5"/>
      <c r="PXH38" s="5"/>
      <c r="PXI38" s="1"/>
      <c r="PXJ38" s="1"/>
      <c r="PXK38" s="1"/>
      <c r="PXL38" s="1"/>
      <c r="PXM38" s="1"/>
      <c r="PXN38" s="178"/>
      <c r="PXO38" s="178"/>
      <c r="PXP38" s="1"/>
      <c r="PXQ38" s="2"/>
      <c r="PXR38" s="161"/>
      <c r="PXS38" s="161"/>
      <c r="PXT38" s="1"/>
      <c r="PXU38" s="213"/>
      <c r="PXV38" s="1"/>
      <c r="PXW38" s="1"/>
      <c r="PXX38" s="1"/>
      <c r="PXY38" s="1"/>
      <c r="PXZ38" s="223"/>
      <c r="PYA38" s="222"/>
      <c r="PYB38" s="1"/>
      <c r="PYC38" s="301"/>
      <c r="PYD38" s="214"/>
      <c r="PYE38" s="5"/>
      <c r="PYF38" s="12"/>
      <c r="PYG38" s="5"/>
      <c r="PYH38" s="5"/>
      <c r="PYI38" s="1"/>
      <c r="PYJ38" s="1"/>
      <c r="PYK38" s="1"/>
      <c r="PYL38" s="1"/>
      <c r="PYM38" s="1"/>
      <c r="PYN38" s="178"/>
      <c r="PYO38" s="178"/>
      <c r="PYP38" s="1"/>
      <c r="PYQ38" s="2"/>
      <c r="PYR38" s="161"/>
      <c r="PYS38" s="161"/>
      <c r="PYT38" s="1"/>
      <c r="PYU38" s="213"/>
      <c r="PYV38" s="1"/>
      <c r="PYW38" s="1"/>
      <c r="PYX38" s="1"/>
      <c r="PYY38" s="1"/>
      <c r="PYZ38" s="223"/>
      <c r="PZA38" s="222"/>
      <c r="PZB38" s="1"/>
      <c r="PZC38" s="301"/>
      <c r="PZD38" s="214"/>
      <c r="PZE38" s="5"/>
      <c r="PZF38" s="12"/>
      <c r="PZG38" s="5"/>
      <c r="PZH38" s="5"/>
      <c r="PZI38" s="1"/>
      <c r="PZJ38" s="1"/>
      <c r="PZK38" s="1"/>
      <c r="PZL38" s="1"/>
      <c r="PZM38" s="1"/>
      <c r="PZN38" s="178"/>
      <c r="PZO38" s="178"/>
      <c r="PZP38" s="1"/>
      <c r="PZQ38" s="2"/>
      <c r="PZR38" s="161"/>
      <c r="PZS38" s="161"/>
      <c r="PZT38" s="1"/>
      <c r="PZU38" s="213"/>
      <c r="PZV38" s="1"/>
      <c r="PZW38" s="1"/>
      <c r="PZX38" s="1"/>
      <c r="PZY38" s="1"/>
      <c r="PZZ38" s="223"/>
      <c r="QAA38" s="222"/>
      <c r="QAB38" s="1"/>
      <c r="QAC38" s="301"/>
      <c r="QAD38" s="214"/>
      <c r="QAE38" s="5"/>
      <c r="QAF38" s="12"/>
      <c r="QAG38" s="5"/>
      <c r="QAH38" s="5"/>
      <c r="QAI38" s="1"/>
      <c r="QAJ38" s="1"/>
      <c r="QAK38" s="1"/>
      <c r="QAL38" s="1"/>
      <c r="QAM38" s="1"/>
      <c r="QAN38" s="178"/>
      <c r="QAO38" s="178"/>
      <c r="QAP38" s="1"/>
      <c r="QAQ38" s="2"/>
      <c r="QAR38" s="161"/>
      <c r="QAS38" s="161"/>
      <c r="QAT38" s="1"/>
      <c r="QAU38" s="213"/>
      <c r="QAV38" s="1"/>
      <c r="QAW38" s="1"/>
      <c r="QAX38" s="1"/>
      <c r="QAY38" s="1"/>
      <c r="QAZ38" s="223"/>
      <c r="QBA38" s="222"/>
      <c r="QBB38" s="1"/>
      <c r="QBC38" s="301"/>
      <c r="QBD38" s="214"/>
      <c r="QBE38" s="5"/>
      <c r="QBF38" s="12"/>
      <c r="QBG38" s="5"/>
      <c r="QBH38" s="5"/>
      <c r="QBI38" s="1"/>
      <c r="QBJ38" s="1"/>
      <c r="QBK38" s="1"/>
      <c r="QBL38" s="1"/>
      <c r="QBM38" s="1"/>
      <c r="QBN38" s="178"/>
      <c r="QBO38" s="178"/>
      <c r="QBP38" s="1"/>
      <c r="QBQ38" s="2"/>
      <c r="QBR38" s="161"/>
      <c r="QBS38" s="161"/>
      <c r="QBT38" s="1"/>
      <c r="QBU38" s="213"/>
      <c r="QBV38" s="1"/>
      <c r="QBW38" s="1"/>
      <c r="QBX38" s="1"/>
      <c r="QBY38" s="1"/>
      <c r="QBZ38" s="223"/>
      <c r="QCA38" s="222"/>
      <c r="QCB38" s="1"/>
      <c r="QCC38" s="301"/>
      <c r="QCD38" s="214"/>
      <c r="QCE38" s="5"/>
      <c r="QCF38" s="12"/>
      <c r="QCG38" s="5"/>
      <c r="QCH38" s="5"/>
      <c r="QCI38" s="1"/>
      <c r="QCJ38" s="1"/>
      <c r="QCK38" s="1"/>
      <c r="QCL38" s="1"/>
      <c r="QCM38" s="1"/>
      <c r="QCN38" s="178"/>
      <c r="QCO38" s="178"/>
      <c r="QCP38" s="1"/>
      <c r="QCQ38" s="2"/>
      <c r="QCR38" s="161"/>
      <c r="QCS38" s="161"/>
      <c r="QCT38" s="1"/>
      <c r="QCU38" s="213"/>
      <c r="QCV38" s="1"/>
      <c r="QCW38" s="1"/>
      <c r="QCX38" s="1"/>
      <c r="QCY38" s="1"/>
      <c r="QCZ38" s="223"/>
      <c r="QDA38" s="222"/>
      <c r="QDB38" s="1"/>
      <c r="QDC38" s="301"/>
      <c r="QDD38" s="214"/>
      <c r="QDE38" s="5"/>
      <c r="QDF38" s="12"/>
      <c r="QDG38" s="5"/>
      <c r="QDH38" s="5"/>
      <c r="QDI38" s="1"/>
      <c r="QDJ38" s="1"/>
      <c r="QDK38" s="1"/>
      <c r="QDL38" s="1"/>
      <c r="QDM38" s="1"/>
      <c r="QDN38" s="178"/>
      <c r="QDO38" s="178"/>
      <c r="QDP38" s="1"/>
      <c r="QDQ38" s="2"/>
      <c r="QDR38" s="161"/>
      <c r="QDS38" s="161"/>
      <c r="QDT38" s="1"/>
      <c r="QDU38" s="213"/>
      <c r="QDV38" s="1"/>
      <c r="QDW38" s="1"/>
      <c r="QDX38" s="1"/>
      <c r="QDY38" s="1"/>
      <c r="QDZ38" s="223"/>
      <c r="QEA38" s="222"/>
      <c r="QEB38" s="1"/>
      <c r="QEC38" s="301"/>
      <c r="QED38" s="214"/>
      <c r="QEE38" s="5"/>
      <c r="QEF38" s="12"/>
      <c r="QEG38" s="5"/>
      <c r="QEH38" s="5"/>
      <c r="QEI38" s="1"/>
      <c r="QEJ38" s="1"/>
      <c r="QEK38" s="1"/>
      <c r="QEL38" s="1"/>
      <c r="QEM38" s="1"/>
      <c r="QEN38" s="178"/>
      <c r="QEO38" s="178"/>
      <c r="QEP38" s="1"/>
      <c r="QEQ38" s="2"/>
      <c r="QER38" s="161"/>
      <c r="QES38" s="161"/>
      <c r="QET38" s="1"/>
      <c r="QEU38" s="213"/>
      <c r="QEV38" s="1"/>
      <c r="QEW38" s="1"/>
      <c r="QEX38" s="1"/>
      <c r="QEY38" s="1"/>
      <c r="QEZ38" s="223"/>
      <c r="QFA38" s="222"/>
      <c r="QFB38" s="1"/>
      <c r="QFC38" s="301"/>
      <c r="QFD38" s="214"/>
      <c r="QFE38" s="5"/>
      <c r="QFF38" s="12"/>
      <c r="QFG38" s="5"/>
      <c r="QFH38" s="5"/>
      <c r="QFI38" s="1"/>
      <c r="QFJ38" s="1"/>
      <c r="QFK38" s="1"/>
      <c r="QFL38" s="1"/>
      <c r="QFM38" s="1"/>
      <c r="QFN38" s="178"/>
      <c r="QFO38" s="178"/>
      <c r="QFP38" s="1"/>
      <c r="QFQ38" s="2"/>
      <c r="QFR38" s="161"/>
      <c r="QFS38" s="161"/>
      <c r="QFT38" s="1"/>
      <c r="QFU38" s="213"/>
      <c r="QFV38" s="1"/>
      <c r="QFW38" s="1"/>
      <c r="QFX38" s="1"/>
      <c r="QFY38" s="1"/>
      <c r="QFZ38" s="223"/>
      <c r="QGA38" s="222"/>
      <c r="QGB38" s="1"/>
      <c r="QGC38" s="301"/>
      <c r="QGD38" s="214"/>
      <c r="QGE38" s="5"/>
      <c r="QGF38" s="12"/>
      <c r="QGG38" s="5"/>
      <c r="QGH38" s="5"/>
      <c r="QGI38" s="1"/>
      <c r="QGJ38" s="1"/>
      <c r="QGK38" s="1"/>
      <c r="QGL38" s="1"/>
      <c r="QGM38" s="1"/>
      <c r="QGN38" s="178"/>
      <c r="QGO38" s="178"/>
      <c r="QGP38" s="1"/>
      <c r="QGQ38" s="2"/>
      <c r="QGR38" s="161"/>
      <c r="QGS38" s="161"/>
      <c r="QGT38" s="1"/>
      <c r="QGU38" s="213"/>
      <c r="QGV38" s="1"/>
      <c r="QGW38" s="1"/>
      <c r="QGX38" s="1"/>
      <c r="QGY38" s="1"/>
      <c r="QGZ38" s="223"/>
      <c r="QHA38" s="222"/>
      <c r="QHB38" s="1"/>
      <c r="QHC38" s="301"/>
      <c r="QHD38" s="214"/>
      <c r="QHE38" s="5"/>
      <c r="QHF38" s="12"/>
      <c r="QHG38" s="5"/>
      <c r="QHH38" s="5"/>
      <c r="QHI38" s="1"/>
      <c r="QHJ38" s="1"/>
      <c r="QHK38" s="1"/>
      <c r="QHL38" s="1"/>
      <c r="QHM38" s="1"/>
      <c r="QHN38" s="178"/>
      <c r="QHO38" s="178"/>
      <c r="QHP38" s="1"/>
      <c r="QHQ38" s="2"/>
      <c r="QHR38" s="161"/>
      <c r="QHS38" s="161"/>
      <c r="QHT38" s="1"/>
      <c r="QHU38" s="213"/>
      <c r="QHV38" s="1"/>
      <c r="QHW38" s="1"/>
      <c r="QHX38" s="1"/>
      <c r="QHY38" s="1"/>
      <c r="QHZ38" s="223"/>
      <c r="QIA38" s="222"/>
      <c r="QIB38" s="1"/>
      <c r="QIC38" s="301"/>
      <c r="QID38" s="214"/>
      <c r="QIE38" s="5"/>
      <c r="QIF38" s="12"/>
      <c r="QIG38" s="5"/>
      <c r="QIH38" s="5"/>
      <c r="QII38" s="1"/>
      <c r="QIJ38" s="1"/>
      <c r="QIK38" s="1"/>
      <c r="QIL38" s="1"/>
      <c r="QIM38" s="1"/>
      <c r="QIN38" s="178"/>
      <c r="QIO38" s="178"/>
      <c r="QIP38" s="1"/>
      <c r="QIQ38" s="2"/>
      <c r="QIR38" s="161"/>
      <c r="QIS38" s="161"/>
      <c r="QIT38" s="1"/>
      <c r="QIU38" s="213"/>
      <c r="QIV38" s="1"/>
      <c r="QIW38" s="1"/>
      <c r="QIX38" s="1"/>
      <c r="QIY38" s="1"/>
      <c r="QIZ38" s="223"/>
      <c r="QJA38" s="222"/>
      <c r="QJB38" s="1"/>
      <c r="QJC38" s="301"/>
      <c r="QJD38" s="214"/>
      <c r="QJE38" s="5"/>
      <c r="QJF38" s="12"/>
      <c r="QJG38" s="5"/>
      <c r="QJH38" s="5"/>
      <c r="QJI38" s="1"/>
      <c r="QJJ38" s="1"/>
      <c r="QJK38" s="1"/>
      <c r="QJL38" s="1"/>
      <c r="QJM38" s="1"/>
      <c r="QJN38" s="178"/>
      <c r="QJO38" s="178"/>
      <c r="QJP38" s="1"/>
      <c r="QJQ38" s="2"/>
      <c r="QJR38" s="161"/>
      <c r="QJS38" s="161"/>
      <c r="QJT38" s="1"/>
      <c r="QJU38" s="213"/>
      <c r="QJV38" s="1"/>
      <c r="QJW38" s="1"/>
      <c r="QJX38" s="1"/>
      <c r="QJY38" s="1"/>
      <c r="QJZ38" s="223"/>
      <c r="QKA38" s="222"/>
      <c r="QKB38" s="1"/>
      <c r="QKC38" s="301"/>
      <c r="QKD38" s="214"/>
      <c r="QKE38" s="5"/>
      <c r="QKF38" s="12"/>
      <c r="QKG38" s="5"/>
      <c r="QKH38" s="5"/>
      <c r="QKI38" s="1"/>
      <c r="QKJ38" s="1"/>
      <c r="QKK38" s="1"/>
      <c r="QKL38" s="1"/>
      <c r="QKM38" s="1"/>
      <c r="QKN38" s="178"/>
      <c r="QKO38" s="178"/>
      <c r="QKP38" s="1"/>
      <c r="QKQ38" s="2"/>
      <c r="QKR38" s="161"/>
      <c r="QKS38" s="161"/>
      <c r="QKT38" s="1"/>
      <c r="QKU38" s="213"/>
      <c r="QKV38" s="1"/>
      <c r="QKW38" s="1"/>
      <c r="QKX38" s="1"/>
      <c r="QKY38" s="1"/>
      <c r="QKZ38" s="223"/>
      <c r="QLA38" s="222"/>
      <c r="QLB38" s="1"/>
      <c r="QLC38" s="301"/>
      <c r="QLD38" s="214"/>
      <c r="QLE38" s="5"/>
      <c r="QLF38" s="12"/>
      <c r="QLG38" s="5"/>
      <c r="QLH38" s="5"/>
      <c r="QLI38" s="1"/>
      <c r="QLJ38" s="1"/>
      <c r="QLK38" s="1"/>
      <c r="QLL38" s="1"/>
      <c r="QLM38" s="1"/>
      <c r="QLN38" s="178"/>
      <c r="QLO38" s="178"/>
      <c r="QLP38" s="1"/>
      <c r="QLQ38" s="2"/>
      <c r="QLR38" s="161"/>
      <c r="QLS38" s="161"/>
      <c r="QLT38" s="1"/>
      <c r="QLU38" s="213"/>
      <c r="QLV38" s="1"/>
      <c r="QLW38" s="1"/>
      <c r="QLX38" s="1"/>
      <c r="QLY38" s="1"/>
      <c r="QLZ38" s="223"/>
      <c r="QMA38" s="222"/>
      <c r="QMB38" s="1"/>
      <c r="QMC38" s="301"/>
      <c r="QMD38" s="214"/>
      <c r="QME38" s="5"/>
      <c r="QMF38" s="12"/>
      <c r="QMG38" s="5"/>
      <c r="QMH38" s="5"/>
      <c r="QMI38" s="1"/>
      <c r="QMJ38" s="1"/>
      <c r="QMK38" s="1"/>
      <c r="QML38" s="1"/>
      <c r="QMM38" s="1"/>
      <c r="QMN38" s="178"/>
      <c r="QMO38" s="178"/>
      <c r="QMP38" s="1"/>
      <c r="QMQ38" s="2"/>
      <c r="QMR38" s="161"/>
      <c r="QMS38" s="161"/>
      <c r="QMT38" s="1"/>
      <c r="QMU38" s="213"/>
      <c r="QMV38" s="1"/>
      <c r="QMW38" s="1"/>
      <c r="QMX38" s="1"/>
      <c r="QMY38" s="1"/>
      <c r="QMZ38" s="223"/>
      <c r="QNA38" s="222"/>
      <c r="QNB38" s="1"/>
      <c r="QNC38" s="301"/>
      <c r="QND38" s="214"/>
      <c r="QNE38" s="5"/>
      <c r="QNF38" s="12"/>
      <c r="QNG38" s="5"/>
      <c r="QNH38" s="5"/>
      <c r="QNI38" s="1"/>
      <c r="QNJ38" s="1"/>
      <c r="QNK38" s="1"/>
      <c r="QNL38" s="1"/>
      <c r="QNM38" s="1"/>
      <c r="QNN38" s="178"/>
      <c r="QNO38" s="178"/>
      <c r="QNP38" s="1"/>
      <c r="QNQ38" s="2"/>
      <c r="QNR38" s="161"/>
      <c r="QNS38" s="161"/>
      <c r="QNT38" s="1"/>
      <c r="QNU38" s="213"/>
      <c r="QNV38" s="1"/>
      <c r="QNW38" s="1"/>
      <c r="QNX38" s="1"/>
      <c r="QNY38" s="1"/>
      <c r="QNZ38" s="223"/>
      <c r="QOA38" s="222"/>
      <c r="QOB38" s="1"/>
      <c r="QOC38" s="301"/>
      <c r="QOD38" s="214"/>
      <c r="QOE38" s="5"/>
      <c r="QOF38" s="12"/>
      <c r="QOG38" s="5"/>
      <c r="QOH38" s="5"/>
      <c r="QOI38" s="1"/>
      <c r="QOJ38" s="1"/>
      <c r="QOK38" s="1"/>
      <c r="QOL38" s="1"/>
      <c r="QOM38" s="1"/>
      <c r="QON38" s="178"/>
      <c r="QOO38" s="178"/>
      <c r="QOP38" s="1"/>
      <c r="QOQ38" s="2"/>
      <c r="QOR38" s="161"/>
      <c r="QOS38" s="161"/>
      <c r="QOT38" s="1"/>
      <c r="QOU38" s="213"/>
      <c r="QOV38" s="1"/>
      <c r="QOW38" s="1"/>
      <c r="QOX38" s="1"/>
      <c r="QOY38" s="1"/>
      <c r="QOZ38" s="223"/>
      <c r="QPA38" s="222"/>
      <c r="QPB38" s="1"/>
      <c r="QPC38" s="301"/>
      <c r="QPD38" s="214"/>
      <c r="QPE38" s="5"/>
      <c r="QPF38" s="12"/>
      <c r="QPG38" s="5"/>
      <c r="QPH38" s="5"/>
      <c r="QPI38" s="1"/>
      <c r="QPJ38" s="1"/>
      <c r="QPK38" s="1"/>
      <c r="QPL38" s="1"/>
      <c r="QPM38" s="1"/>
      <c r="QPN38" s="178"/>
      <c r="QPO38" s="178"/>
      <c r="QPP38" s="1"/>
      <c r="QPQ38" s="2"/>
      <c r="QPR38" s="161"/>
      <c r="QPS38" s="161"/>
      <c r="QPT38" s="1"/>
      <c r="QPU38" s="213"/>
      <c r="QPV38" s="1"/>
      <c r="QPW38" s="1"/>
      <c r="QPX38" s="1"/>
      <c r="QPY38" s="1"/>
      <c r="QPZ38" s="223"/>
      <c r="QQA38" s="222"/>
      <c r="QQB38" s="1"/>
      <c r="QQC38" s="301"/>
      <c r="QQD38" s="214"/>
      <c r="QQE38" s="5"/>
      <c r="QQF38" s="12"/>
      <c r="QQG38" s="5"/>
      <c r="QQH38" s="5"/>
      <c r="QQI38" s="1"/>
      <c r="QQJ38" s="1"/>
      <c r="QQK38" s="1"/>
      <c r="QQL38" s="1"/>
      <c r="QQM38" s="1"/>
      <c r="QQN38" s="178"/>
      <c r="QQO38" s="178"/>
      <c r="QQP38" s="1"/>
      <c r="QQQ38" s="2"/>
      <c r="QQR38" s="161"/>
      <c r="QQS38" s="161"/>
      <c r="QQT38" s="1"/>
      <c r="QQU38" s="213"/>
      <c r="QQV38" s="1"/>
      <c r="QQW38" s="1"/>
      <c r="QQX38" s="1"/>
      <c r="QQY38" s="1"/>
      <c r="QQZ38" s="223"/>
      <c r="QRA38" s="222"/>
      <c r="QRB38" s="1"/>
      <c r="QRC38" s="301"/>
      <c r="QRD38" s="214"/>
      <c r="QRE38" s="5"/>
      <c r="QRF38" s="12"/>
      <c r="QRG38" s="5"/>
      <c r="QRH38" s="5"/>
      <c r="QRI38" s="1"/>
      <c r="QRJ38" s="1"/>
      <c r="QRK38" s="1"/>
      <c r="QRL38" s="1"/>
      <c r="QRM38" s="1"/>
      <c r="QRN38" s="178"/>
      <c r="QRO38" s="178"/>
      <c r="QRP38" s="1"/>
      <c r="QRQ38" s="2"/>
      <c r="QRR38" s="161"/>
      <c r="QRS38" s="161"/>
      <c r="QRT38" s="1"/>
      <c r="QRU38" s="213"/>
      <c r="QRV38" s="1"/>
      <c r="QRW38" s="1"/>
      <c r="QRX38" s="1"/>
      <c r="QRY38" s="1"/>
      <c r="QRZ38" s="223"/>
      <c r="QSA38" s="222"/>
      <c r="QSB38" s="1"/>
      <c r="QSC38" s="301"/>
      <c r="QSD38" s="214"/>
      <c r="QSE38" s="5"/>
      <c r="QSF38" s="12"/>
      <c r="QSG38" s="5"/>
      <c r="QSH38" s="5"/>
      <c r="QSI38" s="1"/>
      <c r="QSJ38" s="1"/>
      <c r="QSK38" s="1"/>
      <c r="QSL38" s="1"/>
      <c r="QSM38" s="1"/>
      <c r="QSN38" s="178"/>
      <c r="QSO38" s="178"/>
      <c r="QSP38" s="1"/>
      <c r="QSQ38" s="2"/>
      <c r="QSR38" s="161"/>
      <c r="QSS38" s="161"/>
      <c r="QST38" s="1"/>
      <c r="QSU38" s="213"/>
      <c r="QSV38" s="1"/>
      <c r="QSW38" s="1"/>
      <c r="QSX38" s="1"/>
      <c r="QSY38" s="1"/>
      <c r="QSZ38" s="223"/>
      <c r="QTA38" s="222"/>
      <c r="QTB38" s="1"/>
      <c r="QTC38" s="301"/>
      <c r="QTD38" s="214"/>
      <c r="QTE38" s="5"/>
      <c r="QTF38" s="12"/>
      <c r="QTG38" s="5"/>
      <c r="QTH38" s="5"/>
      <c r="QTI38" s="1"/>
      <c r="QTJ38" s="1"/>
      <c r="QTK38" s="1"/>
      <c r="QTL38" s="1"/>
      <c r="QTM38" s="1"/>
      <c r="QTN38" s="178"/>
      <c r="QTO38" s="178"/>
      <c r="QTP38" s="1"/>
      <c r="QTQ38" s="2"/>
      <c r="QTR38" s="161"/>
      <c r="QTS38" s="161"/>
      <c r="QTT38" s="1"/>
      <c r="QTU38" s="213"/>
      <c r="QTV38" s="1"/>
      <c r="QTW38" s="1"/>
      <c r="QTX38" s="1"/>
      <c r="QTY38" s="1"/>
      <c r="QTZ38" s="223"/>
      <c r="QUA38" s="222"/>
      <c r="QUB38" s="1"/>
      <c r="QUC38" s="301"/>
      <c r="QUD38" s="214"/>
      <c r="QUE38" s="5"/>
      <c r="QUF38" s="12"/>
      <c r="QUG38" s="5"/>
      <c r="QUH38" s="5"/>
      <c r="QUI38" s="1"/>
      <c r="QUJ38" s="1"/>
      <c r="QUK38" s="1"/>
      <c r="QUL38" s="1"/>
      <c r="QUM38" s="1"/>
      <c r="QUN38" s="178"/>
      <c r="QUO38" s="178"/>
      <c r="QUP38" s="1"/>
      <c r="QUQ38" s="2"/>
      <c r="QUR38" s="161"/>
      <c r="QUS38" s="161"/>
      <c r="QUT38" s="1"/>
      <c r="QUU38" s="213"/>
      <c r="QUV38" s="1"/>
      <c r="QUW38" s="1"/>
      <c r="QUX38" s="1"/>
      <c r="QUY38" s="1"/>
      <c r="QUZ38" s="223"/>
      <c r="QVA38" s="222"/>
      <c r="QVB38" s="1"/>
      <c r="QVC38" s="301"/>
      <c r="QVD38" s="214"/>
      <c r="QVE38" s="5"/>
      <c r="QVF38" s="12"/>
      <c r="QVG38" s="5"/>
      <c r="QVH38" s="5"/>
      <c r="QVI38" s="1"/>
      <c r="QVJ38" s="1"/>
      <c r="QVK38" s="1"/>
      <c r="QVL38" s="1"/>
      <c r="QVM38" s="1"/>
      <c r="QVN38" s="178"/>
      <c r="QVO38" s="178"/>
      <c r="QVP38" s="1"/>
      <c r="QVQ38" s="2"/>
      <c r="QVR38" s="161"/>
      <c r="QVS38" s="161"/>
      <c r="QVT38" s="1"/>
      <c r="QVU38" s="213"/>
      <c r="QVV38" s="1"/>
      <c r="QVW38" s="1"/>
      <c r="QVX38" s="1"/>
      <c r="QVY38" s="1"/>
      <c r="QVZ38" s="223"/>
      <c r="QWA38" s="222"/>
      <c r="QWB38" s="1"/>
      <c r="QWC38" s="301"/>
      <c r="QWD38" s="214"/>
      <c r="QWE38" s="5"/>
      <c r="QWF38" s="12"/>
      <c r="QWG38" s="5"/>
      <c r="QWH38" s="5"/>
      <c r="QWI38" s="1"/>
      <c r="QWJ38" s="1"/>
      <c r="QWK38" s="1"/>
      <c r="QWL38" s="1"/>
      <c r="QWM38" s="1"/>
      <c r="QWN38" s="178"/>
      <c r="QWO38" s="178"/>
      <c r="QWP38" s="1"/>
      <c r="QWQ38" s="2"/>
      <c r="QWR38" s="161"/>
      <c r="QWS38" s="161"/>
      <c r="QWT38" s="1"/>
      <c r="QWU38" s="213"/>
      <c r="QWV38" s="1"/>
      <c r="QWW38" s="1"/>
      <c r="QWX38" s="1"/>
      <c r="QWY38" s="1"/>
      <c r="QWZ38" s="223"/>
      <c r="QXA38" s="222"/>
      <c r="QXB38" s="1"/>
      <c r="QXC38" s="301"/>
      <c r="QXD38" s="214"/>
      <c r="QXE38" s="5"/>
      <c r="QXF38" s="12"/>
      <c r="QXG38" s="5"/>
      <c r="QXH38" s="5"/>
      <c r="QXI38" s="1"/>
      <c r="QXJ38" s="1"/>
      <c r="QXK38" s="1"/>
      <c r="QXL38" s="1"/>
      <c r="QXM38" s="1"/>
      <c r="QXN38" s="178"/>
      <c r="QXO38" s="178"/>
      <c r="QXP38" s="1"/>
      <c r="QXQ38" s="2"/>
      <c r="QXR38" s="161"/>
      <c r="QXS38" s="161"/>
      <c r="QXT38" s="1"/>
      <c r="QXU38" s="213"/>
      <c r="QXV38" s="1"/>
      <c r="QXW38" s="1"/>
      <c r="QXX38" s="1"/>
      <c r="QXY38" s="1"/>
      <c r="QXZ38" s="223"/>
      <c r="QYA38" s="222"/>
      <c r="QYB38" s="1"/>
      <c r="QYC38" s="301"/>
      <c r="QYD38" s="214"/>
      <c r="QYE38" s="5"/>
      <c r="QYF38" s="12"/>
      <c r="QYG38" s="5"/>
      <c r="QYH38" s="5"/>
      <c r="QYI38" s="1"/>
      <c r="QYJ38" s="1"/>
      <c r="QYK38" s="1"/>
      <c r="QYL38" s="1"/>
      <c r="QYM38" s="1"/>
      <c r="QYN38" s="178"/>
      <c r="QYO38" s="178"/>
      <c r="QYP38" s="1"/>
      <c r="QYQ38" s="2"/>
      <c r="QYR38" s="161"/>
      <c r="QYS38" s="161"/>
      <c r="QYT38" s="1"/>
      <c r="QYU38" s="213"/>
      <c r="QYV38" s="1"/>
      <c r="QYW38" s="1"/>
      <c r="QYX38" s="1"/>
      <c r="QYY38" s="1"/>
      <c r="QYZ38" s="223"/>
      <c r="QZA38" s="222"/>
      <c r="QZB38" s="1"/>
      <c r="QZC38" s="301"/>
      <c r="QZD38" s="214"/>
      <c r="QZE38" s="5"/>
      <c r="QZF38" s="12"/>
      <c r="QZG38" s="5"/>
      <c r="QZH38" s="5"/>
      <c r="QZI38" s="1"/>
      <c r="QZJ38" s="1"/>
      <c r="QZK38" s="1"/>
      <c r="QZL38" s="1"/>
      <c r="QZM38" s="1"/>
      <c r="QZN38" s="178"/>
      <c r="QZO38" s="178"/>
      <c r="QZP38" s="1"/>
      <c r="QZQ38" s="2"/>
      <c r="QZR38" s="161"/>
      <c r="QZS38" s="161"/>
      <c r="QZT38" s="1"/>
      <c r="QZU38" s="213"/>
      <c r="QZV38" s="1"/>
      <c r="QZW38" s="1"/>
      <c r="QZX38" s="1"/>
      <c r="QZY38" s="1"/>
      <c r="QZZ38" s="223"/>
      <c r="RAA38" s="222"/>
      <c r="RAB38" s="1"/>
      <c r="RAC38" s="301"/>
      <c r="RAD38" s="214"/>
      <c r="RAE38" s="5"/>
      <c r="RAF38" s="12"/>
      <c r="RAG38" s="5"/>
      <c r="RAH38" s="5"/>
      <c r="RAI38" s="1"/>
      <c r="RAJ38" s="1"/>
      <c r="RAK38" s="1"/>
      <c r="RAL38" s="1"/>
      <c r="RAM38" s="1"/>
      <c r="RAN38" s="178"/>
      <c r="RAO38" s="178"/>
      <c r="RAP38" s="1"/>
      <c r="RAQ38" s="2"/>
      <c r="RAR38" s="161"/>
      <c r="RAS38" s="161"/>
      <c r="RAT38" s="1"/>
      <c r="RAU38" s="213"/>
      <c r="RAV38" s="1"/>
      <c r="RAW38" s="1"/>
      <c r="RAX38" s="1"/>
      <c r="RAY38" s="1"/>
      <c r="RAZ38" s="223"/>
      <c r="RBA38" s="222"/>
      <c r="RBB38" s="1"/>
      <c r="RBC38" s="301"/>
      <c r="RBD38" s="214"/>
      <c r="RBE38" s="5"/>
      <c r="RBF38" s="12"/>
      <c r="RBG38" s="5"/>
      <c r="RBH38" s="5"/>
      <c r="RBI38" s="1"/>
      <c r="RBJ38" s="1"/>
      <c r="RBK38" s="1"/>
      <c r="RBL38" s="1"/>
      <c r="RBM38" s="1"/>
      <c r="RBN38" s="178"/>
      <c r="RBO38" s="178"/>
      <c r="RBP38" s="1"/>
      <c r="RBQ38" s="2"/>
      <c r="RBR38" s="161"/>
      <c r="RBS38" s="161"/>
      <c r="RBT38" s="1"/>
      <c r="RBU38" s="213"/>
      <c r="RBV38" s="1"/>
      <c r="RBW38" s="1"/>
      <c r="RBX38" s="1"/>
      <c r="RBY38" s="1"/>
      <c r="RBZ38" s="223"/>
      <c r="RCA38" s="222"/>
      <c r="RCB38" s="1"/>
      <c r="RCC38" s="301"/>
      <c r="RCD38" s="214"/>
      <c r="RCE38" s="5"/>
      <c r="RCF38" s="12"/>
      <c r="RCG38" s="5"/>
      <c r="RCH38" s="5"/>
      <c r="RCI38" s="1"/>
      <c r="RCJ38" s="1"/>
      <c r="RCK38" s="1"/>
      <c r="RCL38" s="1"/>
      <c r="RCM38" s="1"/>
      <c r="RCN38" s="178"/>
      <c r="RCO38" s="178"/>
      <c r="RCP38" s="1"/>
      <c r="RCQ38" s="2"/>
      <c r="RCR38" s="161"/>
      <c r="RCS38" s="161"/>
      <c r="RCT38" s="1"/>
      <c r="RCU38" s="213"/>
      <c r="RCV38" s="1"/>
      <c r="RCW38" s="1"/>
      <c r="RCX38" s="1"/>
      <c r="RCY38" s="1"/>
      <c r="RCZ38" s="223"/>
      <c r="RDA38" s="222"/>
      <c r="RDB38" s="1"/>
      <c r="RDC38" s="301"/>
      <c r="RDD38" s="214"/>
      <c r="RDE38" s="5"/>
      <c r="RDF38" s="12"/>
      <c r="RDG38" s="5"/>
      <c r="RDH38" s="5"/>
      <c r="RDI38" s="1"/>
      <c r="RDJ38" s="1"/>
      <c r="RDK38" s="1"/>
      <c r="RDL38" s="1"/>
      <c r="RDM38" s="1"/>
      <c r="RDN38" s="178"/>
      <c r="RDO38" s="178"/>
      <c r="RDP38" s="1"/>
      <c r="RDQ38" s="2"/>
      <c r="RDR38" s="161"/>
      <c r="RDS38" s="161"/>
      <c r="RDT38" s="1"/>
      <c r="RDU38" s="213"/>
      <c r="RDV38" s="1"/>
      <c r="RDW38" s="1"/>
      <c r="RDX38" s="1"/>
      <c r="RDY38" s="1"/>
      <c r="RDZ38" s="223"/>
      <c r="REA38" s="222"/>
      <c r="REB38" s="1"/>
      <c r="REC38" s="301"/>
      <c r="RED38" s="214"/>
      <c r="REE38" s="5"/>
      <c r="REF38" s="12"/>
      <c r="REG38" s="5"/>
      <c r="REH38" s="5"/>
      <c r="REI38" s="1"/>
      <c r="REJ38" s="1"/>
      <c r="REK38" s="1"/>
      <c r="REL38" s="1"/>
      <c r="REM38" s="1"/>
      <c r="REN38" s="178"/>
      <c r="REO38" s="178"/>
      <c r="REP38" s="1"/>
      <c r="REQ38" s="2"/>
      <c r="RER38" s="161"/>
      <c r="RES38" s="161"/>
      <c r="RET38" s="1"/>
      <c r="REU38" s="213"/>
      <c r="REV38" s="1"/>
      <c r="REW38" s="1"/>
      <c r="REX38" s="1"/>
      <c r="REY38" s="1"/>
      <c r="REZ38" s="223"/>
      <c r="RFA38" s="222"/>
      <c r="RFB38" s="1"/>
      <c r="RFC38" s="301"/>
      <c r="RFD38" s="214"/>
      <c r="RFE38" s="5"/>
      <c r="RFF38" s="12"/>
      <c r="RFG38" s="5"/>
      <c r="RFH38" s="5"/>
      <c r="RFI38" s="1"/>
      <c r="RFJ38" s="1"/>
      <c r="RFK38" s="1"/>
      <c r="RFL38" s="1"/>
      <c r="RFM38" s="1"/>
      <c r="RFN38" s="178"/>
      <c r="RFO38" s="178"/>
      <c r="RFP38" s="1"/>
      <c r="RFQ38" s="2"/>
      <c r="RFR38" s="161"/>
      <c r="RFS38" s="161"/>
      <c r="RFT38" s="1"/>
      <c r="RFU38" s="213"/>
      <c r="RFV38" s="1"/>
      <c r="RFW38" s="1"/>
      <c r="RFX38" s="1"/>
      <c r="RFY38" s="1"/>
      <c r="RFZ38" s="223"/>
      <c r="RGA38" s="222"/>
      <c r="RGB38" s="1"/>
      <c r="RGC38" s="301"/>
      <c r="RGD38" s="214"/>
      <c r="RGE38" s="5"/>
      <c r="RGF38" s="12"/>
      <c r="RGG38" s="5"/>
      <c r="RGH38" s="5"/>
      <c r="RGI38" s="1"/>
      <c r="RGJ38" s="1"/>
      <c r="RGK38" s="1"/>
      <c r="RGL38" s="1"/>
      <c r="RGM38" s="1"/>
      <c r="RGN38" s="178"/>
      <c r="RGO38" s="178"/>
      <c r="RGP38" s="1"/>
      <c r="RGQ38" s="2"/>
      <c r="RGR38" s="161"/>
      <c r="RGS38" s="161"/>
      <c r="RGT38" s="1"/>
      <c r="RGU38" s="213"/>
      <c r="RGV38" s="1"/>
      <c r="RGW38" s="1"/>
      <c r="RGX38" s="1"/>
      <c r="RGY38" s="1"/>
      <c r="RGZ38" s="223"/>
      <c r="RHA38" s="222"/>
      <c r="RHB38" s="1"/>
      <c r="RHC38" s="301"/>
      <c r="RHD38" s="214"/>
      <c r="RHE38" s="5"/>
      <c r="RHF38" s="12"/>
      <c r="RHG38" s="5"/>
      <c r="RHH38" s="5"/>
      <c r="RHI38" s="1"/>
      <c r="RHJ38" s="1"/>
      <c r="RHK38" s="1"/>
      <c r="RHL38" s="1"/>
      <c r="RHM38" s="1"/>
      <c r="RHN38" s="178"/>
      <c r="RHO38" s="178"/>
      <c r="RHP38" s="1"/>
      <c r="RHQ38" s="2"/>
      <c r="RHR38" s="161"/>
      <c r="RHS38" s="161"/>
      <c r="RHT38" s="1"/>
      <c r="RHU38" s="213"/>
      <c r="RHV38" s="1"/>
      <c r="RHW38" s="1"/>
      <c r="RHX38" s="1"/>
      <c r="RHY38" s="1"/>
      <c r="RHZ38" s="223"/>
      <c r="RIA38" s="222"/>
      <c r="RIB38" s="1"/>
      <c r="RIC38" s="301"/>
      <c r="RID38" s="214"/>
      <c r="RIE38" s="5"/>
      <c r="RIF38" s="12"/>
      <c r="RIG38" s="5"/>
      <c r="RIH38" s="5"/>
      <c r="RII38" s="1"/>
      <c r="RIJ38" s="1"/>
      <c r="RIK38" s="1"/>
      <c r="RIL38" s="1"/>
      <c r="RIM38" s="1"/>
      <c r="RIN38" s="178"/>
      <c r="RIO38" s="178"/>
      <c r="RIP38" s="1"/>
      <c r="RIQ38" s="2"/>
      <c r="RIR38" s="161"/>
      <c r="RIS38" s="161"/>
      <c r="RIT38" s="1"/>
      <c r="RIU38" s="213"/>
      <c r="RIV38" s="1"/>
      <c r="RIW38" s="1"/>
      <c r="RIX38" s="1"/>
      <c r="RIY38" s="1"/>
      <c r="RIZ38" s="223"/>
      <c r="RJA38" s="222"/>
      <c r="RJB38" s="1"/>
      <c r="RJC38" s="301"/>
      <c r="RJD38" s="214"/>
      <c r="RJE38" s="5"/>
      <c r="RJF38" s="12"/>
      <c r="RJG38" s="5"/>
      <c r="RJH38" s="5"/>
      <c r="RJI38" s="1"/>
      <c r="RJJ38" s="1"/>
      <c r="RJK38" s="1"/>
      <c r="RJL38" s="1"/>
      <c r="RJM38" s="1"/>
      <c r="RJN38" s="178"/>
      <c r="RJO38" s="178"/>
      <c r="RJP38" s="1"/>
      <c r="RJQ38" s="2"/>
      <c r="RJR38" s="161"/>
      <c r="RJS38" s="161"/>
      <c r="RJT38" s="1"/>
      <c r="RJU38" s="213"/>
      <c r="RJV38" s="1"/>
      <c r="RJW38" s="1"/>
      <c r="RJX38" s="1"/>
      <c r="RJY38" s="1"/>
      <c r="RJZ38" s="223"/>
      <c r="RKA38" s="222"/>
      <c r="RKB38" s="1"/>
      <c r="RKC38" s="301"/>
      <c r="RKD38" s="214"/>
      <c r="RKE38" s="5"/>
      <c r="RKF38" s="12"/>
      <c r="RKG38" s="5"/>
      <c r="RKH38" s="5"/>
      <c r="RKI38" s="1"/>
      <c r="RKJ38" s="1"/>
      <c r="RKK38" s="1"/>
      <c r="RKL38" s="1"/>
      <c r="RKM38" s="1"/>
      <c r="RKN38" s="178"/>
      <c r="RKO38" s="178"/>
      <c r="RKP38" s="1"/>
      <c r="RKQ38" s="2"/>
      <c r="RKR38" s="161"/>
      <c r="RKS38" s="161"/>
      <c r="RKT38" s="1"/>
      <c r="RKU38" s="213"/>
      <c r="RKV38" s="1"/>
      <c r="RKW38" s="1"/>
      <c r="RKX38" s="1"/>
      <c r="RKY38" s="1"/>
      <c r="RKZ38" s="223"/>
      <c r="RLA38" s="222"/>
      <c r="RLB38" s="1"/>
      <c r="RLC38" s="301"/>
      <c r="RLD38" s="214"/>
      <c r="RLE38" s="5"/>
      <c r="RLF38" s="12"/>
      <c r="RLG38" s="5"/>
      <c r="RLH38" s="5"/>
      <c r="RLI38" s="1"/>
      <c r="RLJ38" s="1"/>
      <c r="RLK38" s="1"/>
      <c r="RLL38" s="1"/>
      <c r="RLM38" s="1"/>
      <c r="RLN38" s="178"/>
      <c r="RLO38" s="178"/>
      <c r="RLP38" s="1"/>
      <c r="RLQ38" s="2"/>
      <c r="RLR38" s="161"/>
      <c r="RLS38" s="161"/>
      <c r="RLT38" s="1"/>
      <c r="RLU38" s="213"/>
      <c r="RLV38" s="1"/>
      <c r="RLW38" s="1"/>
      <c r="RLX38" s="1"/>
      <c r="RLY38" s="1"/>
      <c r="RLZ38" s="223"/>
      <c r="RMA38" s="222"/>
      <c r="RMB38" s="1"/>
      <c r="RMC38" s="301"/>
      <c r="RMD38" s="214"/>
      <c r="RME38" s="5"/>
      <c r="RMF38" s="12"/>
      <c r="RMG38" s="5"/>
      <c r="RMH38" s="5"/>
      <c r="RMI38" s="1"/>
      <c r="RMJ38" s="1"/>
      <c r="RMK38" s="1"/>
      <c r="RML38" s="1"/>
      <c r="RMM38" s="1"/>
      <c r="RMN38" s="178"/>
      <c r="RMO38" s="178"/>
      <c r="RMP38" s="1"/>
      <c r="RMQ38" s="2"/>
      <c r="RMR38" s="161"/>
      <c r="RMS38" s="161"/>
      <c r="RMT38" s="1"/>
      <c r="RMU38" s="213"/>
      <c r="RMV38" s="1"/>
      <c r="RMW38" s="1"/>
      <c r="RMX38" s="1"/>
      <c r="RMY38" s="1"/>
      <c r="RMZ38" s="223"/>
      <c r="RNA38" s="222"/>
      <c r="RNB38" s="1"/>
      <c r="RNC38" s="301"/>
      <c r="RND38" s="214"/>
      <c r="RNE38" s="5"/>
      <c r="RNF38" s="12"/>
      <c r="RNG38" s="5"/>
      <c r="RNH38" s="5"/>
      <c r="RNI38" s="1"/>
      <c r="RNJ38" s="1"/>
      <c r="RNK38" s="1"/>
      <c r="RNL38" s="1"/>
      <c r="RNM38" s="1"/>
      <c r="RNN38" s="178"/>
      <c r="RNO38" s="178"/>
      <c r="RNP38" s="1"/>
      <c r="RNQ38" s="2"/>
      <c r="RNR38" s="161"/>
      <c r="RNS38" s="161"/>
      <c r="RNT38" s="1"/>
      <c r="RNU38" s="213"/>
      <c r="RNV38" s="1"/>
      <c r="RNW38" s="1"/>
      <c r="RNX38" s="1"/>
      <c r="RNY38" s="1"/>
      <c r="RNZ38" s="223"/>
      <c r="ROA38" s="222"/>
      <c r="ROB38" s="1"/>
      <c r="ROC38" s="301"/>
      <c r="ROD38" s="214"/>
      <c r="ROE38" s="5"/>
      <c r="ROF38" s="12"/>
      <c r="ROG38" s="5"/>
      <c r="ROH38" s="5"/>
      <c r="ROI38" s="1"/>
      <c r="ROJ38" s="1"/>
      <c r="ROK38" s="1"/>
      <c r="ROL38" s="1"/>
      <c r="ROM38" s="1"/>
      <c r="RON38" s="178"/>
      <c r="ROO38" s="178"/>
      <c r="ROP38" s="1"/>
      <c r="ROQ38" s="2"/>
      <c r="ROR38" s="161"/>
      <c r="ROS38" s="161"/>
      <c r="ROT38" s="1"/>
      <c r="ROU38" s="213"/>
      <c r="ROV38" s="1"/>
      <c r="ROW38" s="1"/>
      <c r="ROX38" s="1"/>
      <c r="ROY38" s="1"/>
      <c r="ROZ38" s="223"/>
      <c r="RPA38" s="222"/>
      <c r="RPB38" s="1"/>
      <c r="RPC38" s="301"/>
      <c r="RPD38" s="214"/>
      <c r="RPE38" s="5"/>
      <c r="RPF38" s="12"/>
      <c r="RPG38" s="5"/>
      <c r="RPH38" s="5"/>
      <c r="RPI38" s="1"/>
      <c r="RPJ38" s="1"/>
      <c r="RPK38" s="1"/>
      <c r="RPL38" s="1"/>
      <c r="RPM38" s="1"/>
      <c r="RPN38" s="178"/>
      <c r="RPO38" s="178"/>
      <c r="RPP38" s="1"/>
      <c r="RPQ38" s="2"/>
      <c r="RPR38" s="161"/>
      <c r="RPS38" s="161"/>
      <c r="RPT38" s="1"/>
      <c r="RPU38" s="213"/>
      <c r="RPV38" s="1"/>
      <c r="RPW38" s="1"/>
      <c r="RPX38" s="1"/>
      <c r="RPY38" s="1"/>
      <c r="RPZ38" s="223"/>
      <c r="RQA38" s="222"/>
      <c r="RQB38" s="1"/>
      <c r="RQC38" s="301"/>
      <c r="RQD38" s="214"/>
      <c r="RQE38" s="5"/>
      <c r="RQF38" s="12"/>
      <c r="RQG38" s="5"/>
      <c r="RQH38" s="5"/>
      <c r="RQI38" s="1"/>
      <c r="RQJ38" s="1"/>
      <c r="RQK38" s="1"/>
      <c r="RQL38" s="1"/>
      <c r="RQM38" s="1"/>
      <c r="RQN38" s="178"/>
      <c r="RQO38" s="178"/>
      <c r="RQP38" s="1"/>
      <c r="RQQ38" s="2"/>
      <c r="RQR38" s="161"/>
      <c r="RQS38" s="161"/>
      <c r="RQT38" s="1"/>
      <c r="RQU38" s="213"/>
      <c r="RQV38" s="1"/>
      <c r="RQW38" s="1"/>
      <c r="RQX38" s="1"/>
      <c r="RQY38" s="1"/>
      <c r="RQZ38" s="223"/>
      <c r="RRA38" s="222"/>
      <c r="RRB38" s="1"/>
      <c r="RRC38" s="301"/>
      <c r="RRD38" s="214"/>
      <c r="RRE38" s="5"/>
      <c r="RRF38" s="12"/>
      <c r="RRG38" s="5"/>
      <c r="RRH38" s="5"/>
      <c r="RRI38" s="1"/>
      <c r="RRJ38" s="1"/>
      <c r="RRK38" s="1"/>
      <c r="RRL38" s="1"/>
      <c r="RRM38" s="1"/>
      <c r="RRN38" s="178"/>
      <c r="RRO38" s="178"/>
      <c r="RRP38" s="1"/>
      <c r="RRQ38" s="2"/>
      <c r="RRR38" s="161"/>
      <c r="RRS38" s="161"/>
      <c r="RRT38" s="1"/>
      <c r="RRU38" s="213"/>
      <c r="RRV38" s="1"/>
      <c r="RRW38" s="1"/>
      <c r="RRX38" s="1"/>
      <c r="RRY38" s="1"/>
      <c r="RRZ38" s="223"/>
      <c r="RSA38" s="222"/>
      <c r="RSB38" s="1"/>
      <c r="RSC38" s="301"/>
      <c r="RSD38" s="214"/>
      <c r="RSE38" s="5"/>
      <c r="RSF38" s="12"/>
      <c r="RSG38" s="5"/>
      <c r="RSH38" s="5"/>
      <c r="RSI38" s="1"/>
      <c r="RSJ38" s="1"/>
      <c r="RSK38" s="1"/>
      <c r="RSL38" s="1"/>
      <c r="RSM38" s="1"/>
      <c r="RSN38" s="178"/>
      <c r="RSO38" s="178"/>
      <c r="RSP38" s="1"/>
      <c r="RSQ38" s="2"/>
      <c r="RSR38" s="161"/>
      <c r="RSS38" s="161"/>
      <c r="RST38" s="1"/>
      <c r="RSU38" s="213"/>
      <c r="RSV38" s="1"/>
      <c r="RSW38" s="1"/>
      <c r="RSX38" s="1"/>
      <c r="RSY38" s="1"/>
      <c r="RSZ38" s="223"/>
      <c r="RTA38" s="222"/>
      <c r="RTB38" s="1"/>
      <c r="RTC38" s="301"/>
      <c r="RTD38" s="214"/>
      <c r="RTE38" s="5"/>
      <c r="RTF38" s="12"/>
      <c r="RTG38" s="5"/>
      <c r="RTH38" s="5"/>
      <c r="RTI38" s="1"/>
      <c r="RTJ38" s="1"/>
      <c r="RTK38" s="1"/>
      <c r="RTL38" s="1"/>
      <c r="RTM38" s="1"/>
      <c r="RTN38" s="178"/>
      <c r="RTO38" s="178"/>
      <c r="RTP38" s="1"/>
      <c r="RTQ38" s="2"/>
      <c r="RTR38" s="161"/>
      <c r="RTS38" s="161"/>
      <c r="RTT38" s="1"/>
      <c r="RTU38" s="213"/>
      <c r="RTV38" s="1"/>
      <c r="RTW38" s="1"/>
      <c r="RTX38" s="1"/>
      <c r="RTY38" s="1"/>
      <c r="RTZ38" s="223"/>
      <c r="RUA38" s="222"/>
      <c r="RUB38" s="1"/>
      <c r="RUC38" s="301"/>
      <c r="RUD38" s="214"/>
      <c r="RUE38" s="5"/>
      <c r="RUF38" s="12"/>
      <c r="RUG38" s="5"/>
      <c r="RUH38" s="5"/>
      <c r="RUI38" s="1"/>
      <c r="RUJ38" s="1"/>
      <c r="RUK38" s="1"/>
      <c r="RUL38" s="1"/>
      <c r="RUM38" s="1"/>
      <c r="RUN38" s="178"/>
      <c r="RUO38" s="178"/>
      <c r="RUP38" s="1"/>
      <c r="RUQ38" s="2"/>
      <c r="RUR38" s="161"/>
      <c r="RUS38" s="161"/>
      <c r="RUT38" s="1"/>
      <c r="RUU38" s="213"/>
      <c r="RUV38" s="1"/>
      <c r="RUW38" s="1"/>
      <c r="RUX38" s="1"/>
      <c r="RUY38" s="1"/>
      <c r="RUZ38" s="223"/>
      <c r="RVA38" s="222"/>
      <c r="RVB38" s="1"/>
      <c r="RVC38" s="301"/>
      <c r="RVD38" s="214"/>
      <c r="RVE38" s="5"/>
      <c r="RVF38" s="12"/>
      <c r="RVG38" s="5"/>
      <c r="RVH38" s="5"/>
      <c r="RVI38" s="1"/>
      <c r="RVJ38" s="1"/>
      <c r="RVK38" s="1"/>
      <c r="RVL38" s="1"/>
      <c r="RVM38" s="1"/>
      <c r="RVN38" s="178"/>
      <c r="RVO38" s="178"/>
      <c r="RVP38" s="1"/>
      <c r="RVQ38" s="2"/>
      <c r="RVR38" s="161"/>
      <c r="RVS38" s="161"/>
      <c r="RVT38" s="1"/>
      <c r="RVU38" s="213"/>
      <c r="RVV38" s="1"/>
      <c r="RVW38" s="1"/>
      <c r="RVX38" s="1"/>
      <c r="RVY38" s="1"/>
      <c r="RVZ38" s="223"/>
      <c r="RWA38" s="222"/>
      <c r="RWB38" s="1"/>
      <c r="RWC38" s="301"/>
      <c r="RWD38" s="214"/>
      <c r="RWE38" s="5"/>
      <c r="RWF38" s="12"/>
      <c r="RWG38" s="5"/>
      <c r="RWH38" s="5"/>
      <c r="RWI38" s="1"/>
      <c r="RWJ38" s="1"/>
      <c r="RWK38" s="1"/>
      <c r="RWL38" s="1"/>
      <c r="RWM38" s="1"/>
      <c r="RWN38" s="178"/>
      <c r="RWO38" s="178"/>
      <c r="RWP38" s="1"/>
      <c r="RWQ38" s="2"/>
      <c r="RWR38" s="161"/>
      <c r="RWS38" s="161"/>
      <c r="RWT38" s="1"/>
      <c r="RWU38" s="213"/>
      <c r="RWV38" s="1"/>
      <c r="RWW38" s="1"/>
      <c r="RWX38" s="1"/>
      <c r="RWY38" s="1"/>
      <c r="RWZ38" s="223"/>
      <c r="RXA38" s="222"/>
      <c r="RXB38" s="1"/>
      <c r="RXC38" s="301"/>
      <c r="RXD38" s="214"/>
      <c r="RXE38" s="5"/>
      <c r="RXF38" s="12"/>
      <c r="RXG38" s="5"/>
      <c r="RXH38" s="5"/>
      <c r="RXI38" s="1"/>
      <c r="RXJ38" s="1"/>
      <c r="RXK38" s="1"/>
      <c r="RXL38" s="1"/>
      <c r="RXM38" s="1"/>
      <c r="RXN38" s="178"/>
      <c r="RXO38" s="178"/>
      <c r="RXP38" s="1"/>
      <c r="RXQ38" s="2"/>
      <c r="RXR38" s="161"/>
      <c r="RXS38" s="161"/>
      <c r="RXT38" s="1"/>
      <c r="RXU38" s="213"/>
      <c r="RXV38" s="1"/>
      <c r="RXW38" s="1"/>
      <c r="RXX38" s="1"/>
      <c r="RXY38" s="1"/>
      <c r="RXZ38" s="223"/>
      <c r="RYA38" s="222"/>
      <c r="RYB38" s="1"/>
      <c r="RYC38" s="301"/>
      <c r="RYD38" s="214"/>
      <c r="RYE38" s="5"/>
      <c r="RYF38" s="12"/>
      <c r="RYG38" s="5"/>
      <c r="RYH38" s="5"/>
      <c r="RYI38" s="1"/>
      <c r="RYJ38" s="1"/>
      <c r="RYK38" s="1"/>
      <c r="RYL38" s="1"/>
      <c r="RYM38" s="1"/>
      <c r="RYN38" s="178"/>
      <c r="RYO38" s="178"/>
      <c r="RYP38" s="1"/>
      <c r="RYQ38" s="2"/>
      <c r="RYR38" s="161"/>
      <c r="RYS38" s="161"/>
      <c r="RYT38" s="1"/>
      <c r="RYU38" s="213"/>
      <c r="RYV38" s="1"/>
      <c r="RYW38" s="1"/>
      <c r="RYX38" s="1"/>
      <c r="RYY38" s="1"/>
      <c r="RYZ38" s="223"/>
      <c r="RZA38" s="222"/>
      <c r="RZB38" s="1"/>
      <c r="RZC38" s="301"/>
      <c r="RZD38" s="214"/>
      <c r="RZE38" s="5"/>
      <c r="RZF38" s="12"/>
      <c r="RZG38" s="5"/>
      <c r="RZH38" s="5"/>
      <c r="RZI38" s="1"/>
      <c r="RZJ38" s="1"/>
      <c r="RZK38" s="1"/>
      <c r="RZL38" s="1"/>
      <c r="RZM38" s="1"/>
      <c r="RZN38" s="178"/>
      <c r="RZO38" s="178"/>
      <c r="RZP38" s="1"/>
      <c r="RZQ38" s="2"/>
      <c r="RZR38" s="161"/>
      <c r="RZS38" s="161"/>
      <c r="RZT38" s="1"/>
      <c r="RZU38" s="213"/>
      <c r="RZV38" s="1"/>
      <c r="RZW38" s="1"/>
      <c r="RZX38" s="1"/>
      <c r="RZY38" s="1"/>
      <c r="RZZ38" s="223"/>
      <c r="SAA38" s="222"/>
      <c r="SAB38" s="1"/>
      <c r="SAC38" s="301"/>
      <c r="SAD38" s="214"/>
      <c r="SAE38" s="5"/>
      <c r="SAF38" s="12"/>
      <c r="SAG38" s="5"/>
      <c r="SAH38" s="5"/>
      <c r="SAI38" s="1"/>
      <c r="SAJ38" s="1"/>
      <c r="SAK38" s="1"/>
      <c r="SAL38" s="1"/>
      <c r="SAM38" s="1"/>
      <c r="SAN38" s="178"/>
      <c r="SAO38" s="178"/>
      <c r="SAP38" s="1"/>
      <c r="SAQ38" s="2"/>
      <c r="SAR38" s="161"/>
      <c r="SAS38" s="161"/>
      <c r="SAT38" s="1"/>
      <c r="SAU38" s="213"/>
      <c r="SAV38" s="1"/>
      <c r="SAW38" s="1"/>
      <c r="SAX38" s="1"/>
      <c r="SAY38" s="1"/>
      <c r="SAZ38" s="223"/>
      <c r="SBA38" s="222"/>
      <c r="SBB38" s="1"/>
      <c r="SBC38" s="301"/>
      <c r="SBD38" s="214"/>
      <c r="SBE38" s="5"/>
      <c r="SBF38" s="12"/>
      <c r="SBG38" s="5"/>
      <c r="SBH38" s="5"/>
      <c r="SBI38" s="1"/>
      <c r="SBJ38" s="1"/>
      <c r="SBK38" s="1"/>
      <c r="SBL38" s="1"/>
      <c r="SBM38" s="1"/>
      <c r="SBN38" s="178"/>
      <c r="SBO38" s="178"/>
      <c r="SBP38" s="1"/>
      <c r="SBQ38" s="2"/>
      <c r="SBR38" s="161"/>
      <c r="SBS38" s="161"/>
      <c r="SBT38" s="1"/>
      <c r="SBU38" s="213"/>
      <c r="SBV38" s="1"/>
      <c r="SBW38" s="1"/>
      <c r="SBX38" s="1"/>
      <c r="SBY38" s="1"/>
      <c r="SBZ38" s="223"/>
      <c r="SCA38" s="222"/>
      <c r="SCB38" s="1"/>
      <c r="SCC38" s="301"/>
      <c r="SCD38" s="214"/>
      <c r="SCE38" s="5"/>
      <c r="SCF38" s="12"/>
      <c r="SCG38" s="5"/>
      <c r="SCH38" s="5"/>
      <c r="SCI38" s="1"/>
      <c r="SCJ38" s="1"/>
      <c r="SCK38" s="1"/>
      <c r="SCL38" s="1"/>
      <c r="SCM38" s="1"/>
      <c r="SCN38" s="178"/>
      <c r="SCO38" s="178"/>
      <c r="SCP38" s="1"/>
      <c r="SCQ38" s="2"/>
      <c r="SCR38" s="161"/>
      <c r="SCS38" s="161"/>
      <c r="SCT38" s="1"/>
      <c r="SCU38" s="213"/>
      <c r="SCV38" s="1"/>
      <c r="SCW38" s="1"/>
      <c r="SCX38" s="1"/>
      <c r="SCY38" s="1"/>
      <c r="SCZ38" s="223"/>
      <c r="SDA38" s="222"/>
      <c r="SDB38" s="1"/>
      <c r="SDC38" s="301"/>
      <c r="SDD38" s="214"/>
      <c r="SDE38" s="5"/>
      <c r="SDF38" s="12"/>
      <c r="SDG38" s="5"/>
      <c r="SDH38" s="5"/>
      <c r="SDI38" s="1"/>
      <c r="SDJ38" s="1"/>
      <c r="SDK38" s="1"/>
      <c r="SDL38" s="1"/>
      <c r="SDM38" s="1"/>
      <c r="SDN38" s="178"/>
      <c r="SDO38" s="178"/>
      <c r="SDP38" s="1"/>
      <c r="SDQ38" s="2"/>
      <c r="SDR38" s="161"/>
      <c r="SDS38" s="161"/>
      <c r="SDT38" s="1"/>
      <c r="SDU38" s="213"/>
      <c r="SDV38" s="1"/>
      <c r="SDW38" s="1"/>
      <c r="SDX38" s="1"/>
      <c r="SDY38" s="1"/>
      <c r="SDZ38" s="223"/>
      <c r="SEA38" s="222"/>
      <c r="SEB38" s="1"/>
      <c r="SEC38" s="301"/>
      <c r="SED38" s="214"/>
      <c r="SEE38" s="5"/>
      <c r="SEF38" s="12"/>
      <c r="SEG38" s="5"/>
      <c r="SEH38" s="5"/>
      <c r="SEI38" s="1"/>
      <c r="SEJ38" s="1"/>
      <c r="SEK38" s="1"/>
      <c r="SEL38" s="1"/>
      <c r="SEM38" s="1"/>
      <c r="SEN38" s="178"/>
      <c r="SEO38" s="178"/>
      <c r="SEP38" s="1"/>
      <c r="SEQ38" s="2"/>
      <c r="SER38" s="161"/>
      <c r="SES38" s="161"/>
      <c r="SET38" s="1"/>
      <c r="SEU38" s="213"/>
      <c r="SEV38" s="1"/>
      <c r="SEW38" s="1"/>
      <c r="SEX38" s="1"/>
      <c r="SEY38" s="1"/>
      <c r="SEZ38" s="223"/>
      <c r="SFA38" s="222"/>
      <c r="SFB38" s="1"/>
      <c r="SFC38" s="301"/>
      <c r="SFD38" s="214"/>
      <c r="SFE38" s="5"/>
      <c r="SFF38" s="12"/>
      <c r="SFG38" s="5"/>
      <c r="SFH38" s="5"/>
      <c r="SFI38" s="1"/>
      <c r="SFJ38" s="1"/>
      <c r="SFK38" s="1"/>
      <c r="SFL38" s="1"/>
      <c r="SFM38" s="1"/>
      <c r="SFN38" s="178"/>
      <c r="SFO38" s="178"/>
      <c r="SFP38" s="1"/>
      <c r="SFQ38" s="2"/>
      <c r="SFR38" s="161"/>
      <c r="SFS38" s="161"/>
      <c r="SFT38" s="1"/>
      <c r="SFU38" s="213"/>
      <c r="SFV38" s="1"/>
      <c r="SFW38" s="1"/>
      <c r="SFX38" s="1"/>
      <c r="SFY38" s="1"/>
      <c r="SFZ38" s="223"/>
      <c r="SGA38" s="222"/>
      <c r="SGB38" s="1"/>
      <c r="SGC38" s="301"/>
      <c r="SGD38" s="214"/>
      <c r="SGE38" s="5"/>
      <c r="SGF38" s="12"/>
      <c r="SGG38" s="5"/>
      <c r="SGH38" s="5"/>
      <c r="SGI38" s="1"/>
      <c r="SGJ38" s="1"/>
      <c r="SGK38" s="1"/>
      <c r="SGL38" s="1"/>
      <c r="SGM38" s="1"/>
      <c r="SGN38" s="178"/>
      <c r="SGO38" s="178"/>
      <c r="SGP38" s="1"/>
      <c r="SGQ38" s="2"/>
      <c r="SGR38" s="161"/>
      <c r="SGS38" s="161"/>
      <c r="SGT38" s="1"/>
      <c r="SGU38" s="213"/>
      <c r="SGV38" s="1"/>
      <c r="SGW38" s="1"/>
      <c r="SGX38" s="1"/>
      <c r="SGY38" s="1"/>
      <c r="SGZ38" s="223"/>
      <c r="SHA38" s="222"/>
      <c r="SHB38" s="1"/>
      <c r="SHC38" s="301"/>
      <c r="SHD38" s="214"/>
      <c r="SHE38" s="5"/>
      <c r="SHF38" s="12"/>
      <c r="SHG38" s="5"/>
      <c r="SHH38" s="5"/>
      <c r="SHI38" s="1"/>
      <c r="SHJ38" s="1"/>
      <c r="SHK38" s="1"/>
      <c r="SHL38" s="1"/>
      <c r="SHM38" s="1"/>
      <c r="SHN38" s="178"/>
      <c r="SHO38" s="178"/>
      <c r="SHP38" s="1"/>
      <c r="SHQ38" s="2"/>
      <c r="SHR38" s="161"/>
      <c r="SHS38" s="161"/>
      <c r="SHT38" s="1"/>
      <c r="SHU38" s="213"/>
      <c r="SHV38" s="1"/>
      <c r="SHW38" s="1"/>
      <c r="SHX38" s="1"/>
      <c r="SHY38" s="1"/>
      <c r="SHZ38" s="223"/>
      <c r="SIA38" s="222"/>
      <c r="SIB38" s="1"/>
      <c r="SIC38" s="301"/>
      <c r="SID38" s="214"/>
      <c r="SIE38" s="5"/>
      <c r="SIF38" s="12"/>
      <c r="SIG38" s="5"/>
      <c r="SIH38" s="5"/>
      <c r="SII38" s="1"/>
      <c r="SIJ38" s="1"/>
      <c r="SIK38" s="1"/>
      <c r="SIL38" s="1"/>
      <c r="SIM38" s="1"/>
      <c r="SIN38" s="178"/>
      <c r="SIO38" s="178"/>
      <c r="SIP38" s="1"/>
      <c r="SIQ38" s="2"/>
      <c r="SIR38" s="161"/>
      <c r="SIS38" s="161"/>
      <c r="SIT38" s="1"/>
      <c r="SIU38" s="213"/>
      <c r="SIV38" s="1"/>
      <c r="SIW38" s="1"/>
      <c r="SIX38" s="1"/>
      <c r="SIY38" s="1"/>
      <c r="SIZ38" s="223"/>
      <c r="SJA38" s="222"/>
      <c r="SJB38" s="1"/>
      <c r="SJC38" s="301"/>
      <c r="SJD38" s="214"/>
      <c r="SJE38" s="5"/>
      <c r="SJF38" s="12"/>
      <c r="SJG38" s="5"/>
      <c r="SJH38" s="5"/>
      <c r="SJI38" s="1"/>
      <c r="SJJ38" s="1"/>
      <c r="SJK38" s="1"/>
      <c r="SJL38" s="1"/>
      <c r="SJM38" s="1"/>
      <c r="SJN38" s="178"/>
      <c r="SJO38" s="178"/>
      <c r="SJP38" s="1"/>
      <c r="SJQ38" s="2"/>
      <c r="SJR38" s="161"/>
      <c r="SJS38" s="161"/>
      <c r="SJT38" s="1"/>
      <c r="SJU38" s="213"/>
      <c r="SJV38" s="1"/>
      <c r="SJW38" s="1"/>
      <c r="SJX38" s="1"/>
      <c r="SJY38" s="1"/>
      <c r="SJZ38" s="223"/>
      <c r="SKA38" s="222"/>
      <c r="SKB38" s="1"/>
      <c r="SKC38" s="301"/>
      <c r="SKD38" s="214"/>
      <c r="SKE38" s="5"/>
      <c r="SKF38" s="12"/>
      <c r="SKG38" s="5"/>
      <c r="SKH38" s="5"/>
      <c r="SKI38" s="1"/>
      <c r="SKJ38" s="1"/>
      <c r="SKK38" s="1"/>
      <c r="SKL38" s="1"/>
      <c r="SKM38" s="1"/>
      <c r="SKN38" s="178"/>
      <c r="SKO38" s="178"/>
      <c r="SKP38" s="1"/>
      <c r="SKQ38" s="2"/>
      <c r="SKR38" s="161"/>
      <c r="SKS38" s="161"/>
      <c r="SKT38" s="1"/>
      <c r="SKU38" s="213"/>
      <c r="SKV38" s="1"/>
      <c r="SKW38" s="1"/>
      <c r="SKX38" s="1"/>
      <c r="SKY38" s="1"/>
      <c r="SKZ38" s="223"/>
      <c r="SLA38" s="222"/>
      <c r="SLB38" s="1"/>
      <c r="SLC38" s="301"/>
      <c r="SLD38" s="214"/>
      <c r="SLE38" s="5"/>
      <c r="SLF38" s="12"/>
      <c r="SLG38" s="5"/>
      <c r="SLH38" s="5"/>
      <c r="SLI38" s="1"/>
      <c r="SLJ38" s="1"/>
      <c r="SLK38" s="1"/>
      <c r="SLL38" s="1"/>
      <c r="SLM38" s="1"/>
      <c r="SLN38" s="178"/>
      <c r="SLO38" s="178"/>
      <c r="SLP38" s="1"/>
      <c r="SLQ38" s="2"/>
      <c r="SLR38" s="161"/>
      <c r="SLS38" s="161"/>
      <c r="SLT38" s="1"/>
      <c r="SLU38" s="213"/>
      <c r="SLV38" s="1"/>
      <c r="SLW38" s="1"/>
      <c r="SLX38" s="1"/>
      <c r="SLY38" s="1"/>
      <c r="SLZ38" s="223"/>
      <c r="SMA38" s="222"/>
      <c r="SMB38" s="1"/>
      <c r="SMC38" s="301"/>
      <c r="SMD38" s="214"/>
      <c r="SME38" s="5"/>
      <c r="SMF38" s="12"/>
      <c r="SMG38" s="5"/>
      <c r="SMH38" s="5"/>
      <c r="SMI38" s="1"/>
      <c r="SMJ38" s="1"/>
      <c r="SMK38" s="1"/>
      <c r="SML38" s="1"/>
      <c r="SMM38" s="1"/>
      <c r="SMN38" s="178"/>
      <c r="SMO38" s="178"/>
      <c r="SMP38" s="1"/>
      <c r="SMQ38" s="2"/>
      <c r="SMR38" s="161"/>
      <c r="SMS38" s="161"/>
      <c r="SMT38" s="1"/>
      <c r="SMU38" s="213"/>
      <c r="SMV38" s="1"/>
      <c r="SMW38" s="1"/>
      <c r="SMX38" s="1"/>
      <c r="SMY38" s="1"/>
      <c r="SMZ38" s="223"/>
      <c r="SNA38" s="222"/>
      <c r="SNB38" s="1"/>
      <c r="SNC38" s="301"/>
      <c r="SND38" s="214"/>
      <c r="SNE38" s="5"/>
      <c r="SNF38" s="12"/>
      <c r="SNG38" s="5"/>
      <c r="SNH38" s="5"/>
      <c r="SNI38" s="1"/>
      <c r="SNJ38" s="1"/>
      <c r="SNK38" s="1"/>
      <c r="SNL38" s="1"/>
      <c r="SNM38" s="1"/>
      <c r="SNN38" s="178"/>
      <c r="SNO38" s="178"/>
      <c r="SNP38" s="1"/>
      <c r="SNQ38" s="2"/>
      <c r="SNR38" s="161"/>
      <c r="SNS38" s="161"/>
      <c r="SNT38" s="1"/>
      <c r="SNU38" s="213"/>
      <c r="SNV38" s="1"/>
      <c r="SNW38" s="1"/>
      <c r="SNX38" s="1"/>
      <c r="SNY38" s="1"/>
      <c r="SNZ38" s="223"/>
      <c r="SOA38" s="222"/>
      <c r="SOB38" s="1"/>
      <c r="SOC38" s="301"/>
      <c r="SOD38" s="214"/>
      <c r="SOE38" s="5"/>
      <c r="SOF38" s="12"/>
      <c r="SOG38" s="5"/>
      <c r="SOH38" s="5"/>
      <c r="SOI38" s="1"/>
      <c r="SOJ38" s="1"/>
      <c r="SOK38" s="1"/>
      <c r="SOL38" s="1"/>
      <c r="SOM38" s="1"/>
      <c r="SON38" s="178"/>
      <c r="SOO38" s="178"/>
      <c r="SOP38" s="1"/>
      <c r="SOQ38" s="2"/>
      <c r="SOR38" s="161"/>
      <c r="SOS38" s="161"/>
      <c r="SOT38" s="1"/>
      <c r="SOU38" s="213"/>
      <c r="SOV38" s="1"/>
      <c r="SOW38" s="1"/>
      <c r="SOX38" s="1"/>
      <c r="SOY38" s="1"/>
      <c r="SOZ38" s="223"/>
      <c r="SPA38" s="222"/>
      <c r="SPB38" s="1"/>
      <c r="SPC38" s="301"/>
      <c r="SPD38" s="214"/>
      <c r="SPE38" s="5"/>
      <c r="SPF38" s="12"/>
      <c r="SPG38" s="5"/>
      <c r="SPH38" s="5"/>
      <c r="SPI38" s="1"/>
      <c r="SPJ38" s="1"/>
      <c r="SPK38" s="1"/>
      <c r="SPL38" s="1"/>
      <c r="SPM38" s="1"/>
      <c r="SPN38" s="178"/>
      <c r="SPO38" s="178"/>
      <c r="SPP38" s="1"/>
      <c r="SPQ38" s="2"/>
      <c r="SPR38" s="161"/>
      <c r="SPS38" s="161"/>
      <c r="SPT38" s="1"/>
      <c r="SPU38" s="213"/>
      <c r="SPV38" s="1"/>
      <c r="SPW38" s="1"/>
      <c r="SPX38" s="1"/>
      <c r="SPY38" s="1"/>
      <c r="SPZ38" s="223"/>
      <c r="SQA38" s="222"/>
      <c r="SQB38" s="1"/>
      <c r="SQC38" s="301"/>
      <c r="SQD38" s="214"/>
      <c r="SQE38" s="5"/>
      <c r="SQF38" s="12"/>
      <c r="SQG38" s="5"/>
      <c r="SQH38" s="5"/>
      <c r="SQI38" s="1"/>
      <c r="SQJ38" s="1"/>
      <c r="SQK38" s="1"/>
      <c r="SQL38" s="1"/>
      <c r="SQM38" s="1"/>
      <c r="SQN38" s="178"/>
      <c r="SQO38" s="178"/>
      <c r="SQP38" s="1"/>
      <c r="SQQ38" s="2"/>
      <c r="SQR38" s="161"/>
      <c r="SQS38" s="161"/>
      <c r="SQT38" s="1"/>
      <c r="SQU38" s="213"/>
      <c r="SQV38" s="1"/>
      <c r="SQW38" s="1"/>
      <c r="SQX38" s="1"/>
      <c r="SQY38" s="1"/>
      <c r="SQZ38" s="223"/>
      <c r="SRA38" s="222"/>
      <c r="SRB38" s="1"/>
      <c r="SRC38" s="301"/>
      <c r="SRD38" s="214"/>
      <c r="SRE38" s="5"/>
      <c r="SRF38" s="12"/>
      <c r="SRG38" s="5"/>
      <c r="SRH38" s="5"/>
      <c r="SRI38" s="1"/>
      <c r="SRJ38" s="1"/>
      <c r="SRK38" s="1"/>
      <c r="SRL38" s="1"/>
      <c r="SRM38" s="1"/>
      <c r="SRN38" s="178"/>
      <c r="SRO38" s="178"/>
      <c r="SRP38" s="1"/>
      <c r="SRQ38" s="2"/>
      <c r="SRR38" s="161"/>
      <c r="SRS38" s="161"/>
      <c r="SRT38" s="1"/>
      <c r="SRU38" s="213"/>
      <c r="SRV38" s="1"/>
      <c r="SRW38" s="1"/>
      <c r="SRX38" s="1"/>
      <c r="SRY38" s="1"/>
      <c r="SRZ38" s="223"/>
      <c r="SSA38" s="222"/>
      <c r="SSB38" s="1"/>
      <c r="SSC38" s="301"/>
      <c r="SSD38" s="214"/>
      <c r="SSE38" s="5"/>
      <c r="SSF38" s="12"/>
      <c r="SSG38" s="5"/>
      <c r="SSH38" s="5"/>
      <c r="SSI38" s="1"/>
      <c r="SSJ38" s="1"/>
      <c r="SSK38" s="1"/>
      <c r="SSL38" s="1"/>
      <c r="SSM38" s="1"/>
      <c r="SSN38" s="178"/>
      <c r="SSO38" s="178"/>
      <c r="SSP38" s="1"/>
      <c r="SSQ38" s="2"/>
      <c r="SSR38" s="161"/>
      <c r="SSS38" s="161"/>
      <c r="SST38" s="1"/>
      <c r="SSU38" s="213"/>
      <c r="SSV38" s="1"/>
      <c r="SSW38" s="1"/>
      <c r="SSX38" s="1"/>
      <c r="SSY38" s="1"/>
      <c r="SSZ38" s="223"/>
      <c r="STA38" s="222"/>
      <c r="STB38" s="1"/>
      <c r="STC38" s="301"/>
      <c r="STD38" s="214"/>
      <c r="STE38" s="5"/>
      <c r="STF38" s="12"/>
      <c r="STG38" s="5"/>
      <c r="STH38" s="5"/>
      <c r="STI38" s="1"/>
      <c r="STJ38" s="1"/>
      <c r="STK38" s="1"/>
      <c r="STL38" s="1"/>
      <c r="STM38" s="1"/>
      <c r="STN38" s="178"/>
      <c r="STO38" s="178"/>
      <c r="STP38" s="1"/>
      <c r="STQ38" s="2"/>
      <c r="STR38" s="161"/>
      <c r="STS38" s="161"/>
      <c r="STT38" s="1"/>
      <c r="STU38" s="213"/>
      <c r="STV38" s="1"/>
      <c r="STW38" s="1"/>
      <c r="STX38" s="1"/>
      <c r="STY38" s="1"/>
      <c r="STZ38" s="223"/>
      <c r="SUA38" s="222"/>
      <c r="SUB38" s="1"/>
      <c r="SUC38" s="301"/>
      <c r="SUD38" s="214"/>
      <c r="SUE38" s="5"/>
      <c r="SUF38" s="12"/>
      <c r="SUG38" s="5"/>
      <c r="SUH38" s="5"/>
      <c r="SUI38" s="1"/>
      <c r="SUJ38" s="1"/>
      <c r="SUK38" s="1"/>
      <c r="SUL38" s="1"/>
      <c r="SUM38" s="1"/>
      <c r="SUN38" s="178"/>
      <c r="SUO38" s="178"/>
      <c r="SUP38" s="1"/>
      <c r="SUQ38" s="2"/>
      <c r="SUR38" s="161"/>
      <c r="SUS38" s="161"/>
      <c r="SUT38" s="1"/>
      <c r="SUU38" s="213"/>
      <c r="SUV38" s="1"/>
      <c r="SUW38" s="1"/>
      <c r="SUX38" s="1"/>
      <c r="SUY38" s="1"/>
      <c r="SUZ38" s="223"/>
      <c r="SVA38" s="222"/>
      <c r="SVB38" s="1"/>
      <c r="SVC38" s="301"/>
      <c r="SVD38" s="214"/>
      <c r="SVE38" s="5"/>
      <c r="SVF38" s="12"/>
      <c r="SVG38" s="5"/>
      <c r="SVH38" s="5"/>
      <c r="SVI38" s="1"/>
      <c r="SVJ38" s="1"/>
      <c r="SVK38" s="1"/>
      <c r="SVL38" s="1"/>
      <c r="SVM38" s="1"/>
      <c r="SVN38" s="178"/>
      <c r="SVO38" s="178"/>
      <c r="SVP38" s="1"/>
      <c r="SVQ38" s="2"/>
      <c r="SVR38" s="161"/>
      <c r="SVS38" s="161"/>
      <c r="SVT38" s="1"/>
      <c r="SVU38" s="213"/>
      <c r="SVV38" s="1"/>
      <c r="SVW38" s="1"/>
      <c r="SVX38" s="1"/>
      <c r="SVY38" s="1"/>
      <c r="SVZ38" s="223"/>
      <c r="SWA38" s="222"/>
      <c r="SWB38" s="1"/>
      <c r="SWC38" s="301"/>
      <c r="SWD38" s="214"/>
      <c r="SWE38" s="5"/>
      <c r="SWF38" s="12"/>
      <c r="SWG38" s="5"/>
      <c r="SWH38" s="5"/>
      <c r="SWI38" s="1"/>
      <c r="SWJ38" s="1"/>
      <c r="SWK38" s="1"/>
      <c r="SWL38" s="1"/>
      <c r="SWM38" s="1"/>
      <c r="SWN38" s="178"/>
      <c r="SWO38" s="178"/>
      <c r="SWP38" s="1"/>
      <c r="SWQ38" s="2"/>
      <c r="SWR38" s="161"/>
      <c r="SWS38" s="161"/>
      <c r="SWT38" s="1"/>
      <c r="SWU38" s="213"/>
      <c r="SWV38" s="1"/>
      <c r="SWW38" s="1"/>
      <c r="SWX38" s="1"/>
      <c r="SWY38" s="1"/>
      <c r="SWZ38" s="223"/>
      <c r="SXA38" s="222"/>
      <c r="SXB38" s="1"/>
      <c r="SXC38" s="301"/>
      <c r="SXD38" s="214"/>
      <c r="SXE38" s="5"/>
      <c r="SXF38" s="12"/>
      <c r="SXG38" s="5"/>
      <c r="SXH38" s="5"/>
      <c r="SXI38" s="1"/>
      <c r="SXJ38" s="1"/>
      <c r="SXK38" s="1"/>
      <c r="SXL38" s="1"/>
      <c r="SXM38" s="1"/>
      <c r="SXN38" s="178"/>
      <c r="SXO38" s="178"/>
      <c r="SXP38" s="1"/>
      <c r="SXQ38" s="2"/>
      <c r="SXR38" s="161"/>
      <c r="SXS38" s="161"/>
      <c r="SXT38" s="1"/>
      <c r="SXU38" s="213"/>
      <c r="SXV38" s="1"/>
      <c r="SXW38" s="1"/>
      <c r="SXX38" s="1"/>
      <c r="SXY38" s="1"/>
      <c r="SXZ38" s="223"/>
      <c r="SYA38" s="222"/>
      <c r="SYB38" s="1"/>
      <c r="SYC38" s="301"/>
      <c r="SYD38" s="214"/>
      <c r="SYE38" s="5"/>
      <c r="SYF38" s="12"/>
      <c r="SYG38" s="5"/>
      <c r="SYH38" s="5"/>
      <c r="SYI38" s="1"/>
      <c r="SYJ38" s="1"/>
      <c r="SYK38" s="1"/>
      <c r="SYL38" s="1"/>
      <c r="SYM38" s="1"/>
      <c r="SYN38" s="178"/>
      <c r="SYO38" s="178"/>
      <c r="SYP38" s="1"/>
      <c r="SYQ38" s="2"/>
      <c r="SYR38" s="161"/>
      <c r="SYS38" s="161"/>
      <c r="SYT38" s="1"/>
      <c r="SYU38" s="213"/>
      <c r="SYV38" s="1"/>
      <c r="SYW38" s="1"/>
      <c r="SYX38" s="1"/>
      <c r="SYY38" s="1"/>
      <c r="SYZ38" s="223"/>
      <c r="SZA38" s="222"/>
      <c r="SZB38" s="1"/>
      <c r="SZC38" s="301"/>
      <c r="SZD38" s="214"/>
      <c r="SZE38" s="5"/>
      <c r="SZF38" s="12"/>
      <c r="SZG38" s="5"/>
      <c r="SZH38" s="5"/>
      <c r="SZI38" s="1"/>
      <c r="SZJ38" s="1"/>
      <c r="SZK38" s="1"/>
      <c r="SZL38" s="1"/>
      <c r="SZM38" s="1"/>
      <c r="SZN38" s="178"/>
      <c r="SZO38" s="178"/>
      <c r="SZP38" s="1"/>
      <c r="SZQ38" s="2"/>
      <c r="SZR38" s="161"/>
      <c r="SZS38" s="161"/>
      <c r="SZT38" s="1"/>
      <c r="SZU38" s="213"/>
      <c r="SZV38" s="1"/>
      <c r="SZW38" s="1"/>
      <c r="SZX38" s="1"/>
      <c r="SZY38" s="1"/>
      <c r="SZZ38" s="223"/>
      <c r="TAA38" s="222"/>
      <c r="TAB38" s="1"/>
      <c r="TAC38" s="301"/>
      <c r="TAD38" s="214"/>
      <c r="TAE38" s="5"/>
      <c r="TAF38" s="12"/>
      <c r="TAG38" s="5"/>
      <c r="TAH38" s="5"/>
      <c r="TAI38" s="1"/>
      <c r="TAJ38" s="1"/>
      <c r="TAK38" s="1"/>
      <c r="TAL38" s="1"/>
      <c r="TAM38" s="1"/>
      <c r="TAN38" s="178"/>
      <c r="TAO38" s="178"/>
      <c r="TAP38" s="1"/>
      <c r="TAQ38" s="2"/>
      <c r="TAR38" s="161"/>
      <c r="TAS38" s="161"/>
      <c r="TAT38" s="1"/>
      <c r="TAU38" s="213"/>
      <c r="TAV38" s="1"/>
      <c r="TAW38" s="1"/>
      <c r="TAX38" s="1"/>
      <c r="TAY38" s="1"/>
      <c r="TAZ38" s="223"/>
      <c r="TBA38" s="222"/>
      <c r="TBB38" s="1"/>
      <c r="TBC38" s="301"/>
      <c r="TBD38" s="214"/>
      <c r="TBE38" s="5"/>
      <c r="TBF38" s="12"/>
      <c r="TBG38" s="5"/>
      <c r="TBH38" s="5"/>
      <c r="TBI38" s="1"/>
      <c r="TBJ38" s="1"/>
      <c r="TBK38" s="1"/>
      <c r="TBL38" s="1"/>
      <c r="TBM38" s="1"/>
      <c r="TBN38" s="178"/>
      <c r="TBO38" s="178"/>
      <c r="TBP38" s="1"/>
      <c r="TBQ38" s="2"/>
      <c r="TBR38" s="161"/>
      <c r="TBS38" s="161"/>
      <c r="TBT38" s="1"/>
      <c r="TBU38" s="213"/>
      <c r="TBV38" s="1"/>
      <c r="TBW38" s="1"/>
      <c r="TBX38" s="1"/>
      <c r="TBY38" s="1"/>
      <c r="TBZ38" s="223"/>
      <c r="TCA38" s="222"/>
      <c r="TCB38" s="1"/>
      <c r="TCC38" s="301"/>
      <c r="TCD38" s="214"/>
      <c r="TCE38" s="5"/>
      <c r="TCF38" s="12"/>
      <c r="TCG38" s="5"/>
      <c r="TCH38" s="5"/>
      <c r="TCI38" s="1"/>
      <c r="TCJ38" s="1"/>
      <c r="TCK38" s="1"/>
      <c r="TCL38" s="1"/>
      <c r="TCM38" s="1"/>
      <c r="TCN38" s="178"/>
      <c r="TCO38" s="178"/>
      <c r="TCP38" s="1"/>
      <c r="TCQ38" s="2"/>
      <c r="TCR38" s="161"/>
      <c r="TCS38" s="161"/>
      <c r="TCT38" s="1"/>
      <c r="TCU38" s="213"/>
      <c r="TCV38" s="1"/>
      <c r="TCW38" s="1"/>
      <c r="TCX38" s="1"/>
      <c r="TCY38" s="1"/>
      <c r="TCZ38" s="223"/>
      <c r="TDA38" s="222"/>
      <c r="TDB38" s="1"/>
      <c r="TDC38" s="301"/>
      <c r="TDD38" s="214"/>
      <c r="TDE38" s="5"/>
      <c r="TDF38" s="12"/>
      <c r="TDG38" s="5"/>
      <c r="TDH38" s="5"/>
      <c r="TDI38" s="1"/>
      <c r="TDJ38" s="1"/>
      <c r="TDK38" s="1"/>
      <c r="TDL38" s="1"/>
      <c r="TDM38" s="1"/>
      <c r="TDN38" s="178"/>
      <c r="TDO38" s="178"/>
      <c r="TDP38" s="1"/>
      <c r="TDQ38" s="2"/>
      <c r="TDR38" s="161"/>
      <c r="TDS38" s="161"/>
      <c r="TDT38" s="1"/>
      <c r="TDU38" s="213"/>
      <c r="TDV38" s="1"/>
      <c r="TDW38" s="1"/>
      <c r="TDX38" s="1"/>
      <c r="TDY38" s="1"/>
      <c r="TDZ38" s="223"/>
      <c r="TEA38" s="222"/>
      <c r="TEB38" s="1"/>
      <c r="TEC38" s="301"/>
      <c r="TED38" s="214"/>
      <c r="TEE38" s="5"/>
      <c r="TEF38" s="12"/>
      <c r="TEG38" s="5"/>
      <c r="TEH38" s="5"/>
      <c r="TEI38" s="1"/>
      <c r="TEJ38" s="1"/>
      <c r="TEK38" s="1"/>
      <c r="TEL38" s="1"/>
      <c r="TEM38" s="1"/>
      <c r="TEN38" s="178"/>
      <c r="TEO38" s="178"/>
      <c r="TEP38" s="1"/>
      <c r="TEQ38" s="2"/>
      <c r="TER38" s="161"/>
      <c r="TES38" s="161"/>
      <c r="TET38" s="1"/>
      <c r="TEU38" s="213"/>
      <c r="TEV38" s="1"/>
      <c r="TEW38" s="1"/>
      <c r="TEX38" s="1"/>
      <c r="TEY38" s="1"/>
      <c r="TEZ38" s="223"/>
      <c r="TFA38" s="222"/>
      <c r="TFB38" s="1"/>
      <c r="TFC38" s="301"/>
      <c r="TFD38" s="214"/>
      <c r="TFE38" s="5"/>
      <c r="TFF38" s="12"/>
      <c r="TFG38" s="5"/>
      <c r="TFH38" s="5"/>
      <c r="TFI38" s="1"/>
      <c r="TFJ38" s="1"/>
      <c r="TFK38" s="1"/>
      <c r="TFL38" s="1"/>
      <c r="TFM38" s="1"/>
      <c r="TFN38" s="178"/>
      <c r="TFO38" s="178"/>
      <c r="TFP38" s="1"/>
      <c r="TFQ38" s="2"/>
      <c r="TFR38" s="161"/>
      <c r="TFS38" s="161"/>
      <c r="TFT38" s="1"/>
      <c r="TFU38" s="213"/>
      <c r="TFV38" s="1"/>
      <c r="TFW38" s="1"/>
      <c r="TFX38" s="1"/>
      <c r="TFY38" s="1"/>
      <c r="TFZ38" s="223"/>
      <c r="TGA38" s="222"/>
      <c r="TGB38" s="1"/>
      <c r="TGC38" s="301"/>
      <c r="TGD38" s="214"/>
      <c r="TGE38" s="5"/>
      <c r="TGF38" s="12"/>
      <c r="TGG38" s="5"/>
      <c r="TGH38" s="5"/>
      <c r="TGI38" s="1"/>
      <c r="TGJ38" s="1"/>
      <c r="TGK38" s="1"/>
      <c r="TGL38" s="1"/>
      <c r="TGM38" s="1"/>
      <c r="TGN38" s="178"/>
      <c r="TGO38" s="178"/>
      <c r="TGP38" s="1"/>
      <c r="TGQ38" s="2"/>
      <c r="TGR38" s="161"/>
      <c r="TGS38" s="161"/>
      <c r="TGT38" s="1"/>
      <c r="TGU38" s="213"/>
      <c r="TGV38" s="1"/>
      <c r="TGW38" s="1"/>
      <c r="TGX38" s="1"/>
      <c r="TGY38" s="1"/>
      <c r="TGZ38" s="223"/>
      <c r="THA38" s="222"/>
      <c r="THB38" s="1"/>
      <c r="THC38" s="301"/>
      <c r="THD38" s="214"/>
      <c r="THE38" s="5"/>
      <c r="THF38" s="12"/>
      <c r="THG38" s="5"/>
      <c r="THH38" s="5"/>
      <c r="THI38" s="1"/>
      <c r="THJ38" s="1"/>
      <c r="THK38" s="1"/>
      <c r="THL38" s="1"/>
      <c r="THM38" s="1"/>
      <c r="THN38" s="178"/>
      <c r="THO38" s="178"/>
      <c r="THP38" s="1"/>
      <c r="THQ38" s="2"/>
      <c r="THR38" s="161"/>
      <c r="THS38" s="161"/>
      <c r="THT38" s="1"/>
      <c r="THU38" s="213"/>
      <c r="THV38" s="1"/>
      <c r="THW38" s="1"/>
      <c r="THX38" s="1"/>
      <c r="THY38" s="1"/>
      <c r="THZ38" s="223"/>
      <c r="TIA38" s="222"/>
      <c r="TIB38" s="1"/>
      <c r="TIC38" s="301"/>
      <c r="TID38" s="214"/>
      <c r="TIE38" s="5"/>
      <c r="TIF38" s="12"/>
      <c r="TIG38" s="5"/>
      <c r="TIH38" s="5"/>
      <c r="TII38" s="1"/>
      <c r="TIJ38" s="1"/>
      <c r="TIK38" s="1"/>
      <c r="TIL38" s="1"/>
      <c r="TIM38" s="1"/>
      <c r="TIN38" s="178"/>
      <c r="TIO38" s="178"/>
      <c r="TIP38" s="1"/>
      <c r="TIQ38" s="2"/>
      <c r="TIR38" s="161"/>
      <c r="TIS38" s="161"/>
      <c r="TIT38" s="1"/>
      <c r="TIU38" s="213"/>
      <c r="TIV38" s="1"/>
      <c r="TIW38" s="1"/>
      <c r="TIX38" s="1"/>
      <c r="TIY38" s="1"/>
      <c r="TIZ38" s="223"/>
      <c r="TJA38" s="222"/>
      <c r="TJB38" s="1"/>
      <c r="TJC38" s="301"/>
      <c r="TJD38" s="214"/>
      <c r="TJE38" s="5"/>
      <c r="TJF38" s="12"/>
      <c r="TJG38" s="5"/>
      <c r="TJH38" s="5"/>
      <c r="TJI38" s="1"/>
      <c r="TJJ38" s="1"/>
      <c r="TJK38" s="1"/>
      <c r="TJL38" s="1"/>
      <c r="TJM38" s="1"/>
      <c r="TJN38" s="178"/>
      <c r="TJO38" s="178"/>
      <c r="TJP38" s="1"/>
      <c r="TJQ38" s="2"/>
      <c r="TJR38" s="161"/>
      <c r="TJS38" s="161"/>
      <c r="TJT38" s="1"/>
      <c r="TJU38" s="213"/>
      <c r="TJV38" s="1"/>
      <c r="TJW38" s="1"/>
      <c r="TJX38" s="1"/>
      <c r="TJY38" s="1"/>
      <c r="TJZ38" s="223"/>
      <c r="TKA38" s="222"/>
      <c r="TKB38" s="1"/>
      <c r="TKC38" s="301"/>
      <c r="TKD38" s="214"/>
      <c r="TKE38" s="5"/>
      <c r="TKF38" s="12"/>
      <c r="TKG38" s="5"/>
      <c r="TKH38" s="5"/>
      <c r="TKI38" s="1"/>
      <c r="TKJ38" s="1"/>
      <c r="TKK38" s="1"/>
      <c r="TKL38" s="1"/>
      <c r="TKM38" s="1"/>
      <c r="TKN38" s="178"/>
      <c r="TKO38" s="178"/>
      <c r="TKP38" s="1"/>
      <c r="TKQ38" s="2"/>
      <c r="TKR38" s="161"/>
      <c r="TKS38" s="161"/>
      <c r="TKT38" s="1"/>
      <c r="TKU38" s="213"/>
      <c r="TKV38" s="1"/>
      <c r="TKW38" s="1"/>
      <c r="TKX38" s="1"/>
      <c r="TKY38" s="1"/>
      <c r="TKZ38" s="223"/>
      <c r="TLA38" s="222"/>
      <c r="TLB38" s="1"/>
      <c r="TLC38" s="301"/>
      <c r="TLD38" s="214"/>
      <c r="TLE38" s="5"/>
      <c r="TLF38" s="12"/>
      <c r="TLG38" s="5"/>
      <c r="TLH38" s="5"/>
      <c r="TLI38" s="1"/>
      <c r="TLJ38" s="1"/>
      <c r="TLK38" s="1"/>
      <c r="TLL38" s="1"/>
      <c r="TLM38" s="1"/>
      <c r="TLN38" s="178"/>
      <c r="TLO38" s="178"/>
      <c r="TLP38" s="1"/>
      <c r="TLQ38" s="2"/>
      <c r="TLR38" s="161"/>
      <c r="TLS38" s="161"/>
      <c r="TLT38" s="1"/>
      <c r="TLU38" s="213"/>
      <c r="TLV38" s="1"/>
      <c r="TLW38" s="1"/>
      <c r="TLX38" s="1"/>
      <c r="TLY38" s="1"/>
      <c r="TLZ38" s="223"/>
      <c r="TMA38" s="222"/>
      <c r="TMB38" s="1"/>
      <c r="TMC38" s="301"/>
      <c r="TMD38" s="214"/>
      <c r="TME38" s="5"/>
      <c r="TMF38" s="12"/>
      <c r="TMG38" s="5"/>
      <c r="TMH38" s="5"/>
      <c r="TMI38" s="1"/>
      <c r="TMJ38" s="1"/>
      <c r="TMK38" s="1"/>
      <c r="TML38" s="1"/>
      <c r="TMM38" s="1"/>
      <c r="TMN38" s="178"/>
      <c r="TMO38" s="178"/>
      <c r="TMP38" s="1"/>
      <c r="TMQ38" s="2"/>
      <c r="TMR38" s="161"/>
      <c r="TMS38" s="161"/>
      <c r="TMT38" s="1"/>
      <c r="TMU38" s="213"/>
      <c r="TMV38" s="1"/>
      <c r="TMW38" s="1"/>
      <c r="TMX38" s="1"/>
      <c r="TMY38" s="1"/>
      <c r="TMZ38" s="223"/>
      <c r="TNA38" s="222"/>
      <c r="TNB38" s="1"/>
      <c r="TNC38" s="301"/>
      <c r="TND38" s="214"/>
      <c r="TNE38" s="5"/>
      <c r="TNF38" s="12"/>
      <c r="TNG38" s="5"/>
      <c r="TNH38" s="5"/>
      <c r="TNI38" s="1"/>
      <c r="TNJ38" s="1"/>
      <c r="TNK38" s="1"/>
      <c r="TNL38" s="1"/>
      <c r="TNM38" s="1"/>
      <c r="TNN38" s="178"/>
      <c r="TNO38" s="178"/>
      <c r="TNP38" s="1"/>
      <c r="TNQ38" s="2"/>
      <c r="TNR38" s="161"/>
      <c r="TNS38" s="161"/>
      <c r="TNT38" s="1"/>
      <c r="TNU38" s="213"/>
      <c r="TNV38" s="1"/>
      <c r="TNW38" s="1"/>
      <c r="TNX38" s="1"/>
      <c r="TNY38" s="1"/>
      <c r="TNZ38" s="223"/>
      <c r="TOA38" s="222"/>
      <c r="TOB38" s="1"/>
      <c r="TOC38" s="301"/>
      <c r="TOD38" s="214"/>
      <c r="TOE38" s="5"/>
      <c r="TOF38" s="12"/>
      <c r="TOG38" s="5"/>
      <c r="TOH38" s="5"/>
      <c r="TOI38" s="1"/>
      <c r="TOJ38" s="1"/>
      <c r="TOK38" s="1"/>
      <c r="TOL38" s="1"/>
      <c r="TOM38" s="1"/>
      <c r="TON38" s="178"/>
      <c r="TOO38" s="178"/>
      <c r="TOP38" s="1"/>
      <c r="TOQ38" s="2"/>
      <c r="TOR38" s="161"/>
      <c r="TOS38" s="161"/>
      <c r="TOT38" s="1"/>
      <c r="TOU38" s="213"/>
      <c r="TOV38" s="1"/>
      <c r="TOW38" s="1"/>
      <c r="TOX38" s="1"/>
      <c r="TOY38" s="1"/>
      <c r="TOZ38" s="223"/>
      <c r="TPA38" s="222"/>
      <c r="TPB38" s="1"/>
      <c r="TPC38" s="301"/>
      <c r="TPD38" s="214"/>
      <c r="TPE38" s="5"/>
      <c r="TPF38" s="12"/>
      <c r="TPG38" s="5"/>
      <c r="TPH38" s="5"/>
      <c r="TPI38" s="1"/>
      <c r="TPJ38" s="1"/>
      <c r="TPK38" s="1"/>
      <c r="TPL38" s="1"/>
      <c r="TPM38" s="1"/>
      <c r="TPN38" s="178"/>
      <c r="TPO38" s="178"/>
      <c r="TPP38" s="1"/>
      <c r="TPQ38" s="2"/>
      <c r="TPR38" s="161"/>
      <c r="TPS38" s="161"/>
      <c r="TPT38" s="1"/>
      <c r="TPU38" s="213"/>
      <c r="TPV38" s="1"/>
      <c r="TPW38" s="1"/>
      <c r="TPX38" s="1"/>
      <c r="TPY38" s="1"/>
      <c r="TPZ38" s="223"/>
      <c r="TQA38" s="222"/>
      <c r="TQB38" s="1"/>
      <c r="TQC38" s="301"/>
      <c r="TQD38" s="214"/>
      <c r="TQE38" s="5"/>
      <c r="TQF38" s="12"/>
      <c r="TQG38" s="5"/>
      <c r="TQH38" s="5"/>
      <c r="TQI38" s="1"/>
      <c r="TQJ38" s="1"/>
      <c r="TQK38" s="1"/>
      <c r="TQL38" s="1"/>
      <c r="TQM38" s="1"/>
      <c r="TQN38" s="178"/>
      <c r="TQO38" s="178"/>
      <c r="TQP38" s="1"/>
      <c r="TQQ38" s="2"/>
      <c r="TQR38" s="161"/>
      <c r="TQS38" s="161"/>
      <c r="TQT38" s="1"/>
      <c r="TQU38" s="213"/>
      <c r="TQV38" s="1"/>
      <c r="TQW38" s="1"/>
      <c r="TQX38" s="1"/>
      <c r="TQY38" s="1"/>
      <c r="TQZ38" s="223"/>
      <c r="TRA38" s="222"/>
      <c r="TRB38" s="1"/>
      <c r="TRC38" s="301"/>
      <c r="TRD38" s="214"/>
      <c r="TRE38" s="5"/>
      <c r="TRF38" s="12"/>
      <c r="TRG38" s="5"/>
      <c r="TRH38" s="5"/>
      <c r="TRI38" s="1"/>
      <c r="TRJ38" s="1"/>
      <c r="TRK38" s="1"/>
      <c r="TRL38" s="1"/>
      <c r="TRM38" s="1"/>
      <c r="TRN38" s="178"/>
      <c r="TRO38" s="178"/>
      <c r="TRP38" s="1"/>
      <c r="TRQ38" s="2"/>
      <c r="TRR38" s="161"/>
      <c r="TRS38" s="161"/>
      <c r="TRT38" s="1"/>
      <c r="TRU38" s="213"/>
      <c r="TRV38" s="1"/>
      <c r="TRW38" s="1"/>
      <c r="TRX38" s="1"/>
      <c r="TRY38" s="1"/>
      <c r="TRZ38" s="223"/>
      <c r="TSA38" s="222"/>
      <c r="TSB38" s="1"/>
      <c r="TSC38" s="301"/>
      <c r="TSD38" s="214"/>
      <c r="TSE38" s="5"/>
      <c r="TSF38" s="12"/>
      <c r="TSG38" s="5"/>
      <c r="TSH38" s="5"/>
      <c r="TSI38" s="1"/>
      <c r="TSJ38" s="1"/>
      <c r="TSK38" s="1"/>
      <c r="TSL38" s="1"/>
      <c r="TSM38" s="1"/>
      <c r="TSN38" s="178"/>
      <c r="TSO38" s="178"/>
      <c r="TSP38" s="1"/>
      <c r="TSQ38" s="2"/>
      <c r="TSR38" s="161"/>
      <c r="TSS38" s="161"/>
      <c r="TST38" s="1"/>
      <c r="TSU38" s="213"/>
      <c r="TSV38" s="1"/>
      <c r="TSW38" s="1"/>
      <c r="TSX38" s="1"/>
      <c r="TSY38" s="1"/>
      <c r="TSZ38" s="223"/>
      <c r="TTA38" s="222"/>
      <c r="TTB38" s="1"/>
      <c r="TTC38" s="301"/>
      <c r="TTD38" s="214"/>
      <c r="TTE38" s="5"/>
      <c r="TTF38" s="12"/>
      <c r="TTG38" s="5"/>
      <c r="TTH38" s="5"/>
      <c r="TTI38" s="1"/>
      <c r="TTJ38" s="1"/>
      <c r="TTK38" s="1"/>
      <c r="TTL38" s="1"/>
      <c r="TTM38" s="1"/>
      <c r="TTN38" s="178"/>
      <c r="TTO38" s="178"/>
      <c r="TTP38" s="1"/>
      <c r="TTQ38" s="2"/>
      <c r="TTR38" s="161"/>
      <c r="TTS38" s="161"/>
      <c r="TTT38" s="1"/>
      <c r="TTU38" s="213"/>
      <c r="TTV38" s="1"/>
      <c r="TTW38" s="1"/>
      <c r="TTX38" s="1"/>
      <c r="TTY38" s="1"/>
      <c r="TTZ38" s="223"/>
      <c r="TUA38" s="222"/>
      <c r="TUB38" s="1"/>
      <c r="TUC38" s="301"/>
      <c r="TUD38" s="214"/>
      <c r="TUE38" s="5"/>
      <c r="TUF38" s="12"/>
      <c r="TUG38" s="5"/>
      <c r="TUH38" s="5"/>
      <c r="TUI38" s="1"/>
      <c r="TUJ38" s="1"/>
      <c r="TUK38" s="1"/>
      <c r="TUL38" s="1"/>
      <c r="TUM38" s="1"/>
      <c r="TUN38" s="178"/>
      <c r="TUO38" s="178"/>
      <c r="TUP38" s="1"/>
      <c r="TUQ38" s="2"/>
      <c r="TUR38" s="161"/>
      <c r="TUS38" s="161"/>
      <c r="TUT38" s="1"/>
      <c r="TUU38" s="213"/>
      <c r="TUV38" s="1"/>
      <c r="TUW38" s="1"/>
      <c r="TUX38" s="1"/>
      <c r="TUY38" s="1"/>
      <c r="TUZ38" s="223"/>
      <c r="TVA38" s="222"/>
      <c r="TVB38" s="1"/>
      <c r="TVC38" s="301"/>
      <c r="TVD38" s="214"/>
      <c r="TVE38" s="5"/>
      <c r="TVF38" s="12"/>
      <c r="TVG38" s="5"/>
      <c r="TVH38" s="5"/>
      <c r="TVI38" s="1"/>
      <c r="TVJ38" s="1"/>
      <c r="TVK38" s="1"/>
      <c r="TVL38" s="1"/>
      <c r="TVM38" s="1"/>
      <c r="TVN38" s="178"/>
      <c r="TVO38" s="178"/>
      <c r="TVP38" s="1"/>
      <c r="TVQ38" s="2"/>
      <c r="TVR38" s="161"/>
      <c r="TVS38" s="161"/>
      <c r="TVT38" s="1"/>
      <c r="TVU38" s="213"/>
      <c r="TVV38" s="1"/>
      <c r="TVW38" s="1"/>
      <c r="TVX38" s="1"/>
      <c r="TVY38" s="1"/>
      <c r="TVZ38" s="223"/>
      <c r="TWA38" s="222"/>
      <c r="TWB38" s="1"/>
      <c r="TWC38" s="301"/>
      <c r="TWD38" s="214"/>
      <c r="TWE38" s="5"/>
      <c r="TWF38" s="12"/>
      <c r="TWG38" s="5"/>
      <c r="TWH38" s="5"/>
      <c r="TWI38" s="1"/>
      <c r="TWJ38" s="1"/>
      <c r="TWK38" s="1"/>
      <c r="TWL38" s="1"/>
      <c r="TWM38" s="1"/>
      <c r="TWN38" s="178"/>
      <c r="TWO38" s="178"/>
      <c r="TWP38" s="1"/>
      <c r="TWQ38" s="2"/>
      <c r="TWR38" s="161"/>
      <c r="TWS38" s="161"/>
      <c r="TWT38" s="1"/>
      <c r="TWU38" s="213"/>
      <c r="TWV38" s="1"/>
      <c r="TWW38" s="1"/>
      <c r="TWX38" s="1"/>
      <c r="TWY38" s="1"/>
      <c r="TWZ38" s="223"/>
      <c r="TXA38" s="222"/>
      <c r="TXB38" s="1"/>
      <c r="TXC38" s="301"/>
      <c r="TXD38" s="214"/>
      <c r="TXE38" s="5"/>
      <c r="TXF38" s="12"/>
      <c r="TXG38" s="5"/>
      <c r="TXH38" s="5"/>
      <c r="TXI38" s="1"/>
      <c r="TXJ38" s="1"/>
      <c r="TXK38" s="1"/>
      <c r="TXL38" s="1"/>
      <c r="TXM38" s="1"/>
      <c r="TXN38" s="178"/>
      <c r="TXO38" s="178"/>
      <c r="TXP38" s="1"/>
      <c r="TXQ38" s="2"/>
      <c r="TXR38" s="161"/>
      <c r="TXS38" s="161"/>
      <c r="TXT38" s="1"/>
      <c r="TXU38" s="213"/>
      <c r="TXV38" s="1"/>
      <c r="TXW38" s="1"/>
      <c r="TXX38" s="1"/>
      <c r="TXY38" s="1"/>
      <c r="TXZ38" s="223"/>
      <c r="TYA38" s="222"/>
      <c r="TYB38" s="1"/>
      <c r="TYC38" s="301"/>
      <c r="TYD38" s="214"/>
      <c r="TYE38" s="5"/>
      <c r="TYF38" s="12"/>
      <c r="TYG38" s="5"/>
      <c r="TYH38" s="5"/>
      <c r="TYI38" s="1"/>
      <c r="TYJ38" s="1"/>
      <c r="TYK38" s="1"/>
      <c r="TYL38" s="1"/>
      <c r="TYM38" s="1"/>
      <c r="TYN38" s="178"/>
      <c r="TYO38" s="178"/>
      <c r="TYP38" s="1"/>
      <c r="TYQ38" s="2"/>
      <c r="TYR38" s="161"/>
      <c r="TYS38" s="161"/>
      <c r="TYT38" s="1"/>
      <c r="TYU38" s="213"/>
      <c r="TYV38" s="1"/>
      <c r="TYW38" s="1"/>
      <c r="TYX38" s="1"/>
      <c r="TYY38" s="1"/>
      <c r="TYZ38" s="223"/>
      <c r="TZA38" s="222"/>
      <c r="TZB38" s="1"/>
      <c r="TZC38" s="301"/>
      <c r="TZD38" s="214"/>
      <c r="TZE38" s="5"/>
      <c r="TZF38" s="12"/>
      <c r="TZG38" s="5"/>
      <c r="TZH38" s="5"/>
      <c r="TZI38" s="1"/>
      <c r="TZJ38" s="1"/>
      <c r="TZK38" s="1"/>
      <c r="TZL38" s="1"/>
      <c r="TZM38" s="1"/>
      <c r="TZN38" s="178"/>
      <c r="TZO38" s="178"/>
      <c r="TZP38" s="1"/>
      <c r="TZQ38" s="2"/>
      <c r="TZR38" s="161"/>
      <c r="TZS38" s="161"/>
      <c r="TZT38" s="1"/>
      <c r="TZU38" s="213"/>
      <c r="TZV38" s="1"/>
      <c r="TZW38" s="1"/>
      <c r="TZX38" s="1"/>
      <c r="TZY38" s="1"/>
      <c r="TZZ38" s="223"/>
      <c r="UAA38" s="222"/>
      <c r="UAB38" s="1"/>
      <c r="UAC38" s="301"/>
      <c r="UAD38" s="214"/>
      <c r="UAE38" s="5"/>
      <c r="UAF38" s="12"/>
      <c r="UAG38" s="5"/>
      <c r="UAH38" s="5"/>
      <c r="UAI38" s="1"/>
      <c r="UAJ38" s="1"/>
      <c r="UAK38" s="1"/>
      <c r="UAL38" s="1"/>
      <c r="UAM38" s="1"/>
      <c r="UAN38" s="178"/>
      <c r="UAO38" s="178"/>
      <c r="UAP38" s="1"/>
      <c r="UAQ38" s="2"/>
      <c r="UAR38" s="161"/>
      <c r="UAS38" s="161"/>
      <c r="UAT38" s="1"/>
      <c r="UAU38" s="213"/>
      <c r="UAV38" s="1"/>
      <c r="UAW38" s="1"/>
      <c r="UAX38" s="1"/>
      <c r="UAY38" s="1"/>
      <c r="UAZ38" s="223"/>
      <c r="UBA38" s="222"/>
      <c r="UBB38" s="1"/>
      <c r="UBC38" s="301"/>
      <c r="UBD38" s="214"/>
      <c r="UBE38" s="5"/>
      <c r="UBF38" s="12"/>
      <c r="UBG38" s="5"/>
      <c r="UBH38" s="5"/>
      <c r="UBI38" s="1"/>
      <c r="UBJ38" s="1"/>
      <c r="UBK38" s="1"/>
      <c r="UBL38" s="1"/>
      <c r="UBM38" s="1"/>
      <c r="UBN38" s="178"/>
      <c r="UBO38" s="178"/>
      <c r="UBP38" s="1"/>
      <c r="UBQ38" s="2"/>
      <c r="UBR38" s="161"/>
      <c r="UBS38" s="161"/>
      <c r="UBT38" s="1"/>
      <c r="UBU38" s="213"/>
      <c r="UBV38" s="1"/>
      <c r="UBW38" s="1"/>
      <c r="UBX38" s="1"/>
      <c r="UBY38" s="1"/>
      <c r="UBZ38" s="223"/>
      <c r="UCA38" s="222"/>
      <c r="UCB38" s="1"/>
      <c r="UCC38" s="301"/>
      <c r="UCD38" s="214"/>
      <c r="UCE38" s="5"/>
      <c r="UCF38" s="12"/>
      <c r="UCG38" s="5"/>
      <c r="UCH38" s="5"/>
      <c r="UCI38" s="1"/>
      <c r="UCJ38" s="1"/>
      <c r="UCK38" s="1"/>
      <c r="UCL38" s="1"/>
      <c r="UCM38" s="1"/>
      <c r="UCN38" s="178"/>
      <c r="UCO38" s="178"/>
      <c r="UCP38" s="1"/>
      <c r="UCQ38" s="2"/>
      <c r="UCR38" s="161"/>
      <c r="UCS38" s="161"/>
      <c r="UCT38" s="1"/>
      <c r="UCU38" s="213"/>
      <c r="UCV38" s="1"/>
      <c r="UCW38" s="1"/>
      <c r="UCX38" s="1"/>
      <c r="UCY38" s="1"/>
      <c r="UCZ38" s="223"/>
      <c r="UDA38" s="222"/>
      <c r="UDB38" s="1"/>
      <c r="UDC38" s="301"/>
      <c r="UDD38" s="214"/>
      <c r="UDE38" s="5"/>
      <c r="UDF38" s="12"/>
      <c r="UDG38" s="5"/>
      <c r="UDH38" s="5"/>
      <c r="UDI38" s="1"/>
      <c r="UDJ38" s="1"/>
      <c r="UDK38" s="1"/>
      <c r="UDL38" s="1"/>
      <c r="UDM38" s="1"/>
      <c r="UDN38" s="178"/>
      <c r="UDO38" s="178"/>
      <c r="UDP38" s="1"/>
      <c r="UDQ38" s="2"/>
      <c r="UDR38" s="161"/>
      <c r="UDS38" s="161"/>
      <c r="UDT38" s="1"/>
      <c r="UDU38" s="213"/>
      <c r="UDV38" s="1"/>
      <c r="UDW38" s="1"/>
      <c r="UDX38" s="1"/>
      <c r="UDY38" s="1"/>
      <c r="UDZ38" s="223"/>
      <c r="UEA38" s="222"/>
      <c r="UEB38" s="1"/>
      <c r="UEC38" s="301"/>
      <c r="UED38" s="214"/>
      <c r="UEE38" s="5"/>
      <c r="UEF38" s="12"/>
      <c r="UEG38" s="5"/>
      <c r="UEH38" s="5"/>
      <c r="UEI38" s="1"/>
      <c r="UEJ38" s="1"/>
      <c r="UEK38" s="1"/>
      <c r="UEL38" s="1"/>
      <c r="UEM38" s="1"/>
      <c r="UEN38" s="178"/>
      <c r="UEO38" s="178"/>
      <c r="UEP38" s="1"/>
      <c r="UEQ38" s="2"/>
      <c r="UER38" s="161"/>
      <c r="UES38" s="161"/>
      <c r="UET38" s="1"/>
      <c r="UEU38" s="213"/>
      <c r="UEV38" s="1"/>
      <c r="UEW38" s="1"/>
      <c r="UEX38" s="1"/>
      <c r="UEY38" s="1"/>
      <c r="UEZ38" s="223"/>
      <c r="UFA38" s="222"/>
      <c r="UFB38" s="1"/>
      <c r="UFC38" s="301"/>
      <c r="UFD38" s="214"/>
      <c r="UFE38" s="5"/>
      <c r="UFF38" s="12"/>
      <c r="UFG38" s="5"/>
      <c r="UFH38" s="5"/>
      <c r="UFI38" s="1"/>
      <c r="UFJ38" s="1"/>
      <c r="UFK38" s="1"/>
      <c r="UFL38" s="1"/>
      <c r="UFM38" s="1"/>
      <c r="UFN38" s="178"/>
      <c r="UFO38" s="178"/>
      <c r="UFP38" s="1"/>
      <c r="UFQ38" s="2"/>
      <c r="UFR38" s="161"/>
      <c r="UFS38" s="161"/>
      <c r="UFT38" s="1"/>
      <c r="UFU38" s="213"/>
      <c r="UFV38" s="1"/>
      <c r="UFW38" s="1"/>
      <c r="UFX38" s="1"/>
      <c r="UFY38" s="1"/>
      <c r="UFZ38" s="223"/>
      <c r="UGA38" s="222"/>
      <c r="UGB38" s="1"/>
      <c r="UGC38" s="301"/>
      <c r="UGD38" s="214"/>
      <c r="UGE38" s="5"/>
      <c r="UGF38" s="12"/>
      <c r="UGG38" s="5"/>
      <c r="UGH38" s="5"/>
      <c r="UGI38" s="1"/>
      <c r="UGJ38" s="1"/>
      <c r="UGK38" s="1"/>
      <c r="UGL38" s="1"/>
      <c r="UGM38" s="1"/>
      <c r="UGN38" s="178"/>
      <c r="UGO38" s="178"/>
      <c r="UGP38" s="1"/>
      <c r="UGQ38" s="2"/>
      <c r="UGR38" s="161"/>
      <c r="UGS38" s="161"/>
      <c r="UGT38" s="1"/>
      <c r="UGU38" s="213"/>
      <c r="UGV38" s="1"/>
      <c r="UGW38" s="1"/>
      <c r="UGX38" s="1"/>
      <c r="UGY38" s="1"/>
      <c r="UGZ38" s="223"/>
      <c r="UHA38" s="222"/>
      <c r="UHB38" s="1"/>
      <c r="UHC38" s="301"/>
      <c r="UHD38" s="214"/>
      <c r="UHE38" s="5"/>
      <c r="UHF38" s="12"/>
      <c r="UHG38" s="5"/>
      <c r="UHH38" s="5"/>
      <c r="UHI38" s="1"/>
      <c r="UHJ38" s="1"/>
      <c r="UHK38" s="1"/>
      <c r="UHL38" s="1"/>
      <c r="UHM38" s="1"/>
      <c r="UHN38" s="178"/>
      <c r="UHO38" s="178"/>
      <c r="UHP38" s="1"/>
      <c r="UHQ38" s="2"/>
      <c r="UHR38" s="161"/>
      <c r="UHS38" s="161"/>
      <c r="UHT38" s="1"/>
      <c r="UHU38" s="213"/>
      <c r="UHV38" s="1"/>
      <c r="UHW38" s="1"/>
      <c r="UHX38" s="1"/>
      <c r="UHY38" s="1"/>
      <c r="UHZ38" s="223"/>
      <c r="UIA38" s="222"/>
      <c r="UIB38" s="1"/>
      <c r="UIC38" s="301"/>
      <c r="UID38" s="214"/>
      <c r="UIE38" s="5"/>
      <c r="UIF38" s="12"/>
      <c r="UIG38" s="5"/>
      <c r="UIH38" s="5"/>
      <c r="UII38" s="1"/>
      <c r="UIJ38" s="1"/>
      <c r="UIK38" s="1"/>
      <c r="UIL38" s="1"/>
      <c r="UIM38" s="1"/>
      <c r="UIN38" s="178"/>
      <c r="UIO38" s="178"/>
      <c r="UIP38" s="1"/>
      <c r="UIQ38" s="2"/>
      <c r="UIR38" s="161"/>
      <c r="UIS38" s="161"/>
      <c r="UIT38" s="1"/>
      <c r="UIU38" s="213"/>
      <c r="UIV38" s="1"/>
      <c r="UIW38" s="1"/>
      <c r="UIX38" s="1"/>
      <c r="UIY38" s="1"/>
      <c r="UIZ38" s="223"/>
      <c r="UJA38" s="222"/>
      <c r="UJB38" s="1"/>
      <c r="UJC38" s="301"/>
      <c r="UJD38" s="214"/>
      <c r="UJE38" s="5"/>
      <c r="UJF38" s="12"/>
      <c r="UJG38" s="5"/>
      <c r="UJH38" s="5"/>
      <c r="UJI38" s="1"/>
      <c r="UJJ38" s="1"/>
      <c r="UJK38" s="1"/>
      <c r="UJL38" s="1"/>
      <c r="UJM38" s="1"/>
      <c r="UJN38" s="178"/>
      <c r="UJO38" s="178"/>
      <c r="UJP38" s="1"/>
      <c r="UJQ38" s="2"/>
      <c r="UJR38" s="161"/>
      <c r="UJS38" s="161"/>
      <c r="UJT38" s="1"/>
      <c r="UJU38" s="213"/>
      <c r="UJV38" s="1"/>
      <c r="UJW38" s="1"/>
      <c r="UJX38" s="1"/>
      <c r="UJY38" s="1"/>
      <c r="UJZ38" s="223"/>
      <c r="UKA38" s="222"/>
      <c r="UKB38" s="1"/>
      <c r="UKC38" s="301"/>
      <c r="UKD38" s="214"/>
      <c r="UKE38" s="5"/>
      <c r="UKF38" s="12"/>
      <c r="UKG38" s="5"/>
      <c r="UKH38" s="5"/>
      <c r="UKI38" s="1"/>
      <c r="UKJ38" s="1"/>
      <c r="UKK38" s="1"/>
      <c r="UKL38" s="1"/>
      <c r="UKM38" s="1"/>
      <c r="UKN38" s="178"/>
      <c r="UKO38" s="178"/>
      <c r="UKP38" s="1"/>
      <c r="UKQ38" s="2"/>
      <c r="UKR38" s="161"/>
      <c r="UKS38" s="161"/>
      <c r="UKT38" s="1"/>
      <c r="UKU38" s="213"/>
      <c r="UKV38" s="1"/>
      <c r="UKW38" s="1"/>
      <c r="UKX38" s="1"/>
      <c r="UKY38" s="1"/>
      <c r="UKZ38" s="223"/>
      <c r="ULA38" s="222"/>
      <c r="ULB38" s="1"/>
      <c r="ULC38" s="301"/>
      <c r="ULD38" s="214"/>
      <c r="ULE38" s="5"/>
      <c r="ULF38" s="12"/>
      <c r="ULG38" s="5"/>
      <c r="ULH38" s="5"/>
      <c r="ULI38" s="1"/>
      <c r="ULJ38" s="1"/>
      <c r="ULK38" s="1"/>
      <c r="ULL38" s="1"/>
      <c r="ULM38" s="1"/>
      <c r="ULN38" s="178"/>
      <c r="ULO38" s="178"/>
      <c r="ULP38" s="1"/>
      <c r="ULQ38" s="2"/>
      <c r="ULR38" s="161"/>
      <c r="ULS38" s="161"/>
      <c r="ULT38" s="1"/>
      <c r="ULU38" s="213"/>
      <c r="ULV38" s="1"/>
      <c r="ULW38" s="1"/>
      <c r="ULX38" s="1"/>
      <c r="ULY38" s="1"/>
      <c r="ULZ38" s="223"/>
      <c r="UMA38" s="222"/>
      <c r="UMB38" s="1"/>
      <c r="UMC38" s="301"/>
      <c r="UMD38" s="214"/>
      <c r="UME38" s="5"/>
      <c r="UMF38" s="12"/>
      <c r="UMG38" s="5"/>
      <c r="UMH38" s="5"/>
      <c r="UMI38" s="1"/>
      <c r="UMJ38" s="1"/>
      <c r="UMK38" s="1"/>
      <c r="UML38" s="1"/>
      <c r="UMM38" s="1"/>
      <c r="UMN38" s="178"/>
      <c r="UMO38" s="178"/>
      <c r="UMP38" s="1"/>
      <c r="UMQ38" s="2"/>
      <c r="UMR38" s="161"/>
      <c r="UMS38" s="161"/>
      <c r="UMT38" s="1"/>
      <c r="UMU38" s="213"/>
      <c r="UMV38" s="1"/>
      <c r="UMW38" s="1"/>
      <c r="UMX38" s="1"/>
      <c r="UMY38" s="1"/>
      <c r="UMZ38" s="223"/>
      <c r="UNA38" s="222"/>
      <c r="UNB38" s="1"/>
      <c r="UNC38" s="301"/>
      <c r="UND38" s="214"/>
      <c r="UNE38" s="5"/>
      <c r="UNF38" s="12"/>
      <c r="UNG38" s="5"/>
      <c r="UNH38" s="5"/>
      <c r="UNI38" s="1"/>
      <c r="UNJ38" s="1"/>
      <c r="UNK38" s="1"/>
      <c r="UNL38" s="1"/>
      <c r="UNM38" s="1"/>
      <c r="UNN38" s="178"/>
      <c r="UNO38" s="178"/>
      <c r="UNP38" s="1"/>
      <c r="UNQ38" s="2"/>
      <c r="UNR38" s="161"/>
      <c r="UNS38" s="161"/>
      <c r="UNT38" s="1"/>
      <c r="UNU38" s="213"/>
      <c r="UNV38" s="1"/>
      <c r="UNW38" s="1"/>
      <c r="UNX38" s="1"/>
      <c r="UNY38" s="1"/>
      <c r="UNZ38" s="223"/>
      <c r="UOA38" s="222"/>
      <c r="UOB38" s="1"/>
      <c r="UOC38" s="301"/>
      <c r="UOD38" s="214"/>
      <c r="UOE38" s="5"/>
      <c r="UOF38" s="12"/>
      <c r="UOG38" s="5"/>
      <c r="UOH38" s="5"/>
      <c r="UOI38" s="1"/>
      <c r="UOJ38" s="1"/>
      <c r="UOK38" s="1"/>
      <c r="UOL38" s="1"/>
      <c r="UOM38" s="1"/>
      <c r="UON38" s="178"/>
      <c r="UOO38" s="178"/>
      <c r="UOP38" s="1"/>
      <c r="UOQ38" s="2"/>
      <c r="UOR38" s="161"/>
      <c r="UOS38" s="161"/>
      <c r="UOT38" s="1"/>
      <c r="UOU38" s="213"/>
      <c r="UOV38" s="1"/>
      <c r="UOW38" s="1"/>
      <c r="UOX38" s="1"/>
      <c r="UOY38" s="1"/>
      <c r="UOZ38" s="223"/>
      <c r="UPA38" s="222"/>
      <c r="UPB38" s="1"/>
      <c r="UPC38" s="301"/>
      <c r="UPD38" s="214"/>
      <c r="UPE38" s="5"/>
      <c r="UPF38" s="12"/>
      <c r="UPG38" s="5"/>
      <c r="UPH38" s="5"/>
      <c r="UPI38" s="1"/>
      <c r="UPJ38" s="1"/>
      <c r="UPK38" s="1"/>
      <c r="UPL38" s="1"/>
      <c r="UPM38" s="1"/>
      <c r="UPN38" s="178"/>
      <c r="UPO38" s="178"/>
      <c r="UPP38" s="1"/>
      <c r="UPQ38" s="2"/>
      <c r="UPR38" s="161"/>
      <c r="UPS38" s="161"/>
      <c r="UPT38" s="1"/>
      <c r="UPU38" s="213"/>
      <c r="UPV38" s="1"/>
      <c r="UPW38" s="1"/>
      <c r="UPX38" s="1"/>
      <c r="UPY38" s="1"/>
      <c r="UPZ38" s="223"/>
      <c r="UQA38" s="222"/>
      <c r="UQB38" s="1"/>
      <c r="UQC38" s="301"/>
      <c r="UQD38" s="214"/>
      <c r="UQE38" s="5"/>
      <c r="UQF38" s="12"/>
      <c r="UQG38" s="5"/>
      <c r="UQH38" s="5"/>
      <c r="UQI38" s="1"/>
      <c r="UQJ38" s="1"/>
      <c r="UQK38" s="1"/>
      <c r="UQL38" s="1"/>
      <c r="UQM38" s="1"/>
      <c r="UQN38" s="178"/>
      <c r="UQO38" s="178"/>
      <c r="UQP38" s="1"/>
      <c r="UQQ38" s="2"/>
      <c r="UQR38" s="161"/>
      <c r="UQS38" s="161"/>
      <c r="UQT38" s="1"/>
      <c r="UQU38" s="213"/>
      <c r="UQV38" s="1"/>
      <c r="UQW38" s="1"/>
      <c r="UQX38" s="1"/>
      <c r="UQY38" s="1"/>
      <c r="UQZ38" s="223"/>
      <c r="URA38" s="222"/>
      <c r="URB38" s="1"/>
      <c r="URC38" s="301"/>
      <c r="URD38" s="214"/>
      <c r="URE38" s="5"/>
      <c r="URF38" s="12"/>
      <c r="URG38" s="5"/>
      <c r="URH38" s="5"/>
      <c r="URI38" s="1"/>
      <c r="URJ38" s="1"/>
      <c r="URK38" s="1"/>
      <c r="URL38" s="1"/>
      <c r="URM38" s="1"/>
      <c r="URN38" s="178"/>
      <c r="URO38" s="178"/>
      <c r="URP38" s="1"/>
      <c r="URQ38" s="2"/>
      <c r="URR38" s="161"/>
      <c r="URS38" s="161"/>
      <c r="URT38" s="1"/>
      <c r="URU38" s="213"/>
      <c r="URV38" s="1"/>
      <c r="URW38" s="1"/>
      <c r="URX38" s="1"/>
      <c r="URY38" s="1"/>
      <c r="URZ38" s="223"/>
      <c r="USA38" s="222"/>
      <c r="USB38" s="1"/>
      <c r="USC38" s="301"/>
      <c r="USD38" s="214"/>
      <c r="USE38" s="5"/>
      <c r="USF38" s="12"/>
      <c r="USG38" s="5"/>
      <c r="USH38" s="5"/>
      <c r="USI38" s="1"/>
      <c r="USJ38" s="1"/>
      <c r="USK38" s="1"/>
      <c r="USL38" s="1"/>
      <c r="USM38" s="1"/>
      <c r="USN38" s="178"/>
      <c r="USO38" s="178"/>
      <c r="USP38" s="1"/>
      <c r="USQ38" s="2"/>
      <c r="USR38" s="161"/>
      <c r="USS38" s="161"/>
      <c r="UST38" s="1"/>
      <c r="USU38" s="213"/>
      <c r="USV38" s="1"/>
      <c r="USW38" s="1"/>
      <c r="USX38" s="1"/>
      <c r="USY38" s="1"/>
      <c r="USZ38" s="223"/>
      <c r="UTA38" s="222"/>
      <c r="UTB38" s="1"/>
      <c r="UTC38" s="301"/>
      <c r="UTD38" s="214"/>
      <c r="UTE38" s="5"/>
      <c r="UTF38" s="12"/>
      <c r="UTG38" s="5"/>
      <c r="UTH38" s="5"/>
      <c r="UTI38" s="1"/>
      <c r="UTJ38" s="1"/>
      <c r="UTK38" s="1"/>
      <c r="UTL38" s="1"/>
      <c r="UTM38" s="1"/>
      <c r="UTN38" s="178"/>
      <c r="UTO38" s="178"/>
      <c r="UTP38" s="1"/>
      <c r="UTQ38" s="2"/>
      <c r="UTR38" s="161"/>
      <c r="UTS38" s="161"/>
      <c r="UTT38" s="1"/>
      <c r="UTU38" s="213"/>
      <c r="UTV38" s="1"/>
      <c r="UTW38" s="1"/>
      <c r="UTX38" s="1"/>
      <c r="UTY38" s="1"/>
      <c r="UTZ38" s="223"/>
      <c r="UUA38" s="222"/>
      <c r="UUB38" s="1"/>
      <c r="UUC38" s="301"/>
      <c r="UUD38" s="214"/>
      <c r="UUE38" s="5"/>
      <c r="UUF38" s="12"/>
      <c r="UUG38" s="5"/>
      <c r="UUH38" s="5"/>
      <c r="UUI38" s="1"/>
      <c r="UUJ38" s="1"/>
      <c r="UUK38" s="1"/>
      <c r="UUL38" s="1"/>
      <c r="UUM38" s="1"/>
      <c r="UUN38" s="178"/>
      <c r="UUO38" s="178"/>
      <c r="UUP38" s="1"/>
      <c r="UUQ38" s="2"/>
      <c r="UUR38" s="161"/>
      <c r="UUS38" s="161"/>
      <c r="UUT38" s="1"/>
      <c r="UUU38" s="213"/>
      <c r="UUV38" s="1"/>
      <c r="UUW38" s="1"/>
      <c r="UUX38" s="1"/>
      <c r="UUY38" s="1"/>
      <c r="UUZ38" s="223"/>
      <c r="UVA38" s="222"/>
      <c r="UVB38" s="1"/>
      <c r="UVC38" s="301"/>
      <c r="UVD38" s="214"/>
      <c r="UVE38" s="5"/>
      <c r="UVF38" s="12"/>
      <c r="UVG38" s="5"/>
      <c r="UVH38" s="5"/>
      <c r="UVI38" s="1"/>
      <c r="UVJ38" s="1"/>
      <c r="UVK38" s="1"/>
      <c r="UVL38" s="1"/>
      <c r="UVM38" s="1"/>
      <c r="UVN38" s="178"/>
      <c r="UVO38" s="178"/>
      <c r="UVP38" s="1"/>
      <c r="UVQ38" s="2"/>
      <c r="UVR38" s="161"/>
      <c r="UVS38" s="161"/>
      <c r="UVT38" s="1"/>
      <c r="UVU38" s="213"/>
      <c r="UVV38" s="1"/>
      <c r="UVW38" s="1"/>
      <c r="UVX38" s="1"/>
      <c r="UVY38" s="1"/>
      <c r="UVZ38" s="223"/>
      <c r="UWA38" s="222"/>
      <c r="UWB38" s="1"/>
      <c r="UWC38" s="301"/>
      <c r="UWD38" s="214"/>
      <c r="UWE38" s="5"/>
      <c r="UWF38" s="12"/>
      <c r="UWG38" s="5"/>
      <c r="UWH38" s="5"/>
      <c r="UWI38" s="1"/>
      <c r="UWJ38" s="1"/>
      <c r="UWK38" s="1"/>
      <c r="UWL38" s="1"/>
      <c r="UWM38" s="1"/>
      <c r="UWN38" s="178"/>
      <c r="UWO38" s="178"/>
      <c r="UWP38" s="1"/>
      <c r="UWQ38" s="2"/>
      <c r="UWR38" s="161"/>
      <c r="UWS38" s="161"/>
      <c r="UWT38" s="1"/>
      <c r="UWU38" s="213"/>
      <c r="UWV38" s="1"/>
      <c r="UWW38" s="1"/>
      <c r="UWX38" s="1"/>
      <c r="UWY38" s="1"/>
      <c r="UWZ38" s="223"/>
      <c r="UXA38" s="222"/>
      <c r="UXB38" s="1"/>
      <c r="UXC38" s="301"/>
      <c r="UXD38" s="214"/>
      <c r="UXE38" s="5"/>
      <c r="UXF38" s="12"/>
      <c r="UXG38" s="5"/>
      <c r="UXH38" s="5"/>
      <c r="UXI38" s="1"/>
      <c r="UXJ38" s="1"/>
      <c r="UXK38" s="1"/>
      <c r="UXL38" s="1"/>
      <c r="UXM38" s="1"/>
      <c r="UXN38" s="178"/>
      <c r="UXO38" s="178"/>
      <c r="UXP38" s="1"/>
      <c r="UXQ38" s="2"/>
      <c r="UXR38" s="161"/>
      <c r="UXS38" s="161"/>
      <c r="UXT38" s="1"/>
      <c r="UXU38" s="213"/>
      <c r="UXV38" s="1"/>
      <c r="UXW38" s="1"/>
      <c r="UXX38" s="1"/>
      <c r="UXY38" s="1"/>
      <c r="UXZ38" s="223"/>
      <c r="UYA38" s="222"/>
      <c r="UYB38" s="1"/>
      <c r="UYC38" s="301"/>
      <c r="UYD38" s="214"/>
      <c r="UYE38" s="5"/>
      <c r="UYF38" s="12"/>
      <c r="UYG38" s="5"/>
      <c r="UYH38" s="5"/>
      <c r="UYI38" s="1"/>
      <c r="UYJ38" s="1"/>
      <c r="UYK38" s="1"/>
      <c r="UYL38" s="1"/>
      <c r="UYM38" s="1"/>
      <c r="UYN38" s="178"/>
      <c r="UYO38" s="178"/>
      <c r="UYP38" s="1"/>
      <c r="UYQ38" s="2"/>
      <c r="UYR38" s="161"/>
      <c r="UYS38" s="161"/>
      <c r="UYT38" s="1"/>
      <c r="UYU38" s="213"/>
      <c r="UYV38" s="1"/>
      <c r="UYW38" s="1"/>
      <c r="UYX38" s="1"/>
      <c r="UYY38" s="1"/>
      <c r="UYZ38" s="223"/>
      <c r="UZA38" s="222"/>
      <c r="UZB38" s="1"/>
      <c r="UZC38" s="301"/>
      <c r="UZD38" s="214"/>
      <c r="UZE38" s="5"/>
      <c r="UZF38" s="12"/>
      <c r="UZG38" s="5"/>
      <c r="UZH38" s="5"/>
      <c r="UZI38" s="1"/>
      <c r="UZJ38" s="1"/>
      <c r="UZK38" s="1"/>
      <c r="UZL38" s="1"/>
      <c r="UZM38" s="1"/>
      <c r="UZN38" s="178"/>
      <c r="UZO38" s="178"/>
      <c r="UZP38" s="1"/>
      <c r="UZQ38" s="2"/>
      <c r="UZR38" s="161"/>
      <c r="UZS38" s="161"/>
      <c r="UZT38" s="1"/>
      <c r="UZU38" s="213"/>
      <c r="UZV38" s="1"/>
      <c r="UZW38" s="1"/>
      <c r="UZX38" s="1"/>
      <c r="UZY38" s="1"/>
      <c r="UZZ38" s="223"/>
      <c r="VAA38" s="222"/>
      <c r="VAB38" s="1"/>
      <c r="VAC38" s="301"/>
      <c r="VAD38" s="214"/>
      <c r="VAE38" s="5"/>
      <c r="VAF38" s="12"/>
      <c r="VAG38" s="5"/>
      <c r="VAH38" s="5"/>
      <c r="VAI38" s="1"/>
      <c r="VAJ38" s="1"/>
      <c r="VAK38" s="1"/>
      <c r="VAL38" s="1"/>
      <c r="VAM38" s="1"/>
      <c r="VAN38" s="178"/>
      <c r="VAO38" s="178"/>
      <c r="VAP38" s="1"/>
      <c r="VAQ38" s="2"/>
      <c r="VAR38" s="161"/>
      <c r="VAS38" s="161"/>
      <c r="VAT38" s="1"/>
      <c r="VAU38" s="213"/>
      <c r="VAV38" s="1"/>
      <c r="VAW38" s="1"/>
      <c r="VAX38" s="1"/>
      <c r="VAY38" s="1"/>
      <c r="VAZ38" s="223"/>
      <c r="VBA38" s="222"/>
      <c r="VBB38" s="1"/>
      <c r="VBC38" s="301"/>
      <c r="VBD38" s="214"/>
      <c r="VBE38" s="5"/>
      <c r="VBF38" s="12"/>
      <c r="VBG38" s="5"/>
      <c r="VBH38" s="5"/>
      <c r="VBI38" s="1"/>
      <c r="VBJ38" s="1"/>
      <c r="VBK38" s="1"/>
      <c r="VBL38" s="1"/>
      <c r="VBM38" s="1"/>
      <c r="VBN38" s="178"/>
      <c r="VBO38" s="178"/>
      <c r="VBP38" s="1"/>
      <c r="VBQ38" s="2"/>
      <c r="VBR38" s="161"/>
      <c r="VBS38" s="161"/>
      <c r="VBT38" s="1"/>
      <c r="VBU38" s="213"/>
      <c r="VBV38" s="1"/>
      <c r="VBW38" s="1"/>
      <c r="VBX38" s="1"/>
      <c r="VBY38" s="1"/>
      <c r="VBZ38" s="223"/>
      <c r="VCA38" s="222"/>
      <c r="VCB38" s="1"/>
      <c r="VCC38" s="301"/>
      <c r="VCD38" s="214"/>
      <c r="VCE38" s="5"/>
      <c r="VCF38" s="12"/>
      <c r="VCG38" s="5"/>
      <c r="VCH38" s="5"/>
      <c r="VCI38" s="1"/>
      <c r="VCJ38" s="1"/>
      <c r="VCK38" s="1"/>
      <c r="VCL38" s="1"/>
      <c r="VCM38" s="1"/>
      <c r="VCN38" s="178"/>
      <c r="VCO38" s="178"/>
      <c r="VCP38" s="1"/>
      <c r="VCQ38" s="2"/>
      <c r="VCR38" s="161"/>
      <c r="VCS38" s="161"/>
      <c r="VCT38" s="1"/>
      <c r="VCU38" s="213"/>
      <c r="VCV38" s="1"/>
      <c r="VCW38" s="1"/>
      <c r="VCX38" s="1"/>
      <c r="VCY38" s="1"/>
      <c r="VCZ38" s="223"/>
      <c r="VDA38" s="222"/>
      <c r="VDB38" s="1"/>
      <c r="VDC38" s="301"/>
      <c r="VDD38" s="214"/>
      <c r="VDE38" s="5"/>
      <c r="VDF38" s="12"/>
      <c r="VDG38" s="5"/>
      <c r="VDH38" s="5"/>
      <c r="VDI38" s="1"/>
      <c r="VDJ38" s="1"/>
      <c r="VDK38" s="1"/>
      <c r="VDL38" s="1"/>
      <c r="VDM38" s="1"/>
      <c r="VDN38" s="178"/>
      <c r="VDO38" s="178"/>
      <c r="VDP38" s="1"/>
      <c r="VDQ38" s="2"/>
      <c r="VDR38" s="161"/>
      <c r="VDS38" s="161"/>
      <c r="VDT38" s="1"/>
      <c r="VDU38" s="213"/>
      <c r="VDV38" s="1"/>
      <c r="VDW38" s="1"/>
      <c r="VDX38" s="1"/>
      <c r="VDY38" s="1"/>
      <c r="VDZ38" s="223"/>
      <c r="VEA38" s="222"/>
      <c r="VEB38" s="1"/>
      <c r="VEC38" s="301"/>
      <c r="VED38" s="214"/>
      <c r="VEE38" s="5"/>
      <c r="VEF38" s="12"/>
      <c r="VEG38" s="5"/>
      <c r="VEH38" s="5"/>
      <c r="VEI38" s="1"/>
      <c r="VEJ38" s="1"/>
      <c r="VEK38" s="1"/>
      <c r="VEL38" s="1"/>
      <c r="VEM38" s="1"/>
      <c r="VEN38" s="178"/>
      <c r="VEO38" s="178"/>
      <c r="VEP38" s="1"/>
      <c r="VEQ38" s="2"/>
      <c r="VER38" s="161"/>
      <c r="VES38" s="161"/>
      <c r="VET38" s="1"/>
      <c r="VEU38" s="213"/>
      <c r="VEV38" s="1"/>
      <c r="VEW38" s="1"/>
      <c r="VEX38" s="1"/>
      <c r="VEY38" s="1"/>
      <c r="VEZ38" s="223"/>
      <c r="VFA38" s="222"/>
      <c r="VFB38" s="1"/>
      <c r="VFC38" s="301"/>
      <c r="VFD38" s="214"/>
      <c r="VFE38" s="5"/>
      <c r="VFF38" s="12"/>
      <c r="VFG38" s="5"/>
      <c r="VFH38" s="5"/>
      <c r="VFI38" s="1"/>
      <c r="VFJ38" s="1"/>
      <c r="VFK38" s="1"/>
      <c r="VFL38" s="1"/>
      <c r="VFM38" s="1"/>
      <c r="VFN38" s="178"/>
      <c r="VFO38" s="178"/>
      <c r="VFP38" s="1"/>
      <c r="VFQ38" s="2"/>
      <c r="VFR38" s="161"/>
      <c r="VFS38" s="161"/>
      <c r="VFT38" s="1"/>
      <c r="VFU38" s="213"/>
      <c r="VFV38" s="1"/>
      <c r="VFW38" s="1"/>
      <c r="VFX38" s="1"/>
      <c r="VFY38" s="1"/>
      <c r="VFZ38" s="223"/>
      <c r="VGA38" s="222"/>
      <c r="VGB38" s="1"/>
      <c r="VGC38" s="301"/>
      <c r="VGD38" s="214"/>
      <c r="VGE38" s="5"/>
      <c r="VGF38" s="12"/>
      <c r="VGG38" s="5"/>
      <c r="VGH38" s="5"/>
      <c r="VGI38" s="1"/>
      <c r="VGJ38" s="1"/>
      <c r="VGK38" s="1"/>
      <c r="VGL38" s="1"/>
      <c r="VGM38" s="1"/>
      <c r="VGN38" s="178"/>
      <c r="VGO38" s="178"/>
      <c r="VGP38" s="1"/>
      <c r="VGQ38" s="2"/>
      <c r="VGR38" s="161"/>
      <c r="VGS38" s="161"/>
      <c r="VGT38" s="1"/>
      <c r="VGU38" s="213"/>
      <c r="VGV38" s="1"/>
      <c r="VGW38" s="1"/>
      <c r="VGX38" s="1"/>
      <c r="VGY38" s="1"/>
      <c r="VGZ38" s="223"/>
      <c r="VHA38" s="222"/>
      <c r="VHB38" s="1"/>
      <c r="VHC38" s="301"/>
      <c r="VHD38" s="214"/>
      <c r="VHE38" s="5"/>
      <c r="VHF38" s="12"/>
      <c r="VHG38" s="5"/>
      <c r="VHH38" s="5"/>
      <c r="VHI38" s="1"/>
      <c r="VHJ38" s="1"/>
      <c r="VHK38" s="1"/>
      <c r="VHL38" s="1"/>
      <c r="VHM38" s="1"/>
      <c r="VHN38" s="178"/>
      <c r="VHO38" s="178"/>
      <c r="VHP38" s="1"/>
      <c r="VHQ38" s="2"/>
      <c r="VHR38" s="161"/>
      <c r="VHS38" s="161"/>
      <c r="VHT38" s="1"/>
      <c r="VHU38" s="213"/>
      <c r="VHV38" s="1"/>
      <c r="VHW38" s="1"/>
      <c r="VHX38" s="1"/>
      <c r="VHY38" s="1"/>
      <c r="VHZ38" s="223"/>
      <c r="VIA38" s="222"/>
      <c r="VIB38" s="1"/>
      <c r="VIC38" s="301"/>
      <c r="VID38" s="214"/>
      <c r="VIE38" s="5"/>
      <c r="VIF38" s="12"/>
      <c r="VIG38" s="5"/>
      <c r="VIH38" s="5"/>
      <c r="VII38" s="1"/>
      <c r="VIJ38" s="1"/>
      <c r="VIK38" s="1"/>
      <c r="VIL38" s="1"/>
      <c r="VIM38" s="1"/>
      <c r="VIN38" s="178"/>
      <c r="VIO38" s="178"/>
      <c r="VIP38" s="1"/>
      <c r="VIQ38" s="2"/>
      <c r="VIR38" s="161"/>
      <c r="VIS38" s="161"/>
      <c r="VIT38" s="1"/>
      <c r="VIU38" s="213"/>
      <c r="VIV38" s="1"/>
      <c r="VIW38" s="1"/>
      <c r="VIX38" s="1"/>
      <c r="VIY38" s="1"/>
      <c r="VIZ38" s="223"/>
      <c r="VJA38" s="222"/>
      <c r="VJB38" s="1"/>
      <c r="VJC38" s="301"/>
      <c r="VJD38" s="214"/>
      <c r="VJE38" s="5"/>
      <c r="VJF38" s="12"/>
      <c r="VJG38" s="5"/>
      <c r="VJH38" s="5"/>
      <c r="VJI38" s="1"/>
      <c r="VJJ38" s="1"/>
      <c r="VJK38" s="1"/>
      <c r="VJL38" s="1"/>
      <c r="VJM38" s="1"/>
      <c r="VJN38" s="178"/>
      <c r="VJO38" s="178"/>
      <c r="VJP38" s="1"/>
      <c r="VJQ38" s="2"/>
      <c r="VJR38" s="161"/>
      <c r="VJS38" s="161"/>
      <c r="VJT38" s="1"/>
      <c r="VJU38" s="213"/>
      <c r="VJV38" s="1"/>
      <c r="VJW38" s="1"/>
      <c r="VJX38" s="1"/>
      <c r="VJY38" s="1"/>
      <c r="VJZ38" s="223"/>
      <c r="VKA38" s="222"/>
      <c r="VKB38" s="1"/>
      <c r="VKC38" s="301"/>
      <c r="VKD38" s="214"/>
      <c r="VKE38" s="5"/>
      <c r="VKF38" s="12"/>
      <c r="VKG38" s="5"/>
      <c r="VKH38" s="5"/>
      <c r="VKI38" s="1"/>
      <c r="VKJ38" s="1"/>
      <c r="VKK38" s="1"/>
      <c r="VKL38" s="1"/>
      <c r="VKM38" s="1"/>
      <c r="VKN38" s="178"/>
      <c r="VKO38" s="178"/>
      <c r="VKP38" s="1"/>
      <c r="VKQ38" s="2"/>
      <c r="VKR38" s="161"/>
      <c r="VKS38" s="161"/>
      <c r="VKT38" s="1"/>
      <c r="VKU38" s="213"/>
      <c r="VKV38" s="1"/>
      <c r="VKW38" s="1"/>
      <c r="VKX38" s="1"/>
      <c r="VKY38" s="1"/>
      <c r="VKZ38" s="223"/>
      <c r="VLA38" s="222"/>
      <c r="VLB38" s="1"/>
      <c r="VLC38" s="301"/>
      <c r="VLD38" s="214"/>
      <c r="VLE38" s="5"/>
      <c r="VLF38" s="12"/>
      <c r="VLG38" s="5"/>
      <c r="VLH38" s="5"/>
      <c r="VLI38" s="1"/>
      <c r="VLJ38" s="1"/>
      <c r="VLK38" s="1"/>
      <c r="VLL38" s="1"/>
      <c r="VLM38" s="1"/>
      <c r="VLN38" s="178"/>
      <c r="VLO38" s="178"/>
      <c r="VLP38" s="1"/>
      <c r="VLQ38" s="2"/>
      <c r="VLR38" s="161"/>
      <c r="VLS38" s="161"/>
      <c r="VLT38" s="1"/>
      <c r="VLU38" s="213"/>
      <c r="VLV38" s="1"/>
      <c r="VLW38" s="1"/>
      <c r="VLX38" s="1"/>
      <c r="VLY38" s="1"/>
      <c r="VLZ38" s="223"/>
      <c r="VMA38" s="222"/>
      <c r="VMB38" s="1"/>
      <c r="VMC38" s="301"/>
      <c r="VMD38" s="214"/>
      <c r="VME38" s="5"/>
      <c r="VMF38" s="12"/>
      <c r="VMG38" s="5"/>
      <c r="VMH38" s="5"/>
      <c r="VMI38" s="1"/>
      <c r="VMJ38" s="1"/>
      <c r="VMK38" s="1"/>
      <c r="VML38" s="1"/>
      <c r="VMM38" s="1"/>
      <c r="VMN38" s="178"/>
      <c r="VMO38" s="178"/>
      <c r="VMP38" s="1"/>
      <c r="VMQ38" s="2"/>
      <c r="VMR38" s="161"/>
      <c r="VMS38" s="161"/>
      <c r="VMT38" s="1"/>
      <c r="VMU38" s="213"/>
      <c r="VMV38" s="1"/>
      <c r="VMW38" s="1"/>
      <c r="VMX38" s="1"/>
      <c r="VMY38" s="1"/>
      <c r="VMZ38" s="223"/>
      <c r="VNA38" s="222"/>
      <c r="VNB38" s="1"/>
      <c r="VNC38" s="301"/>
      <c r="VND38" s="214"/>
      <c r="VNE38" s="5"/>
      <c r="VNF38" s="12"/>
      <c r="VNG38" s="5"/>
      <c r="VNH38" s="5"/>
      <c r="VNI38" s="1"/>
      <c r="VNJ38" s="1"/>
      <c r="VNK38" s="1"/>
      <c r="VNL38" s="1"/>
      <c r="VNM38" s="1"/>
      <c r="VNN38" s="178"/>
      <c r="VNO38" s="178"/>
      <c r="VNP38" s="1"/>
      <c r="VNQ38" s="2"/>
      <c r="VNR38" s="161"/>
      <c r="VNS38" s="161"/>
      <c r="VNT38" s="1"/>
      <c r="VNU38" s="213"/>
      <c r="VNV38" s="1"/>
      <c r="VNW38" s="1"/>
      <c r="VNX38" s="1"/>
      <c r="VNY38" s="1"/>
      <c r="VNZ38" s="223"/>
      <c r="VOA38" s="222"/>
      <c r="VOB38" s="1"/>
      <c r="VOC38" s="301"/>
      <c r="VOD38" s="214"/>
      <c r="VOE38" s="5"/>
      <c r="VOF38" s="12"/>
      <c r="VOG38" s="5"/>
      <c r="VOH38" s="5"/>
      <c r="VOI38" s="1"/>
      <c r="VOJ38" s="1"/>
      <c r="VOK38" s="1"/>
      <c r="VOL38" s="1"/>
      <c r="VOM38" s="1"/>
      <c r="VON38" s="178"/>
      <c r="VOO38" s="178"/>
      <c r="VOP38" s="1"/>
      <c r="VOQ38" s="2"/>
      <c r="VOR38" s="161"/>
      <c r="VOS38" s="161"/>
      <c r="VOT38" s="1"/>
      <c r="VOU38" s="213"/>
      <c r="VOV38" s="1"/>
      <c r="VOW38" s="1"/>
      <c r="VOX38" s="1"/>
      <c r="VOY38" s="1"/>
      <c r="VOZ38" s="223"/>
      <c r="VPA38" s="222"/>
      <c r="VPB38" s="1"/>
      <c r="VPC38" s="301"/>
      <c r="VPD38" s="214"/>
      <c r="VPE38" s="5"/>
      <c r="VPF38" s="12"/>
      <c r="VPG38" s="5"/>
      <c r="VPH38" s="5"/>
      <c r="VPI38" s="1"/>
      <c r="VPJ38" s="1"/>
      <c r="VPK38" s="1"/>
      <c r="VPL38" s="1"/>
      <c r="VPM38" s="1"/>
      <c r="VPN38" s="178"/>
      <c r="VPO38" s="178"/>
      <c r="VPP38" s="1"/>
      <c r="VPQ38" s="2"/>
      <c r="VPR38" s="161"/>
      <c r="VPS38" s="161"/>
      <c r="VPT38" s="1"/>
      <c r="VPU38" s="213"/>
      <c r="VPV38" s="1"/>
      <c r="VPW38" s="1"/>
      <c r="VPX38" s="1"/>
      <c r="VPY38" s="1"/>
      <c r="VPZ38" s="223"/>
      <c r="VQA38" s="222"/>
      <c r="VQB38" s="1"/>
      <c r="VQC38" s="301"/>
      <c r="VQD38" s="214"/>
      <c r="VQE38" s="5"/>
      <c r="VQF38" s="12"/>
      <c r="VQG38" s="5"/>
      <c r="VQH38" s="5"/>
      <c r="VQI38" s="1"/>
      <c r="VQJ38" s="1"/>
      <c r="VQK38" s="1"/>
      <c r="VQL38" s="1"/>
      <c r="VQM38" s="1"/>
      <c r="VQN38" s="178"/>
      <c r="VQO38" s="178"/>
      <c r="VQP38" s="1"/>
      <c r="VQQ38" s="2"/>
      <c r="VQR38" s="161"/>
      <c r="VQS38" s="161"/>
      <c r="VQT38" s="1"/>
      <c r="VQU38" s="213"/>
      <c r="VQV38" s="1"/>
      <c r="VQW38" s="1"/>
      <c r="VQX38" s="1"/>
      <c r="VQY38" s="1"/>
      <c r="VQZ38" s="223"/>
      <c r="VRA38" s="222"/>
      <c r="VRB38" s="1"/>
      <c r="VRC38" s="301"/>
      <c r="VRD38" s="214"/>
      <c r="VRE38" s="5"/>
      <c r="VRF38" s="12"/>
      <c r="VRG38" s="5"/>
      <c r="VRH38" s="5"/>
      <c r="VRI38" s="1"/>
      <c r="VRJ38" s="1"/>
      <c r="VRK38" s="1"/>
      <c r="VRL38" s="1"/>
      <c r="VRM38" s="1"/>
      <c r="VRN38" s="178"/>
      <c r="VRO38" s="178"/>
      <c r="VRP38" s="1"/>
      <c r="VRQ38" s="2"/>
      <c r="VRR38" s="161"/>
      <c r="VRS38" s="161"/>
      <c r="VRT38" s="1"/>
      <c r="VRU38" s="213"/>
      <c r="VRV38" s="1"/>
      <c r="VRW38" s="1"/>
      <c r="VRX38" s="1"/>
      <c r="VRY38" s="1"/>
      <c r="VRZ38" s="223"/>
      <c r="VSA38" s="222"/>
      <c r="VSB38" s="1"/>
      <c r="VSC38" s="301"/>
      <c r="VSD38" s="214"/>
      <c r="VSE38" s="5"/>
      <c r="VSF38" s="12"/>
      <c r="VSG38" s="5"/>
      <c r="VSH38" s="5"/>
      <c r="VSI38" s="1"/>
      <c r="VSJ38" s="1"/>
      <c r="VSK38" s="1"/>
      <c r="VSL38" s="1"/>
      <c r="VSM38" s="1"/>
      <c r="VSN38" s="178"/>
      <c r="VSO38" s="178"/>
      <c r="VSP38" s="1"/>
      <c r="VSQ38" s="2"/>
      <c r="VSR38" s="161"/>
      <c r="VSS38" s="161"/>
      <c r="VST38" s="1"/>
      <c r="VSU38" s="213"/>
      <c r="VSV38" s="1"/>
      <c r="VSW38" s="1"/>
      <c r="VSX38" s="1"/>
      <c r="VSY38" s="1"/>
      <c r="VSZ38" s="223"/>
      <c r="VTA38" s="222"/>
      <c r="VTB38" s="1"/>
      <c r="VTC38" s="301"/>
      <c r="VTD38" s="214"/>
      <c r="VTE38" s="5"/>
      <c r="VTF38" s="12"/>
      <c r="VTG38" s="5"/>
      <c r="VTH38" s="5"/>
      <c r="VTI38" s="1"/>
      <c r="VTJ38" s="1"/>
      <c r="VTK38" s="1"/>
      <c r="VTL38" s="1"/>
      <c r="VTM38" s="1"/>
      <c r="VTN38" s="178"/>
      <c r="VTO38" s="178"/>
      <c r="VTP38" s="1"/>
      <c r="VTQ38" s="2"/>
      <c r="VTR38" s="161"/>
      <c r="VTS38" s="161"/>
      <c r="VTT38" s="1"/>
      <c r="VTU38" s="213"/>
      <c r="VTV38" s="1"/>
      <c r="VTW38" s="1"/>
      <c r="VTX38" s="1"/>
      <c r="VTY38" s="1"/>
      <c r="VTZ38" s="223"/>
      <c r="VUA38" s="222"/>
      <c r="VUB38" s="1"/>
      <c r="VUC38" s="301"/>
      <c r="VUD38" s="214"/>
      <c r="VUE38" s="5"/>
      <c r="VUF38" s="12"/>
      <c r="VUG38" s="5"/>
      <c r="VUH38" s="5"/>
      <c r="VUI38" s="1"/>
      <c r="VUJ38" s="1"/>
      <c r="VUK38" s="1"/>
      <c r="VUL38" s="1"/>
      <c r="VUM38" s="1"/>
      <c r="VUN38" s="178"/>
      <c r="VUO38" s="178"/>
      <c r="VUP38" s="1"/>
      <c r="VUQ38" s="2"/>
      <c r="VUR38" s="161"/>
      <c r="VUS38" s="161"/>
      <c r="VUT38" s="1"/>
      <c r="VUU38" s="213"/>
      <c r="VUV38" s="1"/>
      <c r="VUW38" s="1"/>
      <c r="VUX38" s="1"/>
      <c r="VUY38" s="1"/>
      <c r="VUZ38" s="223"/>
      <c r="VVA38" s="222"/>
      <c r="VVB38" s="1"/>
      <c r="VVC38" s="301"/>
      <c r="VVD38" s="214"/>
      <c r="VVE38" s="5"/>
      <c r="VVF38" s="12"/>
      <c r="VVG38" s="5"/>
      <c r="VVH38" s="5"/>
      <c r="VVI38" s="1"/>
      <c r="VVJ38" s="1"/>
      <c r="VVK38" s="1"/>
      <c r="VVL38" s="1"/>
      <c r="VVM38" s="1"/>
      <c r="VVN38" s="178"/>
      <c r="VVO38" s="178"/>
      <c r="VVP38" s="1"/>
      <c r="VVQ38" s="2"/>
      <c r="VVR38" s="161"/>
      <c r="VVS38" s="161"/>
      <c r="VVT38" s="1"/>
      <c r="VVU38" s="213"/>
      <c r="VVV38" s="1"/>
      <c r="VVW38" s="1"/>
      <c r="VVX38" s="1"/>
      <c r="VVY38" s="1"/>
      <c r="VVZ38" s="223"/>
      <c r="VWA38" s="222"/>
      <c r="VWB38" s="1"/>
      <c r="VWC38" s="301"/>
      <c r="VWD38" s="214"/>
      <c r="VWE38" s="5"/>
      <c r="VWF38" s="12"/>
      <c r="VWG38" s="5"/>
      <c r="VWH38" s="5"/>
      <c r="VWI38" s="1"/>
      <c r="VWJ38" s="1"/>
      <c r="VWK38" s="1"/>
      <c r="VWL38" s="1"/>
      <c r="VWM38" s="1"/>
      <c r="VWN38" s="178"/>
      <c r="VWO38" s="178"/>
      <c r="VWP38" s="1"/>
      <c r="VWQ38" s="2"/>
      <c r="VWR38" s="161"/>
      <c r="VWS38" s="161"/>
      <c r="VWT38" s="1"/>
      <c r="VWU38" s="213"/>
      <c r="VWV38" s="1"/>
      <c r="VWW38" s="1"/>
      <c r="VWX38" s="1"/>
      <c r="VWY38" s="1"/>
      <c r="VWZ38" s="223"/>
      <c r="VXA38" s="222"/>
      <c r="VXB38" s="1"/>
      <c r="VXC38" s="301"/>
      <c r="VXD38" s="214"/>
      <c r="VXE38" s="5"/>
      <c r="VXF38" s="12"/>
      <c r="VXG38" s="5"/>
      <c r="VXH38" s="5"/>
      <c r="VXI38" s="1"/>
      <c r="VXJ38" s="1"/>
      <c r="VXK38" s="1"/>
      <c r="VXL38" s="1"/>
      <c r="VXM38" s="1"/>
      <c r="VXN38" s="178"/>
      <c r="VXO38" s="178"/>
      <c r="VXP38" s="1"/>
      <c r="VXQ38" s="2"/>
      <c r="VXR38" s="161"/>
      <c r="VXS38" s="161"/>
      <c r="VXT38" s="1"/>
      <c r="VXU38" s="213"/>
      <c r="VXV38" s="1"/>
      <c r="VXW38" s="1"/>
      <c r="VXX38" s="1"/>
      <c r="VXY38" s="1"/>
      <c r="VXZ38" s="223"/>
      <c r="VYA38" s="222"/>
      <c r="VYB38" s="1"/>
      <c r="VYC38" s="301"/>
      <c r="VYD38" s="214"/>
      <c r="VYE38" s="5"/>
      <c r="VYF38" s="12"/>
      <c r="VYG38" s="5"/>
      <c r="VYH38" s="5"/>
      <c r="VYI38" s="1"/>
      <c r="VYJ38" s="1"/>
      <c r="VYK38" s="1"/>
      <c r="VYL38" s="1"/>
      <c r="VYM38" s="1"/>
      <c r="VYN38" s="178"/>
      <c r="VYO38" s="178"/>
      <c r="VYP38" s="1"/>
      <c r="VYQ38" s="2"/>
      <c r="VYR38" s="161"/>
      <c r="VYS38" s="161"/>
      <c r="VYT38" s="1"/>
      <c r="VYU38" s="213"/>
      <c r="VYV38" s="1"/>
      <c r="VYW38" s="1"/>
      <c r="VYX38" s="1"/>
      <c r="VYY38" s="1"/>
      <c r="VYZ38" s="223"/>
      <c r="VZA38" s="222"/>
      <c r="VZB38" s="1"/>
      <c r="VZC38" s="301"/>
      <c r="VZD38" s="214"/>
      <c r="VZE38" s="5"/>
      <c r="VZF38" s="12"/>
      <c r="VZG38" s="5"/>
      <c r="VZH38" s="5"/>
      <c r="VZI38" s="1"/>
      <c r="VZJ38" s="1"/>
      <c r="VZK38" s="1"/>
      <c r="VZL38" s="1"/>
      <c r="VZM38" s="1"/>
      <c r="VZN38" s="178"/>
      <c r="VZO38" s="178"/>
      <c r="VZP38" s="1"/>
      <c r="VZQ38" s="2"/>
      <c r="VZR38" s="161"/>
      <c r="VZS38" s="161"/>
      <c r="VZT38" s="1"/>
      <c r="VZU38" s="213"/>
      <c r="VZV38" s="1"/>
      <c r="VZW38" s="1"/>
      <c r="VZX38" s="1"/>
      <c r="VZY38" s="1"/>
      <c r="VZZ38" s="223"/>
      <c r="WAA38" s="222"/>
      <c r="WAB38" s="1"/>
      <c r="WAC38" s="301"/>
      <c r="WAD38" s="214"/>
      <c r="WAE38" s="5"/>
      <c r="WAF38" s="12"/>
      <c r="WAG38" s="5"/>
      <c r="WAH38" s="5"/>
      <c r="WAI38" s="1"/>
      <c r="WAJ38" s="1"/>
      <c r="WAK38" s="1"/>
      <c r="WAL38" s="1"/>
      <c r="WAM38" s="1"/>
      <c r="WAN38" s="178"/>
      <c r="WAO38" s="178"/>
      <c r="WAP38" s="1"/>
      <c r="WAQ38" s="2"/>
      <c r="WAR38" s="161"/>
      <c r="WAS38" s="161"/>
      <c r="WAT38" s="1"/>
      <c r="WAU38" s="213"/>
      <c r="WAV38" s="1"/>
      <c r="WAW38" s="1"/>
      <c r="WAX38" s="1"/>
      <c r="WAY38" s="1"/>
      <c r="WAZ38" s="223"/>
      <c r="WBA38" s="222"/>
      <c r="WBB38" s="1"/>
      <c r="WBC38" s="301"/>
      <c r="WBD38" s="214"/>
      <c r="WBE38" s="5"/>
      <c r="WBF38" s="12"/>
      <c r="WBG38" s="5"/>
      <c r="WBH38" s="5"/>
      <c r="WBI38" s="1"/>
      <c r="WBJ38" s="1"/>
      <c r="WBK38" s="1"/>
      <c r="WBL38" s="1"/>
      <c r="WBM38" s="1"/>
      <c r="WBN38" s="178"/>
      <c r="WBO38" s="178"/>
      <c r="WBP38" s="1"/>
      <c r="WBQ38" s="2"/>
      <c r="WBR38" s="161"/>
      <c r="WBS38" s="161"/>
      <c r="WBT38" s="1"/>
      <c r="WBU38" s="213"/>
      <c r="WBV38" s="1"/>
      <c r="WBW38" s="1"/>
      <c r="WBX38" s="1"/>
      <c r="WBY38" s="1"/>
      <c r="WBZ38" s="223"/>
      <c r="WCA38" s="222"/>
      <c r="WCB38" s="1"/>
      <c r="WCC38" s="301"/>
      <c r="WCD38" s="214"/>
      <c r="WCE38" s="5"/>
      <c r="WCF38" s="12"/>
      <c r="WCG38" s="5"/>
      <c r="WCH38" s="5"/>
      <c r="WCI38" s="1"/>
      <c r="WCJ38" s="1"/>
      <c r="WCK38" s="1"/>
      <c r="WCL38" s="1"/>
      <c r="WCM38" s="1"/>
      <c r="WCN38" s="178"/>
      <c r="WCO38" s="178"/>
      <c r="WCP38" s="1"/>
      <c r="WCQ38" s="2"/>
      <c r="WCR38" s="161"/>
      <c r="WCS38" s="161"/>
      <c r="WCT38" s="1"/>
      <c r="WCU38" s="213"/>
      <c r="WCV38" s="1"/>
      <c r="WCW38" s="1"/>
      <c r="WCX38" s="1"/>
      <c r="WCY38" s="1"/>
      <c r="WCZ38" s="223"/>
      <c r="WDA38" s="222"/>
      <c r="WDB38" s="1"/>
      <c r="WDC38" s="301"/>
      <c r="WDD38" s="214"/>
      <c r="WDE38" s="5"/>
      <c r="WDF38" s="12"/>
      <c r="WDG38" s="5"/>
      <c r="WDH38" s="5"/>
      <c r="WDI38" s="1"/>
      <c r="WDJ38" s="1"/>
      <c r="WDK38" s="1"/>
      <c r="WDL38" s="1"/>
      <c r="WDM38" s="1"/>
      <c r="WDN38" s="178"/>
      <c r="WDO38" s="178"/>
      <c r="WDP38" s="1"/>
      <c r="WDQ38" s="2"/>
      <c r="WDR38" s="161"/>
      <c r="WDS38" s="161"/>
      <c r="WDT38" s="1"/>
      <c r="WDU38" s="213"/>
      <c r="WDV38" s="1"/>
      <c r="WDW38" s="1"/>
      <c r="WDX38" s="1"/>
      <c r="WDY38" s="1"/>
      <c r="WDZ38" s="223"/>
      <c r="WEA38" s="222"/>
      <c r="WEB38" s="1"/>
      <c r="WEC38" s="301"/>
      <c r="WED38" s="214"/>
      <c r="WEE38" s="5"/>
      <c r="WEF38" s="12"/>
      <c r="WEG38" s="5"/>
      <c r="WEH38" s="5"/>
      <c r="WEI38" s="1"/>
      <c r="WEJ38" s="1"/>
      <c r="WEK38" s="1"/>
      <c r="WEL38" s="1"/>
      <c r="WEM38" s="1"/>
      <c r="WEN38" s="178"/>
      <c r="WEO38" s="178"/>
      <c r="WEP38" s="1"/>
      <c r="WEQ38" s="2"/>
      <c r="WER38" s="161"/>
      <c r="WES38" s="161"/>
      <c r="WET38" s="1"/>
      <c r="WEU38" s="213"/>
      <c r="WEV38" s="1"/>
      <c r="WEW38" s="1"/>
      <c r="WEX38" s="1"/>
      <c r="WEY38" s="1"/>
      <c r="WEZ38" s="223"/>
      <c r="WFA38" s="222"/>
      <c r="WFB38" s="1"/>
      <c r="WFC38" s="301"/>
      <c r="WFD38" s="214"/>
      <c r="WFE38" s="5"/>
      <c r="WFF38" s="12"/>
      <c r="WFG38" s="5"/>
      <c r="WFH38" s="5"/>
      <c r="WFI38" s="1"/>
      <c r="WFJ38" s="1"/>
      <c r="WFK38" s="1"/>
      <c r="WFL38" s="1"/>
      <c r="WFM38" s="1"/>
      <c r="WFN38" s="178"/>
      <c r="WFO38" s="178"/>
      <c r="WFP38" s="1"/>
      <c r="WFQ38" s="2"/>
      <c r="WFR38" s="161"/>
      <c r="WFS38" s="161"/>
      <c r="WFT38" s="1"/>
      <c r="WFU38" s="213"/>
      <c r="WFV38" s="1"/>
      <c r="WFW38" s="1"/>
      <c r="WFX38" s="1"/>
      <c r="WFY38" s="1"/>
      <c r="WFZ38" s="223"/>
      <c r="WGA38" s="222"/>
      <c r="WGB38" s="1"/>
      <c r="WGC38" s="301"/>
      <c r="WGD38" s="214"/>
      <c r="WGE38" s="5"/>
      <c r="WGF38" s="12"/>
      <c r="WGG38" s="5"/>
      <c r="WGH38" s="5"/>
      <c r="WGI38" s="1"/>
      <c r="WGJ38" s="1"/>
      <c r="WGK38" s="1"/>
      <c r="WGL38" s="1"/>
      <c r="WGM38" s="1"/>
      <c r="WGN38" s="178"/>
      <c r="WGO38" s="178"/>
      <c r="WGP38" s="1"/>
      <c r="WGQ38" s="2"/>
      <c r="WGR38" s="161"/>
      <c r="WGS38" s="161"/>
      <c r="WGT38" s="1"/>
      <c r="WGU38" s="213"/>
      <c r="WGV38" s="1"/>
      <c r="WGW38" s="1"/>
      <c r="WGX38" s="1"/>
      <c r="WGY38" s="1"/>
      <c r="WGZ38" s="223"/>
      <c r="WHA38" s="222"/>
      <c r="WHB38" s="1"/>
      <c r="WHC38" s="301"/>
      <c r="WHD38" s="214"/>
      <c r="WHE38" s="5"/>
      <c r="WHF38" s="12"/>
      <c r="WHG38" s="5"/>
      <c r="WHH38" s="5"/>
      <c r="WHI38" s="1"/>
      <c r="WHJ38" s="1"/>
      <c r="WHK38" s="1"/>
      <c r="WHL38" s="1"/>
      <c r="WHM38" s="1"/>
      <c r="WHN38" s="178"/>
      <c r="WHO38" s="178"/>
      <c r="WHP38" s="1"/>
      <c r="WHQ38" s="2"/>
      <c r="WHR38" s="161"/>
      <c r="WHS38" s="161"/>
      <c r="WHT38" s="1"/>
      <c r="WHU38" s="213"/>
      <c r="WHV38" s="1"/>
      <c r="WHW38" s="1"/>
      <c r="WHX38" s="1"/>
      <c r="WHY38" s="1"/>
      <c r="WHZ38" s="223"/>
      <c r="WIA38" s="222"/>
      <c r="WIB38" s="1"/>
      <c r="WIC38" s="301"/>
      <c r="WID38" s="214"/>
      <c r="WIE38" s="5"/>
      <c r="WIF38" s="12"/>
      <c r="WIG38" s="5"/>
      <c r="WIH38" s="5"/>
      <c r="WII38" s="1"/>
      <c r="WIJ38" s="1"/>
      <c r="WIK38" s="1"/>
      <c r="WIL38" s="1"/>
      <c r="WIM38" s="1"/>
      <c r="WIN38" s="178"/>
      <c r="WIO38" s="178"/>
      <c r="WIP38" s="1"/>
      <c r="WIQ38" s="2"/>
      <c r="WIR38" s="161"/>
      <c r="WIS38" s="161"/>
      <c r="WIT38" s="1"/>
      <c r="WIU38" s="213"/>
      <c r="WIV38" s="1"/>
      <c r="WIW38" s="1"/>
      <c r="WIX38" s="1"/>
      <c r="WIY38" s="1"/>
      <c r="WIZ38" s="223"/>
      <c r="WJA38" s="222"/>
      <c r="WJB38" s="1"/>
      <c r="WJC38" s="301"/>
      <c r="WJD38" s="214"/>
      <c r="WJE38" s="5"/>
      <c r="WJF38" s="12"/>
      <c r="WJG38" s="5"/>
      <c r="WJH38" s="5"/>
      <c r="WJI38" s="1"/>
      <c r="WJJ38" s="1"/>
      <c r="WJK38" s="1"/>
      <c r="WJL38" s="1"/>
      <c r="WJM38" s="1"/>
      <c r="WJN38" s="178"/>
      <c r="WJO38" s="178"/>
      <c r="WJP38" s="1"/>
      <c r="WJQ38" s="2"/>
      <c r="WJR38" s="161"/>
      <c r="WJS38" s="161"/>
      <c r="WJT38" s="1"/>
      <c r="WJU38" s="213"/>
      <c r="WJV38" s="1"/>
      <c r="WJW38" s="1"/>
      <c r="WJX38" s="1"/>
      <c r="WJY38" s="1"/>
      <c r="WJZ38" s="223"/>
      <c r="WKA38" s="222"/>
      <c r="WKB38" s="1"/>
      <c r="WKC38" s="301"/>
      <c r="WKD38" s="214"/>
      <c r="WKE38" s="5"/>
      <c r="WKF38" s="12"/>
      <c r="WKG38" s="5"/>
      <c r="WKH38" s="5"/>
      <c r="WKI38" s="1"/>
      <c r="WKJ38" s="1"/>
      <c r="WKK38" s="1"/>
      <c r="WKL38" s="1"/>
      <c r="WKM38" s="1"/>
      <c r="WKN38" s="178"/>
      <c r="WKO38" s="178"/>
      <c r="WKP38" s="1"/>
      <c r="WKQ38" s="2"/>
      <c r="WKR38" s="161"/>
      <c r="WKS38" s="161"/>
      <c r="WKT38" s="1"/>
      <c r="WKU38" s="213"/>
      <c r="WKV38" s="1"/>
      <c r="WKW38" s="1"/>
      <c r="WKX38" s="1"/>
      <c r="WKY38" s="1"/>
      <c r="WKZ38" s="223"/>
      <c r="WLA38" s="222"/>
      <c r="WLB38" s="1"/>
      <c r="WLC38" s="301"/>
      <c r="WLD38" s="214"/>
      <c r="WLE38" s="5"/>
      <c r="WLF38" s="12"/>
      <c r="WLG38" s="5"/>
      <c r="WLH38" s="5"/>
      <c r="WLI38" s="1"/>
      <c r="WLJ38" s="1"/>
      <c r="WLK38" s="1"/>
      <c r="WLL38" s="1"/>
      <c r="WLM38" s="1"/>
      <c r="WLN38" s="178"/>
      <c r="WLO38" s="178"/>
      <c r="WLP38" s="1"/>
      <c r="WLQ38" s="2"/>
      <c r="WLR38" s="161"/>
      <c r="WLS38" s="161"/>
      <c r="WLT38" s="1"/>
      <c r="WLU38" s="213"/>
      <c r="WLV38" s="1"/>
      <c r="WLW38" s="1"/>
      <c r="WLX38" s="1"/>
      <c r="WLY38" s="1"/>
      <c r="WLZ38" s="223"/>
      <c r="WMA38" s="222"/>
      <c r="WMB38" s="1"/>
      <c r="WMC38" s="301"/>
      <c r="WMD38" s="214"/>
      <c r="WME38" s="5"/>
      <c r="WMF38" s="12"/>
      <c r="WMG38" s="5"/>
      <c r="WMH38" s="5"/>
      <c r="WMI38" s="1"/>
      <c r="WMJ38" s="1"/>
      <c r="WMK38" s="1"/>
      <c r="WML38" s="1"/>
      <c r="WMM38" s="1"/>
      <c r="WMN38" s="178"/>
      <c r="WMO38" s="178"/>
      <c r="WMP38" s="1"/>
      <c r="WMQ38" s="2"/>
      <c r="WMR38" s="161"/>
      <c r="WMS38" s="161"/>
      <c r="WMT38" s="1"/>
      <c r="WMU38" s="213"/>
      <c r="WMV38" s="1"/>
      <c r="WMW38" s="1"/>
      <c r="WMX38" s="1"/>
      <c r="WMY38" s="1"/>
      <c r="WMZ38" s="223"/>
      <c r="WNA38" s="222"/>
      <c r="WNB38" s="1"/>
      <c r="WNC38" s="301"/>
      <c r="WND38" s="214"/>
      <c r="WNE38" s="5"/>
      <c r="WNF38" s="12"/>
      <c r="WNG38" s="5"/>
      <c r="WNH38" s="5"/>
      <c r="WNI38" s="1"/>
      <c r="WNJ38" s="1"/>
      <c r="WNK38" s="1"/>
      <c r="WNL38" s="1"/>
      <c r="WNM38" s="1"/>
      <c r="WNN38" s="178"/>
      <c r="WNO38" s="178"/>
      <c r="WNP38" s="1"/>
      <c r="WNQ38" s="2"/>
      <c r="WNR38" s="161"/>
      <c r="WNS38" s="161"/>
      <c r="WNT38" s="1"/>
      <c r="WNU38" s="213"/>
      <c r="WNV38" s="1"/>
      <c r="WNW38" s="1"/>
      <c r="WNX38" s="1"/>
      <c r="WNY38" s="1"/>
      <c r="WNZ38" s="223"/>
      <c r="WOA38" s="222"/>
      <c r="WOB38" s="1"/>
      <c r="WOC38" s="301"/>
      <c r="WOD38" s="214"/>
      <c r="WOE38" s="5"/>
      <c r="WOF38" s="12"/>
      <c r="WOG38" s="5"/>
      <c r="WOH38" s="5"/>
      <c r="WOI38" s="1"/>
      <c r="WOJ38" s="1"/>
      <c r="WOK38" s="1"/>
      <c r="WOL38" s="1"/>
      <c r="WOM38" s="1"/>
      <c r="WON38" s="178"/>
      <c r="WOO38" s="178"/>
      <c r="WOP38" s="1"/>
      <c r="WOQ38" s="2"/>
      <c r="WOR38" s="161"/>
      <c r="WOS38" s="161"/>
      <c r="WOT38" s="1"/>
      <c r="WOU38" s="213"/>
      <c r="WOV38" s="1"/>
      <c r="WOW38" s="1"/>
      <c r="WOX38" s="1"/>
      <c r="WOY38" s="1"/>
      <c r="WOZ38" s="223"/>
      <c r="WPA38" s="222"/>
      <c r="WPB38" s="1"/>
      <c r="WPC38" s="301"/>
      <c r="WPD38" s="214"/>
      <c r="WPE38" s="5"/>
      <c r="WPF38" s="12"/>
      <c r="WPG38" s="5"/>
      <c r="WPH38" s="5"/>
      <c r="WPI38" s="1"/>
      <c r="WPJ38" s="1"/>
      <c r="WPK38" s="1"/>
      <c r="WPL38" s="1"/>
      <c r="WPM38" s="1"/>
      <c r="WPN38" s="178"/>
      <c r="WPO38" s="178"/>
      <c r="WPP38" s="1"/>
      <c r="WPQ38" s="2"/>
      <c r="WPR38" s="161"/>
      <c r="WPS38" s="161"/>
      <c r="WPT38" s="1"/>
      <c r="WPU38" s="213"/>
      <c r="WPV38" s="1"/>
      <c r="WPW38" s="1"/>
      <c r="WPX38" s="1"/>
      <c r="WPY38" s="1"/>
      <c r="WPZ38" s="223"/>
      <c r="WQA38" s="222"/>
      <c r="WQB38" s="1"/>
      <c r="WQC38" s="301"/>
      <c r="WQD38" s="214"/>
      <c r="WQE38" s="5"/>
      <c r="WQF38" s="12"/>
      <c r="WQG38" s="5"/>
      <c r="WQH38" s="5"/>
      <c r="WQI38" s="1"/>
      <c r="WQJ38" s="1"/>
      <c r="WQK38" s="1"/>
      <c r="WQL38" s="1"/>
      <c r="WQM38" s="1"/>
      <c r="WQN38" s="178"/>
      <c r="WQO38" s="178"/>
      <c r="WQP38" s="1"/>
      <c r="WQQ38" s="2"/>
      <c r="WQR38" s="161"/>
      <c r="WQS38" s="161"/>
      <c r="WQT38" s="1"/>
      <c r="WQU38" s="213"/>
      <c r="WQV38" s="1"/>
      <c r="WQW38" s="1"/>
      <c r="WQX38" s="1"/>
      <c r="WQY38" s="1"/>
      <c r="WQZ38" s="223"/>
      <c r="WRA38" s="222"/>
      <c r="WRB38" s="1"/>
      <c r="WRC38" s="301"/>
      <c r="WRD38" s="214"/>
      <c r="WRE38" s="5"/>
      <c r="WRF38" s="12"/>
      <c r="WRG38" s="5"/>
      <c r="WRH38" s="5"/>
      <c r="WRI38" s="1"/>
      <c r="WRJ38" s="1"/>
      <c r="WRK38" s="1"/>
      <c r="WRL38" s="1"/>
      <c r="WRM38" s="1"/>
      <c r="WRN38" s="178"/>
      <c r="WRO38" s="178"/>
      <c r="WRP38" s="1"/>
      <c r="WRQ38" s="2"/>
      <c r="WRR38" s="161"/>
      <c r="WRS38" s="161"/>
      <c r="WRT38" s="1"/>
      <c r="WRU38" s="213"/>
      <c r="WRV38" s="1"/>
      <c r="WRW38" s="1"/>
      <c r="WRX38" s="1"/>
      <c r="WRY38" s="1"/>
      <c r="WRZ38" s="223"/>
      <c r="WSA38" s="222"/>
      <c r="WSB38" s="1"/>
      <c r="WSC38" s="301"/>
      <c r="WSD38" s="214"/>
      <c r="WSE38" s="5"/>
      <c r="WSF38" s="12"/>
      <c r="WSG38" s="5"/>
      <c r="WSH38" s="5"/>
      <c r="WSI38" s="1"/>
      <c r="WSJ38" s="1"/>
      <c r="WSK38" s="1"/>
      <c r="WSL38" s="1"/>
      <c r="WSM38" s="1"/>
      <c r="WSN38" s="178"/>
      <c r="WSO38" s="178"/>
      <c r="WSP38" s="1"/>
      <c r="WSQ38" s="2"/>
      <c r="WSR38" s="161"/>
      <c r="WSS38" s="161"/>
      <c r="WST38" s="1"/>
      <c r="WSU38" s="213"/>
      <c r="WSV38" s="1"/>
      <c r="WSW38" s="1"/>
      <c r="WSX38" s="1"/>
      <c r="WSY38" s="1"/>
      <c r="WSZ38" s="223"/>
      <c r="WTA38" s="222"/>
      <c r="WTB38" s="1"/>
      <c r="WTC38" s="301"/>
      <c r="WTD38" s="214"/>
      <c r="WTE38" s="5"/>
      <c r="WTF38" s="12"/>
      <c r="WTG38" s="5"/>
      <c r="WTH38" s="5"/>
      <c r="WTI38" s="1"/>
      <c r="WTJ38" s="1"/>
      <c r="WTK38" s="1"/>
      <c r="WTL38" s="1"/>
      <c r="WTM38" s="1"/>
      <c r="WTN38" s="178"/>
      <c r="WTO38" s="178"/>
      <c r="WTP38" s="1"/>
      <c r="WTQ38" s="2"/>
      <c r="WTR38" s="161"/>
      <c r="WTS38" s="161"/>
      <c r="WTT38" s="1"/>
      <c r="WTU38" s="213"/>
      <c r="WTV38" s="1"/>
      <c r="WTW38" s="1"/>
      <c r="WTX38" s="1"/>
      <c r="WTY38" s="1"/>
      <c r="WTZ38" s="223"/>
      <c r="WUA38" s="222"/>
      <c r="WUB38" s="1"/>
      <c r="WUC38" s="301"/>
      <c r="WUD38" s="214"/>
      <c r="WUE38" s="5"/>
      <c r="WUF38" s="12"/>
      <c r="WUG38" s="5"/>
      <c r="WUH38" s="5"/>
      <c r="WUI38" s="1"/>
      <c r="WUJ38" s="1"/>
      <c r="WUK38" s="1"/>
      <c r="WUL38" s="1"/>
      <c r="WUM38" s="1"/>
      <c r="WUN38" s="178"/>
      <c r="WUO38" s="178"/>
      <c r="WUP38" s="1"/>
      <c r="WUQ38" s="2"/>
      <c r="WUR38" s="161"/>
      <c r="WUS38" s="161"/>
      <c r="WUT38" s="1"/>
      <c r="WUU38" s="213"/>
      <c r="WUV38" s="1"/>
      <c r="WUW38" s="1"/>
      <c r="WUX38" s="1"/>
      <c r="WUY38" s="1"/>
      <c r="WUZ38" s="223"/>
      <c r="WVA38" s="222"/>
      <c r="WVB38" s="1"/>
      <c r="WVC38" s="301"/>
      <c r="WVD38" s="214"/>
      <c r="WVE38" s="5"/>
      <c r="WVF38" s="12"/>
      <c r="WVG38" s="5"/>
      <c r="WVH38" s="5"/>
      <c r="WVI38" s="1"/>
      <c r="WVJ38" s="1"/>
      <c r="WVK38" s="1"/>
      <c r="WVL38" s="1"/>
      <c r="WVM38" s="1"/>
      <c r="WVN38" s="178"/>
      <c r="WVO38" s="178"/>
      <c r="WVP38" s="1"/>
      <c r="WVQ38" s="2"/>
      <c r="WVR38" s="161"/>
      <c r="WVS38" s="161"/>
      <c r="WVT38" s="1"/>
      <c r="WVU38" s="213"/>
      <c r="WVV38" s="1"/>
      <c r="WVW38" s="1"/>
      <c r="WVX38" s="1"/>
      <c r="WVY38" s="1"/>
      <c r="WVZ38" s="223"/>
      <c r="WWA38" s="222"/>
      <c r="WWB38" s="1"/>
      <c r="WWC38" s="301"/>
      <c r="WWD38" s="214"/>
      <c r="WWE38" s="5"/>
      <c r="WWF38" s="12"/>
      <c r="WWG38" s="5"/>
      <c r="WWH38" s="5"/>
      <c r="WWI38" s="1"/>
      <c r="WWJ38" s="1"/>
      <c r="WWK38" s="1"/>
      <c r="WWL38" s="1"/>
      <c r="WWM38" s="1"/>
      <c r="WWN38" s="178"/>
      <c r="WWO38" s="178"/>
      <c r="WWP38" s="1"/>
      <c r="WWQ38" s="2"/>
      <c r="WWR38" s="161"/>
      <c r="WWS38" s="161"/>
      <c r="WWT38" s="1"/>
      <c r="WWU38" s="213"/>
      <c r="WWV38" s="1"/>
      <c r="WWW38" s="1"/>
      <c r="WWX38" s="1"/>
      <c r="WWY38" s="1"/>
      <c r="WWZ38" s="223"/>
      <c r="WXA38" s="222"/>
      <c r="WXB38" s="1"/>
      <c r="WXC38" s="301"/>
      <c r="WXD38" s="214"/>
      <c r="WXE38" s="5"/>
      <c r="WXF38" s="12"/>
      <c r="WXG38" s="5"/>
      <c r="WXH38" s="5"/>
      <c r="WXI38" s="1"/>
      <c r="WXJ38" s="1"/>
      <c r="WXK38" s="1"/>
      <c r="WXL38" s="1"/>
      <c r="WXM38" s="1"/>
      <c r="WXN38" s="178"/>
      <c r="WXO38" s="178"/>
      <c r="WXP38" s="1"/>
      <c r="WXQ38" s="2"/>
      <c r="WXR38" s="161"/>
      <c r="WXS38" s="161"/>
      <c r="WXT38" s="1"/>
      <c r="WXU38" s="213"/>
      <c r="WXV38" s="1"/>
      <c r="WXW38" s="1"/>
      <c r="WXX38" s="1"/>
      <c r="WXY38" s="1"/>
      <c r="WXZ38" s="223"/>
      <c r="WYA38" s="222"/>
      <c r="WYB38" s="1"/>
      <c r="WYC38" s="301"/>
      <c r="WYD38" s="214"/>
      <c r="WYE38" s="5"/>
      <c r="WYF38" s="12"/>
      <c r="WYG38" s="5"/>
      <c r="WYH38" s="5"/>
      <c r="WYI38" s="1"/>
      <c r="WYJ38" s="1"/>
      <c r="WYK38" s="1"/>
      <c r="WYL38" s="1"/>
      <c r="WYM38" s="1"/>
      <c r="WYN38" s="178"/>
      <c r="WYO38" s="178"/>
      <c r="WYP38" s="1"/>
      <c r="WYQ38" s="2"/>
      <c r="WYR38" s="161"/>
      <c r="WYS38" s="161"/>
      <c r="WYT38" s="1"/>
      <c r="WYU38" s="213"/>
      <c r="WYV38" s="1"/>
      <c r="WYW38" s="1"/>
      <c r="WYX38" s="1"/>
      <c r="WYY38" s="1"/>
      <c r="WYZ38" s="223"/>
      <c r="WZA38" s="222"/>
      <c r="WZB38" s="1"/>
      <c r="WZC38" s="301"/>
      <c r="WZD38" s="214"/>
      <c r="WZE38" s="5"/>
      <c r="WZF38" s="12"/>
      <c r="WZG38" s="5"/>
      <c r="WZH38" s="5"/>
      <c r="WZI38" s="1"/>
      <c r="WZJ38" s="1"/>
      <c r="WZK38" s="1"/>
      <c r="WZL38" s="1"/>
      <c r="WZM38" s="1"/>
      <c r="WZN38" s="178"/>
      <c r="WZO38" s="178"/>
      <c r="WZP38" s="1"/>
      <c r="WZQ38" s="2"/>
      <c r="WZR38" s="161"/>
      <c r="WZS38" s="161"/>
      <c r="WZT38" s="1"/>
      <c r="WZU38" s="213"/>
      <c r="WZV38" s="1"/>
      <c r="WZW38" s="1"/>
      <c r="WZX38" s="1"/>
      <c r="WZY38" s="1"/>
      <c r="WZZ38" s="223"/>
      <c r="XAA38" s="222"/>
      <c r="XAB38" s="1"/>
      <c r="XAC38" s="301"/>
      <c r="XAD38" s="214"/>
      <c r="XAE38" s="5"/>
      <c r="XAF38" s="12"/>
      <c r="XAG38" s="5"/>
      <c r="XAH38" s="5"/>
      <c r="XAI38" s="1"/>
      <c r="XAJ38" s="1"/>
      <c r="XAK38" s="1"/>
      <c r="XAL38" s="1"/>
      <c r="XAM38" s="1"/>
      <c r="XAN38" s="178"/>
      <c r="XAO38" s="178"/>
      <c r="XAP38" s="1"/>
      <c r="XAQ38" s="2"/>
      <c r="XAR38" s="161"/>
      <c r="XAS38" s="161"/>
      <c r="XAT38" s="1"/>
      <c r="XAU38" s="213"/>
      <c r="XAV38" s="1"/>
      <c r="XAW38" s="1"/>
      <c r="XAX38" s="1"/>
      <c r="XAY38" s="1"/>
      <c r="XAZ38" s="223"/>
      <c r="XBA38" s="222"/>
      <c r="XBB38" s="1"/>
      <c r="XBC38" s="301"/>
      <c r="XBD38" s="214"/>
      <c r="XBE38" s="5"/>
      <c r="XBF38" s="12"/>
      <c r="XBG38" s="5"/>
      <c r="XBH38" s="5"/>
      <c r="XBI38" s="1"/>
      <c r="XBJ38" s="1"/>
      <c r="XBK38" s="1"/>
      <c r="XBL38" s="1"/>
      <c r="XBM38" s="1"/>
      <c r="XBN38" s="178"/>
      <c r="XBO38" s="178"/>
      <c r="XBP38" s="1"/>
      <c r="XBQ38" s="2"/>
      <c r="XBR38" s="161"/>
      <c r="XBS38" s="161"/>
      <c r="XBT38" s="1"/>
      <c r="XBU38" s="213"/>
      <c r="XBV38" s="1"/>
      <c r="XBW38" s="1"/>
      <c r="XBX38" s="1"/>
      <c r="XBY38" s="1"/>
      <c r="XBZ38" s="223"/>
      <c r="XCA38" s="222"/>
      <c r="XCB38" s="1"/>
      <c r="XCC38" s="301"/>
      <c r="XCD38" s="214"/>
      <c r="XCE38" s="5"/>
      <c r="XCF38" s="12"/>
      <c r="XCG38" s="5"/>
      <c r="XCH38" s="5"/>
      <c r="XCI38" s="1"/>
      <c r="XCJ38" s="1"/>
      <c r="XCK38" s="1"/>
      <c r="XCL38" s="1"/>
      <c r="XCM38" s="1"/>
      <c r="XCN38" s="178"/>
      <c r="XCO38" s="178"/>
      <c r="XCP38" s="1"/>
      <c r="XCQ38" s="2"/>
      <c r="XCR38" s="161"/>
      <c r="XCS38" s="161"/>
      <c r="XCT38" s="1"/>
      <c r="XCU38" s="213"/>
      <c r="XCV38" s="1"/>
      <c r="XCW38" s="1"/>
      <c r="XCX38" s="1"/>
      <c r="XCY38" s="1"/>
      <c r="XCZ38" s="223"/>
      <c r="XDA38" s="222"/>
      <c r="XDB38" s="1"/>
      <c r="XDC38" s="301"/>
      <c r="XDD38" s="214"/>
      <c r="XDE38" s="5"/>
      <c r="XDF38" s="12"/>
      <c r="XDG38" s="5"/>
      <c r="XDH38" s="5"/>
      <c r="XDI38" s="1"/>
      <c r="XDJ38" s="1"/>
      <c r="XDK38" s="1"/>
      <c r="XDL38" s="1"/>
      <c r="XDM38" s="1"/>
      <c r="XDN38" s="178"/>
      <c r="XDO38" s="178"/>
      <c r="XDP38" s="1"/>
      <c r="XDQ38" s="2"/>
      <c r="XDR38" s="161"/>
      <c r="XDS38" s="161"/>
      <c r="XDT38" s="1"/>
      <c r="XDU38" s="213"/>
      <c r="XDV38" s="1"/>
      <c r="XDW38" s="1"/>
      <c r="XDX38" s="1"/>
      <c r="XDY38" s="1"/>
      <c r="XDZ38" s="223"/>
      <c r="XEA38" s="222"/>
      <c r="XEB38" s="1"/>
      <c r="XEC38" s="301"/>
      <c r="XED38" s="214"/>
      <c r="XEE38" s="5"/>
      <c r="XEF38" s="12"/>
      <c r="XEG38" s="5"/>
      <c r="XEH38" s="5"/>
      <c r="XEI38" s="1"/>
      <c r="XEJ38" s="1"/>
      <c r="XEK38" s="1"/>
      <c r="XEL38" s="1"/>
      <c r="XEM38" s="1"/>
      <c r="XEN38" s="178"/>
      <c r="XEO38" s="178"/>
      <c r="XEP38" s="1"/>
      <c r="XEQ38" s="2"/>
      <c r="XER38" s="161"/>
      <c r="XES38" s="161"/>
      <c r="XET38" s="1"/>
      <c r="XEU38" s="213"/>
      <c r="XEV38" s="1"/>
      <c r="XEW38" s="1"/>
      <c r="XEX38" s="1"/>
      <c r="XEY38" s="1"/>
      <c r="XEZ38" s="223"/>
    </row>
    <row r="39" spans="1:16380" ht="15.75" customHeight="1" x14ac:dyDescent="0.4">
      <c r="A39" s="222">
        <v>7</v>
      </c>
      <c r="B39" s="1" t="s">
        <v>218</v>
      </c>
      <c r="C39" s="1" t="s">
        <v>219</v>
      </c>
      <c r="D39" s="12" t="s">
        <v>220</v>
      </c>
      <c r="E39" s="5" t="s">
        <v>81</v>
      </c>
      <c r="F39" s="12" t="s">
        <v>221</v>
      </c>
      <c r="G39" s="5" t="s">
        <v>94</v>
      </c>
      <c r="H39" s="5">
        <v>6</v>
      </c>
      <c r="I39" s="5" t="s">
        <v>52</v>
      </c>
      <c r="J39" s="5" t="s">
        <v>65</v>
      </c>
      <c r="K39" s="2" t="s">
        <v>222</v>
      </c>
      <c r="L39" s="5">
        <v>24</v>
      </c>
      <c r="M39" s="5" t="str">
        <f t="shared" ref="M39:M45" si="13">LEFT(U39,4)</f>
        <v>2425</v>
      </c>
      <c r="N39" s="1">
        <f>L39*360</f>
        <v>8640</v>
      </c>
      <c r="O39" s="1">
        <f t="shared" si="9"/>
        <v>1728</v>
      </c>
      <c r="P39" s="1">
        <v>100</v>
      </c>
      <c r="Q39" s="1">
        <f>N39*0.7</f>
        <v>6048</v>
      </c>
      <c r="R39" s="1">
        <f t="shared" si="10"/>
        <v>1728</v>
      </c>
      <c r="S39" s="1">
        <f t="shared" si="12"/>
        <v>50</v>
      </c>
      <c r="T39" s="1" t="s">
        <v>223</v>
      </c>
      <c r="U39" s="1" t="str">
        <f>IF(OR(ISBLANK(Table1[[#This Row],[起始日期]]),Table1[[#This Row],[起始日期]]=""),RIGHT(YEAR(EDATE(Table1[[#This Row],[计划开始时间]],-3)),2) &amp; RIGHT(YEAR(EDATE(Table1[[#This Row],[计划开始时间]],-3))+1,2) &amp; " Q" &amp; ROUNDUP(MONTH(EDATE(Table1[[#This Row],[计划开始时间]],-3))/3,0),RIGHT(YEAR(EDATE(Table1[[#This Row],[起始日期]],-3)),2) &amp; RIGHT(YEAR(EDATE(Table1[[#This Row],[起始日期]],-3))+1,2) &amp; " Q" &amp; ROUNDUP(MONTH(EDATE(Table1[[#This Row],[起始日期]],-3))/3,0))</f>
        <v>2425 Q4</v>
      </c>
      <c r="V39" s="177">
        <v>45705</v>
      </c>
      <c r="W39" s="178">
        <v>45748</v>
      </c>
      <c r="X39" s="1" t="str">
        <f ca="1">IF(
    Table1[[#This Row],[ID]] = 0, "Cancelled",
    IF(
        Table1[[#This Row],[交付YRQTR]] = "TBD", "TBD",
IF(
            ISBLANK(Table1[[#This Row],[计划开始时间]]), "Not Started",
        IF(
            AND(
                NOT(ISBLANK(Table1[[#This Row],[计划开始时间]])),
                Table1[[#This Row],[计划开始时间]] &lt;= TODAY(),
                NOT(ISBLANK(Table1[[#This Row],[结束日期]])),
                Table1[[#This Row],[结束日期]] &lt;= TODAY()
            ),
            "Completed",
            IF(
                OR(
                    AND(
                        Table1[[#This Row],[计划开始时间]] &lt;= TODAY(),
                        ISBLANK(Table1[[#This Row],[结束日期]])
                    ),
                    AND(
                        Table1[[#This Row],[计划开始时间]] &lt;= TODAY(),
                        Table1[[#This Row],[结束日期]] &gt;= TODAY()
                    )
                ),
                "In Progress",
                "Not Started"
            )
        )
    )
))</f>
        <v>Completed</v>
      </c>
      <c r="Y39" s="2" t="s">
        <v>224</v>
      </c>
      <c r="Z39" s="302">
        <v>45708</v>
      </c>
      <c r="AA39" s="302">
        <v>45729</v>
      </c>
      <c r="AB39" s="1">
        <v>6048</v>
      </c>
      <c r="AC39" s="213">
        <v>45562</v>
      </c>
      <c r="AD39" s="1"/>
      <c r="AE39" s="1"/>
      <c r="AF39" s="1" t="s">
        <v>46</v>
      </c>
      <c r="AG39" s="1"/>
      <c r="AH39" s="223">
        <f>IF(Table1[[#This Row],[Dev Pmt]]="",Table1[[#This Row],[YR0 开发费用]]-0,Table1[[#This Row],[YR0 开发费用]]-Table1[[#This Row],[Dev Pmt]])</f>
        <v>0</v>
      </c>
    </row>
    <row r="40" spans="1:16380" ht="15.75" customHeight="1" x14ac:dyDescent="0.4">
      <c r="A40" s="222">
        <v>8</v>
      </c>
      <c r="B40" s="1" t="s">
        <v>225</v>
      </c>
      <c r="C40" s="2" t="s">
        <v>226</v>
      </c>
      <c r="D40" s="1" t="s">
        <v>227</v>
      </c>
      <c r="E40" s="5" t="s">
        <v>228</v>
      </c>
      <c r="F40" s="12" t="s">
        <v>229</v>
      </c>
      <c r="G40" s="5"/>
      <c r="H40" s="5"/>
      <c r="I40" s="5"/>
      <c r="J40" s="5"/>
      <c r="K40" s="2"/>
      <c r="L40" s="5">
        <v>30</v>
      </c>
      <c r="M40" s="5" t="str">
        <f t="shared" si="13"/>
        <v>2627</v>
      </c>
      <c r="N40" s="1">
        <f>L40*330</f>
        <v>9900</v>
      </c>
      <c r="O40" s="1">
        <f t="shared" si="9"/>
        <v>1980</v>
      </c>
      <c r="P40" s="1">
        <v>100</v>
      </c>
      <c r="Q40" s="1">
        <f>N40</f>
        <v>9900</v>
      </c>
      <c r="R40" s="1">
        <f t="shared" si="10"/>
        <v>1980</v>
      </c>
      <c r="S40" s="1">
        <f t="shared" si="12"/>
        <v>50</v>
      </c>
      <c r="T40" s="1" t="s">
        <v>230</v>
      </c>
      <c r="U40" s="1" t="s">
        <v>54</v>
      </c>
      <c r="V40" s="177"/>
      <c r="W40" s="178"/>
      <c r="X40" s="1" t="str">
        <f ca="1">IF(
    Table1[[#This Row],[ID]] = 0, "Cancelled",
    IF(
        Table1[[#This Row],[交付YRQTR]] = "TBD", "TBD",
IF(
            ISBLANK(Table1[[#This Row],[计划开始时间]]), "Not Started",
        IF(
            AND(
                NOT(ISBLANK(Table1[[#This Row],[计划开始时间]])),
                Table1[[#This Row],[计划开始时间]] &lt;= TODAY(),
                NOT(ISBLANK(Table1[[#This Row],[结束日期]])),
                Table1[[#This Row],[结束日期]] &lt;= TODAY()
            ),
            "Completed",
            IF(
                OR(
                    AND(
                        Table1[[#This Row],[计划开始时间]] &lt;= TODAY(),
                        ISBLANK(Table1[[#This Row],[结束日期]])
                    ),
                    AND(
                        Table1[[#This Row],[计划开始时间]] &lt;= TODAY(),
                        Table1[[#This Row],[结束日期]] &gt;= TODAY()
                    )
                ),
                "In Progress",
                "Not Started"
            )
        )
    )
))</f>
        <v>In Progress</v>
      </c>
      <c r="Y40" s="2"/>
      <c r="Z40" s="302">
        <v>46235</v>
      </c>
      <c r="AA40" s="302">
        <f>WORKDAY(Z40,Table1[[#This Row],[MD]])</f>
        <v>46276</v>
      </c>
      <c r="AB40" s="1">
        <f>Table1[[#This Row],[YR0 开发费用]]</f>
        <v>9900</v>
      </c>
      <c r="AC40" s="161">
        <v>46232</v>
      </c>
      <c r="AD40" s="1"/>
      <c r="AE40" s="1"/>
      <c r="AF40" s="1" t="s">
        <v>74</v>
      </c>
      <c r="AG40" s="1"/>
      <c r="AH40" s="223">
        <f>IF(Table1[[#This Row],[Dev Pmt]]="",Table1[[#This Row],[YR0 开发费用]]-0,Table1[[#This Row],[YR0 开发费用]]-Table1[[#This Row],[Dev Pmt]])</f>
        <v>0</v>
      </c>
    </row>
    <row r="41" spans="1:16380" ht="15.75" customHeight="1" x14ac:dyDescent="0.4">
      <c r="A41" s="222">
        <v>11</v>
      </c>
      <c r="B41" s="1" t="s">
        <v>47</v>
      </c>
      <c r="C41" s="2" t="s">
        <v>231</v>
      </c>
      <c r="D41" s="1" t="s">
        <v>232</v>
      </c>
      <c r="E41" s="5" t="s">
        <v>233</v>
      </c>
      <c r="F41" s="12" t="s">
        <v>234</v>
      </c>
      <c r="G41" s="5" t="s">
        <v>94</v>
      </c>
      <c r="H41" s="5">
        <v>8</v>
      </c>
      <c r="I41" s="5" t="s">
        <v>88</v>
      </c>
      <c r="J41" s="5" t="s">
        <v>65</v>
      </c>
      <c r="K41" s="2" t="s">
        <v>235</v>
      </c>
      <c r="L41" s="5">
        <v>40</v>
      </c>
      <c r="M41" s="5" t="str">
        <f t="shared" si="13"/>
        <v>2526</v>
      </c>
      <c r="N41" s="1">
        <f>L41*360</f>
        <v>14400</v>
      </c>
      <c r="O41" s="1">
        <f t="shared" si="9"/>
        <v>2880</v>
      </c>
      <c r="P41" s="1">
        <v>100</v>
      </c>
      <c r="Q41" s="1">
        <f>N41*0.7</f>
        <v>10080</v>
      </c>
      <c r="R41" s="1">
        <f t="shared" si="10"/>
        <v>2880</v>
      </c>
      <c r="S41" s="1">
        <f t="shared" si="12"/>
        <v>50</v>
      </c>
      <c r="T41" s="1" t="s">
        <v>236</v>
      </c>
      <c r="U41" s="1" t="str">
        <f>IF(OR(ISBLANK(Table1[[#This Row],[起始日期]]),Table1[[#This Row],[起始日期]]=""),RIGHT(YEAR(EDATE(Table1[[#This Row],[计划开始时间]],-3)),2) &amp; RIGHT(YEAR(EDATE(Table1[[#This Row],[计划开始时间]],-3))+1,2) &amp; " Q" &amp; ROUNDUP(MONTH(EDATE(Table1[[#This Row],[计划开始时间]],-3))/3,0),RIGHT(YEAR(EDATE(Table1[[#This Row],[起始日期]],-3)),2) &amp; RIGHT(YEAR(EDATE(Table1[[#This Row],[起始日期]],-3))+1,2) &amp; " Q" &amp; ROUNDUP(MONTH(EDATE(Table1[[#This Row],[起始日期]],-3))/3,0))</f>
        <v>2526 Q2</v>
      </c>
      <c r="V41" s="177">
        <v>45883</v>
      </c>
      <c r="W41" s="178">
        <v>46086</v>
      </c>
      <c r="X41" s="1" t="str">
        <f ca="1">IF(
    Table1[[#This Row],[ID]] = 0, "Cancelled",
    IF(
        Table1[[#This Row],[交付YRQTR]] = "TBD", "TBD",
IF(
            ISBLANK(Table1[[#This Row],[计划开始时间]]), "Not Started",
        IF(
            AND(
                NOT(ISBLANK(Table1[[#This Row],[计划开始时间]])),
                Table1[[#This Row],[计划开始时间]] &lt;= TODAY(),
                NOT(ISBLANK(Table1[[#This Row],[结束日期]])),
                Table1[[#This Row],[结束日期]] &lt;= TODAY()
            ),
            "Completed",
            IF(
                OR(
                    AND(
                        Table1[[#This Row],[计划开始时间]] &lt;= TODAY(),
                        ISBLANK(Table1[[#This Row],[结束日期]])
                    ),
                    AND(
                        Table1[[#This Row],[计划开始时间]] &lt;= TODAY(),
                        Table1[[#This Row],[结束日期]] &gt;= TODAY()
                    )
                ),
                "In Progress",
                "Not Started"
            )
        )
    )
))</f>
        <v>Completed</v>
      </c>
      <c r="Y41" s="2" t="s">
        <v>237</v>
      </c>
      <c r="Z41" s="305">
        <v>45887</v>
      </c>
      <c r="AA41" s="213">
        <v>46081</v>
      </c>
      <c r="AB41" s="1">
        <v>10080</v>
      </c>
      <c r="AC41" s="213">
        <v>45562</v>
      </c>
      <c r="AD41" s="1"/>
      <c r="AE41" s="1"/>
      <c r="AF41" s="1" t="s">
        <v>46</v>
      </c>
      <c r="AG41" s="1"/>
      <c r="AH41" s="223">
        <f>IF(Table1[[#This Row],[Dev Pmt]]="",Table1[[#This Row],[YR0 开发费用]]-0,Table1[[#This Row],[YR0 开发费用]]-Table1[[#This Row],[Dev Pmt]])</f>
        <v>0</v>
      </c>
    </row>
    <row r="42" spans="1:16380" ht="13.9" x14ac:dyDescent="0.4">
      <c r="A42" s="222">
        <v>12</v>
      </c>
      <c r="B42" s="1" t="s">
        <v>47</v>
      </c>
      <c r="C42" s="2" t="s">
        <v>238</v>
      </c>
      <c r="D42" s="1" t="s">
        <v>239</v>
      </c>
      <c r="E42" s="5" t="s">
        <v>99</v>
      </c>
      <c r="F42" s="12" t="s">
        <v>234</v>
      </c>
      <c r="G42" s="5" t="s">
        <v>39</v>
      </c>
      <c r="H42" s="5">
        <v>9</v>
      </c>
      <c r="I42" s="5" t="s">
        <v>52</v>
      </c>
      <c r="J42" s="5" t="s">
        <v>41</v>
      </c>
      <c r="K42" s="2"/>
      <c r="L42" s="5">
        <v>5</v>
      </c>
      <c r="M42" s="5" t="str">
        <f t="shared" si="13"/>
        <v>2425</v>
      </c>
      <c r="N42" s="1">
        <f>L42*360</f>
        <v>1800</v>
      </c>
      <c r="O42" s="1">
        <f t="shared" si="9"/>
        <v>360</v>
      </c>
      <c r="P42" s="1">
        <v>100</v>
      </c>
      <c r="Q42" s="1">
        <f>N42*0.7</f>
        <v>1260</v>
      </c>
      <c r="R42" s="1">
        <f t="shared" si="10"/>
        <v>360</v>
      </c>
      <c r="S42" s="1">
        <f t="shared" si="12"/>
        <v>50</v>
      </c>
      <c r="T42" s="1" t="s">
        <v>240</v>
      </c>
      <c r="U42" s="1" t="str">
        <f>IF(OR(ISBLANK(Table1[[#This Row],[起始日期]]),Table1[[#This Row],[起始日期]]=""),RIGHT(YEAR(EDATE(Table1[[#This Row],[计划开始时间]],-3)),2) &amp; RIGHT(YEAR(EDATE(Table1[[#This Row],[计划开始时间]],-3))+1,2) &amp; " Q" &amp; ROUNDUP(MONTH(EDATE(Table1[[#This Row],[计划开始时间]],-3))/3,0),RIGHT(YEAR(EDATE(Table1[[#This Row],[起始日期]],-3)),2) &amp; RIGHT(YEAR(EDATE(Table1[[#This Row],[起始日期]],-3))+1,2) &amp; " Q" &amp; ROUNDUP(MONTH(EDATE(Table1[[#This Row],[起始日期]],-3))/3,0))</f>
        <v>2425 Q4</v>
      </c>
      <c r="V42" s="177">
        <v>45728</v>
      </c>
      <c r="W42" s="178">
        <v>45750</v>
      </c>
      <c r="X42" s="1" t="str">
        <f ca="1">IF(
    Table1[[#This Row],[ID]] = 0, "Cancelled",
    IF(
        Table1[[#This Row],[交付YRQTR]] = "TBD", "TBD",
IF(
            ISBLANK(Table1[[#This Row],[计划开始时间]]), "Not Started",
        IF(
            AND(
                NOT(ISBLANK(Table1[[#This Row],[计划开始时间]])),
                Table1[[#This Row],[计划开始时间]] &lt;= TODAY(),
                NOT(ISBLANK(Table1[[#This Row],[结束日期]])),
                Table1[[#This Row],[结束日期]] &lt;= TODAY()
            ),
            "Completed",
            IF(
                OR(
                    AND(
                        Table1[[#This Row],[计划开始时间]] &lt;= TODAY(),
                        ISBLANK(Table1[[#This Row],[结束日期]])
                    ),
                    AND(
                        Table1[[#This Row],[计划开始时间]] &lt;= TODAY(),
                        Table1[[#This Row],[结束日期]] &gt;= TODAY()
                    )
                ),
                "In Progress",
                "Not Started"
            )
        )
    )
))</f>
        <v>Completed</v>
      </c>
      <c r="Y42" s="2"/>
      <c r="Z42" s="302">
        <v>45708</v>
      </c>
      <c r="AA42" s="302">
        <v>45750</v>
      </c>
      <c r="AB42" s="1">
        <v>1260</v>
      </c>
      <c r="AC42" s="213">
        <v>45562</v>
      </c>
      <c r="AD42" s="1"/>
      <c r="AE42" s="1"/>
      <c r="AF42" s="1" t="s">
        <v>46</v>
      </c>
      <c r="AG42" s="1"/>
      <c r="AH42" s="223">
        <f>IF(Table1[[#This Row],[Dev Pmt]]="",Table1[[#This Row],[YR0 开发费用]]-0,Table1[[#This Row],[YR0 开发费用]]-Table1[[#This Row],[Dev Pmt]])</f>
        <v>0</v>
      </c>
    </row>
    <row r="43" spans="1:16380" ht="16.5" customHeight="1" x14ac:dyDescent="0.4">
      <c r="A43" s="222">
        <v>13</v>
      </c>
      <c r="B43" s="1" t="s">
        <v>47</v>
      </c>
      <c r="C43" s="2" t="s">
        <v>241</v>
      </c>
      <c r="D43" s="8" t="s">
        <v>242</v>
      </c>
      <c r="E43" s="5" t="s">
        <v>243</v>
      </c>
      <c r="F43" s="12" t="s">
        <v>244</v>
      </c>
      <c r="G43" s="5" t="s">
        <v>39</v>
      </c>
      <c r="H43" s="5">
        <v>12</v>
      </c>
      <c r="I43" s="5" t="s">
        <v>52</v>
      </c>
      <c r="J43" s="5" t="s">
        <v>41</v>
      </c>
      <c r="K43" s="1"/>
      <c r="L43" s="5">
        <v>8</v>
      </c>
      <c r="M43" s="5" t="str">
        <f t="shared" si="13"/>
        <v>2627</v>
      </c>
      <c r="N43" s="1">
        <f>L43*330</f>
        <v>2640</v>
      </c>
      <c r="O43" s="1">
        <f t="shared" si="9"/>
        <v>528</v>
      </c>
      <c r="P43" s="1">
        <v>100</v>
      </c>
      <c r="Q43" s="1">
        <f>N43</f>
        <v>2640</v>
      </c>
      <c r="R43" s="194">
        <f t="shared" si="10"/>
        <v>528</v>
      </c>
      <c r="S43" s="194">
        <f t="shared" si="12"/>
        <v>50</v>
      </c>
      <c r="T43" s="1" t="s">
        <v>245</v>
      </c>
      <c r="U43" s="1" t="s">
        <v>246</v>
      </c>
      <c r="V43" s="177" t="s">
        <v>44</v>
      </c>
      <c r="W43" s="178" t="s">
        <v>44</v>
      </c>
      <c r="X43" s="1" t="str">
        <f ca="1">IF(
    Table1[[#This Row],[ID]] = 0, "Cancelled",
    IF(
        Table1[[#This Row],[交付YRQTR]] = "TBD", "TBD",
IF(
            ISBLANK(Table1[[#This Row],[计划开始时间]]), "Not Started",
        IF(
            AND(
                NOT(ISBLANK(Table1[[#This Row],[计划开始时间]])),
                Table1[[#This Row],[计划开始时间]] &lt;= TODAY(),
                NOT(ISBLANK(Table1[[#This Row],[结束日期]])),
                Table1[[#This Row],[结束日期]] &lt;= TODAY()
            ),
            "Completed",
            IF(
                OR(
                    AND(
                        Table1[[#This Row],[计划开始时间]] &lt;= TODAY(),
                        ISBLANK(Table1[[#This Row],[结束日期]])
                    ),
                    AND(
                        Table1[[#This Row],[计划开始时间]] &lt;= TODAY(),
                        Table1[[#This Row],[结束日期]] &gt;= TODAY()
                    )
                ),
                "In Progress",
                "Not Started"
            )
        )
    )
))</f>
        <v>Not Started</v>
      </c>
      <c r="Y43" s="2"/>
      <c r="Z43" s="302"/>
      <c r="AA43" s="302"/>
      <c r="AB43" s="1" t="s">
        <v>44</v>
      </c>
      <c r="AC43" s="213"/>
      <c r="AD43" s="1" t="s">
        <v>44</v>
      </c>
      <c r="AE43" s="1"/>
      <c r="AF43" s="1" t="s">
        <v>68</v>
      </c>
      <c r="AG43" s="1"/>
      <c r="AH43" s="223">
        <f>IF(Table1[[#This Row],[Dev Pmt]]="",Table1[[#This Row],[YR0 开发费用]]-0,Table1[[#This Row],[YR0 开发费用]]-Table1[[#This Row],[Dev Pmt]])</f>
        <v>2640</v>
      </c>
    </row>
    <row r="44" spans="1:16380" ht="15.75" customHeight="1" x14ac:dyDescent="0.4">
      <c r="A44" s="222">
        <v>14</v>
      </c>
      <c r="B44" s="1" t="s">
        <v>47</v>
      </c>
      <c r="C44" s="2" t="s">
        <v>247</v>
      </c>
      <c r="D44" s="2" t="s">
        <v>248</v>
      </c>
      <c r="E44" s="5" t="s">
        <v>233</v>
      </c>
      <c r="F44" s="12" t="s">
        <v>249</v>
      </c>
      <c r="G44" s="5" t="s">
        <v>39</v>
      </c>
      <c r="H44" s="5">
        <v>14</v>
      </c>
      <c r="I44" s="5" t="s">
        <v>52</v>
      </c>
      <c r="J44" s="5" t="s">
        <v>41</v>
      </c>
      <c r="K44" s="1"/>
      <c r="L44" s="5">
        <v>10</v>
      </c>
      <c r="M44" s="5" t="str">
        <f t="shared" si="13"/>
        <v>2526</v>
      </c>
      <c r="N44" s="1">
        <f>L44*330</f>
        <v>3300</v>
      </c>
      <c r="O44" s="1">
        <f t="shared" si="9"/>
        <v>660</v>
      </c>
      <c r="P44" s="1">
        <v>100</v>
      </c>
      <c r="Q44" s="1">
        <f>N44</f>
        <v>3300</v>
      </c>
      <c r="R44" s="1">
        <f t="shared" si="10"/>
        <v>660</v>
      </c>
      <c r="S44" s="1">
        <f t="shared" si="12"/>
        <v>50</v>
      </c>
      <c r="T44" s="1" t="s">
        <v>250</v>
      </c>
      <c r="U44" s="1" t="s">
        <v>67</v>
      </c>
      <c r="V44" s="177" t="s">
        <v>44</v>
      </c>
      <c r="W44" s="178" t="s">
        <v>44</v>
      </c>
      <c r="X44" s="1" t="str">
        <f ca="1">IF(
    Table1[[#This Row],[ID]] = 0, "Cancelled",
    IF(
        Table1[[#This Row],[交付YRQTR]] = "TBD", "TBD",
IF(
            ISBLANK(Table1[[#This Row],[计划开始时间]]), "Not Started",
        IF(
            AND(
                NOT(ISBLANK(Table1[[#This Row],[计划开始时间]])),
                Table1[[#This Row],[计划开始时间]] &lt;= TODAY(),
                NOT(ISBLANK(Table1[[#This Row],[结束日期]])),
                Table1[[#This Row],[结束日期]] &lt;= TODAY()
            ),
            "Completed",
            IF(
                OR(
                    AND(
                        Table1[[#This Row],[计划开始时间]] &lt;= TODAY(),
                        ISBLANK(Table1[[#This Row],[结束日期]])
                    ),
                    AND(
                        Table1[[#This Row],[计划开始时间]] &lt;= TODAY(),
                        Table1[[#This Row],[结束日期]] &gt;= TODAY()
                    )
                ),
                "In Progress",
                "Not Started"
            )
        )
    )
))</f>
        <v>Not Started</v>
      </c>
      <c r="Y44" s="2"/>
      <c r="Z44" s="302"/>
      <c r="AA44" s="302"/>
      <c r="AB44" s="1" t="s">
        <v>44</v>
      </c>
      <c r="AC44" s="213"/>
      <c r="AD44" s="1" t="s">
        <v>44</v>
      </c>
      <c r="AE44" s="1"/>
      <c r="AF44" s="1" t="s">
        <v>68</v>
      </c>
      <c r="AG44" s="1"/>
      <c r="AH44" s="223">
        <f>IF(Table1[[#This Row],[Dev Pmt]]="",Table1[[#This Row],[YR0 开发费用]]-0,Table1[[#This Row],[YR0 开发费用]]-Table1[[#This Row],[Dev Pmt]])</f>
        <v>3300</v>
      </c>
    </row>
    <row r="45" spans="1:16380" ht="15.75" customHeight="1" x14ac:dyDescent="0.4">
      <c r="A45" s="222">
        <v>15</v>
      </c>
      <c r="B45" s="1" t="s">
        <v>129</v>
      </c>
      <c r="C45" s="301" t="s">
        <v>251</v>
      </c>
      <c r="D45" s="199" t="s">
        <v>252</v>
      </c>
      <c r="E45" s="5" t="s">
        <v>132</v>
      </c>
      <c r="F45" s="12" t="s">
        <v>253</v>
      </c>
      <c r="G45" s="5" t="s">
        <v>94</v>
      </c>
      <c r="H45" s="5">
        <v>22</v>
      </c>
      <c r="I45" s="5" t="s">
        <v>40</v>
      </c>
      <c r="J45" s="5" t="s">
        <v>65</v>
      </c>
      <c r="K45" s="1"/>
      <c r="L45" s="5">
        <v>15</v>
      </c>
      <c r="M45" s="5" t="str">
        <f t="shared" si="13"/>
        <v>2627</v>
      </c>
      <c r="N45" s="1">
        <f>L45*330</f>
        <v>4950</v>
      </c>
      <c r="O45" s="1">
        <f t="shared" si="9"/>
        <v>990</v>
      </c>
      <c r="P45" s="1">
        <v>100</v>
      </c>
      <c r="Q45" s="1">
        <f>N45*0.7</f>
        <v>3465</v>
      </c>
      <c r="R45" s="1">
        <f t="shared" si="10"/>
        <v>990</v>
      </c>
      <c r="S45" s="1">
        <f t="shared" si="12"/>
        <v>50</v>
      </c>
      <c r="T45" s="1" t="s">
        <v>254</v>
      </c>
      <c r="U45" s="1" t="s">
        <v>54</v>
      </c>
      <c r="V45" s="177"/>
      <c r="W45" s="178" t="s">
        <v>44</v>
      </c>
      <c r="X45" s="1" t="str">
        <f ca="1">IF(
    Table1[[#This Row],[ID]] = 0, "Cancelled",
    IF(
        Table1[[#This Row],[交付YRQTR]] = "TBD", "TBD",
IF(
            ISBLANK(Table1[[#This Row],[计划开始时间]]), "Not Started",
        IF(
            AND(
                NOT(ISBLANK(Table1[[#This Row],[计划开始时间]])),
                Table1[[#This Row],[计划开始时间]] &lt;= TODAY(),
                NOT(ISBLANK(Table1[[#This Row],[结束日期]])),
                Table1[[#This Row],[结束日期]] &lt;= TODAY()
            ),
            "Completed",
            IF(
                OR(
                    AND(
                        Table1[[#This Row],[计划开始时间]] &lt;= TODAY(),
                        ISBLANK(Table1[[#This Row],[结束日期]])
                    ),
                    AND(
                        Table1[[#This Row],[计划开始时间]] &lt;= TODAY(),
                        Table1[[#This Row],[结束日期]] &gt;= TODAY()
                    )
                ),
                "In Progress",
                "Not Started"
            )
        )
    )
))</f>
        <v>Not Started</v>
      </c>
      <c r="Y45" s="2" t="s">
        <v>255</v>
      </c>
      <c r="Z45" s="302"/>
      <c r="AA45" s="302"/>
      <c r="AB45" s="1">
        <f>Table1[[#This Row],[YR0 开发费用]]</f>
        <v>3465</v>
      </c>
      <c r="AC45" s="213">
        <v>45776</v>
      </c>
      <c r="AD45" s="1" t="s">
        <v>44</v>
      </c>
      <c r="AE45" s="1"/>
      <c r="AF45" s="1" t="s">
        <v>55</v>
      </c>
      <c r="AG45" s="1"/>
      <c r="AH45" s="223">
        <f>IF(Table1[[#This Row],[Dev Pmt]]="",Table1[[#This Row],[YR0 开发费用]]-0,Table1[[#This Row],[YR0 开发费用]]-Table1[[#This Row],[Dev Pmt]])</f>
        <v>0</v>
      </c>
    </row>
    <row r="46" spans="1:16380" ht="15.75" customHeight="1" x14ac:dyDescent="0.4">
      <c r="A46" s="222">
        <v>16</v>
      </c>
      <c r="B46" s="1" t="s">
        <v>47</v>
      </c>
      <c r="C46" s="2" t="s">
        <v>256</v>
      </c>
      <c r="D46" s="199" t="s">
        <v>257</v>
      </c>
      <c r="E46" s="5" t="s">
        <v>258</v>
      </c>
      <c r="F46" s="12" t="s">
        <v>173</v>
      </c>
      <c r="G46" s="195" t="s">
        <v>71</v>
      </c>
      <c r="H46" s="195"/>
      <c r="I46" s="195" t="s">
        <v>52</v>
      </c>
      <c r="J46" s="195" t="s">
        <v>41</v>
      </c>
      <c r="K46" s="193"/>
      <c r="L46" s="5">
        <v>5</v>
      </c>
      <c r="M46" s="5">
        <v>2526</v>
      </c>
      <c r="N46" s="193">
        <f>L46*330</f>
        <v>1650</v>
      </c>
      <c r="O46" s="193">
        <f t="shared" si="9"/>
        <v>330</v>
      </c>
      <c r="P46" s="193">
        <v>101</v>
      </c>
      <c r="Q46" s="1">
        <f>N46*0.7</f>
        <v>1155</v>
      </c>
      <c r="R46" s="1">
        <f t="shared" si="10"/>
        <v>330</v>
      </c>
      <c r="S46" s="1">
        <f t="shared" si="12"/>
        <v>50.5</v>
      </c>
      <c r="T46" s="1" t="s">
        <v>259</v>
      </c>
      <c r="U46" s="1" t="s">
        <v>60</v>
      </c>
      <c r="V46" s="177">
        <v>46042</v>
      </c>
      <c r="W46" s="178">
        <f>Table1[[#This Row],[起始日期]]+10</f>
        <v>46052</v>
      </c>
      <c r="X46" s="1" t="s">
        <v>260</v>
      </c>
      <c r="Y46" s="2"/>
      <c r="Z46" s="197">
        <v>46042</v>
      </c>
      <c r="AA46" s="197">
        <f>Table1[[#This Row],[起始日期]]+5</f>
        <v>46047</v>
      </c>
      <c r="AB46" s="1"/>
      <c r="AC46" s="213" t="str">
        <f>IF(OR(Table1[[#This Row],[Dev Pmt]]=0,Table1[[#This Row],[Dev Pmt]]=""),"","2024/9/27")</f>
        <v/>
      </c>
      <c r="AD46" s="1"/>
      <c r="AE46" s="1"/>
      <c r="AF46" s="1"/>
      <c r="AG46" s="1"/>
      <c r="AH46" s="223">
        <f>IF(Table1[[#This Row],[Dev Pmt]]="",Table1[[#This Row],[YR0 开发费用]]-0,Table1[[#This Row],[YR0 开发费用]]-Table1[[#This Row],[Dev Pmt]])</f>
        <v>1155</v>
      </c>
    </row>
    <row r="47" spans="1:16380" ht="111" x14ac:dyDescent="0.4">
      <c r="A47" s="222">
        <v>18</v>
      </c>
      <c r="B47" s="1" t="s">
        <v>129</v>
      </c>
      <c r="C47" s="2" t="s">
        <v>261</v>
      </c>
      <c r="D47" s="199" t="s">
        <v>262</v>
      </c>
      <c r="E47" s="5" t="s">
        <v>132</v>
      </c>
      <c r="F47" s="12" t="s">
        <v>253</v>
      </c>
      <c r="G47" s="5" t="s">
        <v>39</v>
      </c>
      <c r="H47" s="5">
        <v>22</v>
      </c>
      <c r="I47" s="5" t="s">
        <v>40</v>
      </c>
      <c r="J47" s="5" t="s">
        <v>41</v>
      </c>
      <c r="K47" s="1"/>
      <c r="L47" s="5"/>
      <c r="M47" s="5" t="str">
        <f>LEFT(U47,4)</f>
        <v>TBD</v>
      </c>
      <c r="N47" s="1"/>
      <c r="O47" s="1"/>
      <c r="P47" s="1"/>
      <c r="Q47" s="1"/>
      <c r="R47" s="1"/>
      <c r="S47" s="1"/>
      <c r="T47" s="1" t="s">
        <v>263</v>
      </c>
      <c r="U47" s="193" t="s">
        <v>91</v>
      </c>
      <c r="V47" s="197" t="s">
        <v>44</v>
      </c>
      <c r="W47" s="197" t="s">
        <v>44</v>
      </c>
      <c r="X47" s="1" t="str">
        <f ca="1">IF(
    Table1[[#This Row],[ID]] = 0, "Cancelled",
    IF(
        Table1[[#This Row],[交付YRQTR]] = "TBD", "TBD",
IF(
            ISBLANK(Table1[[#This Row],[计划开始时间]]), "Not Started",
        IF(
            AND(
                NOT(ISBLANK(Table1[[#This Row],[计划开始时间]])),
                Table1[[#This Row],[计划开始时间]] &lt;= TODAY(),
                NOT(ISBLANK(Table1[[#This Row],[结束日期]])),
                Table1[[#This Row],[结束日期]] &lt;= TODAY()
            ),
            "Completed",
            IF(
                OR(
                    AND(
                        Table1[[#This Row],[计划开始时间]] &lt;= TODAY(),
                        ISBLANK(Table1[[#This Row],[结束日期]])
                    ),
                    AND(
                        Table1[[#This Row],[计划开始时间]] &lt;= TODAY(),
                        Table1[[#This Row],[结束日期]] &gt;= TODAY()
                    )
                ),
                "In Progress",
                "Not Started"
            )
        )
    )
))</f>
        <v>TBD</v>
      </c>
      <c r="Y47" s="192"/>
      <c r="Z47" s="302"/>
      <c r="AA47" s="302"/>
      <c r="AB47" s="1" t="s">
        <v>44</v>
      </c>
      <c r="AC47" s="213"/>
      <c r="AD47" s="1" t="s">
        <v>44</v>
      </c>
      <c r="AE47" s="1"/>
      <c r="AF47" s="1"/>
      <c r="AG47" s="1"/>
      <c r="AH47" s="223">
        <f>IF(Table1[[#This Row],[Dev Pmt]]="",Table1[[#This Row],[YR0 开发费用]]-0,Table1[[#This Row],[YR0 开发费用]]-Table1[[#This Row],[Dev Pmt]])</f>
        <v>0</v>
      </c>
    </row>
    <row r="48" spans="1:16380" ht="13.9" x14ac:dyDescent="0.4">
      <c r="A48" s="222">
        <v>21</v>
      </c>
      <c r="B48" s="1" t="s">
        <v>47</v>
      </c>
      <c r="C48" s="2" t="s">
        <v>264</v>
      </c>
      <c r="D48" s="12" t="s">
        <v>265</v>
      </c>
      <c r="E48" s="5" t="s">
        <v>119</v>
      </c>
      <c r="F48" s="12" t="s">
        <v>157</v>
      </c>
      <c r="G48" s="5" t="s">
        <v>94</v>
      </c>
      <c r="H48" s="5"/>
      <c r="I48" s="5" t="s">
        <v>52</v>
      </c>
      <c r="J48" s="5" t="s">
        <v>65</v>
      </c>
      <c r="K48" s="1"/>
      <c r="L48" s="5">
        <v>40</v>
      </c>
      <c r="M48" s="5">
        <v>2526</v>
      </c>
      <c r="N48" s="1">
        <f>L48*330</f>
        <v>13200</v>
      </c>
      <c r="O48" s="1">
        <f>N48*0.2</f>
        <v>2640</v>
      </c>
      <c r="P48" s="1">
        <v>100</v>
      </c>
      <c r="Q48" s="1">
        <f>N48</f>
        <v>13200</v>
      </c>
      <c r="R48" s="1">
        <f>SUM(O48)</f>
        <v>2640</v>
      </c>
      <c r="S48" s="1">
        <f>P48*0.5</f>
        <v>50</v>
      </c>
      <c r="T48" s="1" t="s">
        <v>266</v>
      </c>
      <c r="U48" s="193" t="str">
        <f>IF(OR(ISBLANK(Table1[[#This Row],[起始日期]]),Table1[[#This Row],[起始日期]]=""),RIGHT(YEAR(EDATE(Table1[[#This Row],[计划开始时间]],-3)),2) &amp; RIGHT(YEAR(EDATE(Table1[[#This Row],[计划开始时间]],-3))+1,2) &amp; " Q" &amp; ROUNDUP(MONTH(EDATE(Table1[[#This Row],[计划开始时间]],-3))/3,0),RIGHT(YEAR(EDATE(Table1[[#This Row],[起始日期]],-3)),2) &amp; RIGHT(YEAR(EDATE(Table1[[#This Row],[起始日期]],-3))+1,2) &amp; " Q" &amp; ROUNDUP(MONTH(EDATE(Table1[[#This Row],[起始日期]],-3))/3,0))</f>
        <v>2526 Q1</v>
      </c>
      <c r="V48" s="197">
        <v>45768</v>
      </c>
      <c r="W48" s="197">
        <v>45824</v>
      </c>
      <c r="X48" s="1" t="str">
        <f ca="1">IF(
    Table1[[#This Row],[ID]] = 0, "Cancelled",
    IF(
        Table1[[#This Row],[交付YRQTR]] = "TBD", "TBD",
IF(
            ISBLANK(Table1[[#This Row],[计划开始时间]]), "Not Started",
        IF(
            AND(
                NOT(ISBLANK(Table1[[#This Row],[计划开始时间]])),
                Table1[[#This Row],[计划开始时间]] &lt;= TODAY(),
                NOT(ISBLANK(Table1[[#This Row],[结束日期]])),
                Table1[[#This Row],[结束日期]] &lt;= TODAY()
            ),
            "Completed",
            IF(
                OR(
                    AND(
                        Table1[[#This Row],[计划开始时间]] &lt;= TODAY(),
                        ISBLANK(Table1[[#This Row],[结束日期]])
                    ),
                    AND(
                        Table1[[#This Row],[计划开始时间]] &lt;= TODAY(),
                        Table1[[#This Row],[结束日期]] &gt;= TODAY()
                    )
                ),
                "In Progress",
                "Not Started"
            )
        )
    )
))</f>
        <v>Completed</v>
      </c>
      <c r="Y48" s="192"/>
      <c r="Z48" s="302">
        <v>45768</v>
      </c>
      <c r="AA48" s="302">
        <v>45821</v>
      </c>
      <c r="AB48" s="1">
        <v>13200</v>
      </c>
      <c r="AC48" s="213">
        <v>45954</v>
      </c>
      <c r="AD48" s="1"/>
      <c r="AE48" s="1"/>
      <c r="AF48" s="1" t="s">
        <v>68</v>
      </c>
      <c r="AG48" s="1"/>
      <c r="AH48" s="223">
        <f>IF(Table1[[#This Row],[Dev Pmt]]="",Table1[[#This Row],[YR0 开发费用]]-0,Table1[[#This Row],[YR0 开发费用]]-Table1[[#This Row],[Dev Pmt]])</f>
        <v>0</v>
      </c>
    </row>
    <row r="49" spans="1:38" ht="13.9" x14ac:dyDescent="0.4">
      <c r="A49" s="222">
        <v>24</v>
      </c>
      <c r="B49" s="1" t="s">
        <v>47</v>
      </c>
      <c r="C49" s="1" t="s">
        <v>267</v>
      </c>
      <c r="D49" s="12" t="s">
        <v>268</v>
      </c>
      <c r="E49" s="5" t="s">
        <v>119</v>
      </c>
      <c r="F49" s="12" t="s">
        <v>269</v>
      </c>
      <c r="G49" s="5" t="s">
        <v>94</v>
      </c>
      <c r="H49" s="5"/>
      <c r="I49" s="5"/>
      <c r="J49" s="5" t="s">
        <v>270</v>
      </c>
      <c r="K49" s="1"/>
      <c r="L49" s="5">
        <v>50</v>
      </c>
      <c r="M49" s="5">
        <v>2526</v>
      </c>
      <c r="N49" s="1">
        <f>L49*330</f>
        <v>16500</v>
      </c>
      <c r="O49" s="1">
        <f>N49*0.2</f>
        <v>3300</v>
      </c>
      <c r="P49" s="1">
        <v>100</v>
      </c>
      <c r="Q49" s="1">
        <f>N49</f>
        <v>16500</v>
      </c>
      <c r="R49" s="1">
        <f>SUM(O49)</f>
        <v>3300</v>
      </c>
      <c r="S49" s="1">
        <f>P49*0.5</f>
        <v>50</v>
      </c>
      <c r="T49" s="1" t="s">
        <v>271</v>
      </c>
      <c r="U49" s="193" t="s">
        <v>107</v>
      </c>
      <c r="V49" s="197">
        <v>45848</v>
      </c>
      <c r="W49" s="197">
        <v>46051</v>
      </c>
      <c r="X49" s="1" t="str">
        <f ca="1">IF(
    Table1[[#This Row],[ID]] = 0, "Cancelled",
    IF(
        Table1[[#This Row],[交付YRQTR]] = "TBD", "TBD",
IF(
            ISBLANK(Table1[[#This Row],[计划开始时间]]), "Not Started",
        IF(
            AND(
                NOT(ISBLANK(Table1[[#This Row],[计划开始时间]])),
                Table1[[#This Row],[计划开始时间]] &lt;= TODAY(),
                NOT(ISBLANK(Table1[[#This Row],[结束日期]])),
                Table1[[#This Row],[结束日期]] &lt;= TODAY()
            ),
            "Completed",
            IF(
                OR(
                    AND(
                        Table1[[#This Row],[计划开始时间]] &lt;= TODAY(),
                        ISBLANK(Table1[[#This Row],[结束日期]])
                    ),
                    AND(
                        Table1[[#This Row],[计划开始时间]] &lt;= TODAY(),
                        Table1[[#This Row],[结束日期]] &gt;= TODAY()
                    )
                ),
                "In Progress",
                "Not Started"
            )
        )
    )
))</f>
        <v>Completed</v>
      </c>
      <c r="Y49" s="192"/>
      <c r="Z49" s="302">
        <v>45848</v>
      </c>
      <c r="AA49" s="302">
        <v>46043</v>
      </c>
      <c r="AB49" s="1">
        <v>16500</v>
      </c>
      <c r="AC49" s="213">
        <v>46038</v>
      </c>
      <c r="AD49" s="1"/>
      <c r="AE49" s="1"/>
      <c r="AF49" s="1" t="s">
        <v>272</v>
      </c>
      <c r="AG49" s="1"/>
      <c r="AH49" s="223"/>
    </row>
    <row r="50" spans="1:38" ht="15.75" customHeight="1" x14ac:dyDescent="0.4">
      <c r="A50" s="225">
        <v>26</v>
      </c>
      <c r="B50" s="193" t="s">
        <v>47</v>
      </c>
      <c r="C50" s="192" t="s">
        <v>273</v>
      </c>
      <c r="D50" s="193" t="s">
        <v>274</v>
      </c>
      <c r="E50" s="195" t="s">
        <v>275</v>
      </c>
      <c r="F50" s="196" t="s">
        <v>157</v>
      </c>
      <c r="G50" s="195" t="s">
        <v>71</v>
      </c>
      <c r="H50" s="195">
        <v>30</v>
      </c>
      <c r="I50" s="195" t="s">
        <v>52</v>
      </c>
      <c r="J50" s="195" t="s">
        <v>65</v>
      </c>
      <c r="K50" s="193" t="s">
        <v>276</v>
      </c>
      <c r="L50" s="195">
        <v>30</v>
      </c>
      <c r="M50" s="195" t="str">
        <f>LEFT(U50,4)</f>
        <v>2627</v>
      </c>
      <c r="N50" s="193">
        <f>L50*330</f>
        <v>9900</v>
      </c>
      <c r="O50" s="193">
        <f>N50*0.2</f>
        <v>1980</v>
      </c>
      <c r="P50" s="193">
        <v>100</v>
      </c>
      <c r="Q50" s="1">
        <f>N50</f>
        <v>9900</v>
      </c>
      <c r="R50" s="193">
        <f>SUM(O50)</f>
        <v>1980</v>
      </c>
      <c r="S50" s="193">
        <f>P50*0.5</f>
        <v>50</v>
      </c>
      <c r="T50" s="193" t="s">
        <v>277</v>
      </c>
      <c r="U50" s="193" t="s">
        <v>128</v>
      </c>
      <c r="V50" s="197" t="s">
        <v>44</v>
      </c>
      <c r="W50" s="197" t="s">
        <v>44</v>
      </c>
      <c r="X50" s="193" t="str">
        <f ca="1">IF(
    Table1[[#This Row],[ID]] = 0, "Cancelled",
    IF(
        Table1[[#This Row],[交付YRQTR]] = "TBD", "TBD",
IF(
            ISBLANK(Table1[[#This Row],[计划开始时间]]), "Not Started",
        IF(
            AND(
                NOT(ISBLANK(Table1[[#This Row],[计划开始时间]])),
                Table1[[#This Row],[计划开始时间]] &lt;= TODAY(),
                NOT(ISBLANK(Table1[[#This Row],[结束日期]])),
                Table1[[#This Row],[结束日期]] &lt;= TODAY()
            ),
            "Completed",
            IF(
                OR(
                    AND(
                        Table1[[#This Row],[计划开始时间]] &lt;= TODAY(),
                        ISBLANK(Table1[[#This Row],[结束日期]])
                    ),
                    AND(
                        Table1[[#This Row],[计划开始时间]] &lt;= TODAY(),
                        Table1[[#This Row],[结束日期]] &gt;= TODAY()
                    )
                ),
                "In Progress",
                "Not Started"
            )
        )
    )
))</f>
        <v>Not Started</v>
      </c>
      <c r="Y50" s="192"/>
      <c r="Z50" s="302"/>
      <c r="AA50" s="302"/>
      <c r="AB50" s="193" t="s">
        <v>44</v>
      </c>
      <c r="AC50" s="302"/>
      <c r="AD50" s="193" t="s">
        <v>44</v>
      </c>
      <c r="AE50" s="193"/>
      <c r="AF50" s="193" t="s">
        <v>74</v>
      </c>
      <c r="AG50" s="193"/>
      <c r="AH50" s="226">
        <f>IF(Table1[[#This Row],[Dev Pmt]]="",Table1[[#This Row],[YR0 开发费用]]-0,Table1[[#This Row],[YR0 开发费用]]-Table1[[#This Row],[Dev Pmt]])</f>
        <v>9900</v>
      </c>
    </row>
    <row r="51" spans="1:38" ht="14.25" customHeight="1" x14ac:dyDescent="0.4">
      <c r="A51" s="225">
        <v>29</v>
      </c>
      <c r="B51" s="1" t="s">
        <v>278</v>
      </c>
      <c r="C51" s="192" t="s">
        <v>279</v>
      </c>
      <c r="D51" s="196" t="s">
        <v>280</v>
      </c>
      <c r="E51" s="5" t="s">
        <v>281</v>
      </c>
      <c r="F51" s="12" t="s">
        <v>282</v>
      </c>
      <c r="G51" s="195"/>
      <c r="H51" s="195"/>
      <c r="I51" s="195"/>
      <c r="J51" s="195" t="s">
        <v>270</v>
      </c>
      <c r="K51" s="192"/>
      <c r="L51" s="195">
        <v>53</v>
      </c>
      <c r="M51" s="195">
        <v>2627</v>
      </c>
      <c r="N51" s="1">
        <f>L51*330</f>
        <v>17490</v>
      </c>
      <c r="O51" s="1">
        <f>N51*0.2</f>
        <v>3498</v>
      </c>
      <c r="P51" s="1">
        <v>100</v>
      </c>
      <c r="Q51" s="1">
        <f>N51</f>
        <v>17490</v>
      </c>
      <c r="R51" s="193">
        <f>SUM(O51)</f>
        <v>3498</v>
      </c>
      <c r="S51" s="193">
        <f>P51*0.5</f>
        <v>50</v>
      </c>
      <c r="T51" s="1" t="s">
        <v>283</v>
      </c>
      <c r="U51" s="193" t="s">
        <v>54</v>
      </c>
      <c r="V51" s="197">
        <v>46059</v>
      </c>
      <c r="W51" s="197"/>
      <c r="X51" s="1" t="s">
        <v>217</v>
      </c>
      <c r="Y51" s="192"/>
      <c r="Z51" s="302"/>
      <c r="AA51" s="302"/>
      <c r="AB51" s="193">
        <f>Table1[[#This Row],[YR0 开发费用]]</f>
        <v>17490</v>
      </c>
      <c r="AC51" s="327">
        <v>46232</v>
      </c>
      <c r="AD51" s="193"/>
      <c r="AE51" s="302"/>
      <c r="AF51" s="1" t="s">
        <v>284</v>
      </c>
      <c r="AG51" s="193"/>
      <c r="AH51" s="226">
        <f>IF(Table1[[#This Row],[Dev Pmt]]="",Table1[[#This Row],[YR0 开发费用]]-0,Table1[[#This Row],[YR0 开发费用]]-Table1[[#This Row],[Dev Pmt]])</f>
        <v>0</v>
      </c>
    </row>
    <row r="52" spans="1:38" ht="14.25" customHeight="1" x14ac:dyDescent="0.4">
      <c r="A52" s="225">
        <v>30</v>
      </c>
      <c r="B52" s="1" t="s">
        <v>116</v>
      </c>
      <c r="C52" s="192" t="s">
        <v>285</v>
      </c>
      <c r="D52" s="196" t="s">
        <v>286</v>
      </c>
      <c r="E52" s="5" t="s">
        <v>119</v>
      </c>
      <c r="F52" s="12" t="s">
        <v>120</v>
      </c>
      <c r="G52" s="195" t="s">
        <v>94</v>
      </c>
      <c r="H52" s="195"/>
      <c r="I52" s="195" t="s">
        <v>40</v>
      </c>
      <c r="J52" s="195" t="s">
        <v>41</v>
      </c>
      <c r="K52" s="192" t="s">
        <v>287</v>
      </c>
      <c r="L52" s="195">
        <v>40</v>
      </c>
      <c r="M52" s="195" t="str">
        <f>LEFT(U52,4)</f>
        <v>2425</v>
      </c>
      <c r="N52" s="1">
        <f>L52*330+762.24+2008.94</f>
        <v>15971.18</v>
      </c>
      <c r="O52" s="1">
        <f>L52*330*0.2</f>
        <v>2640</v>
      </c>
      <c r="P52" s="1">
        <f>100</f>
        <v>100</v>
      </c>
      <c r="Q52" s="1">
        <f>N52</f>
        <v>15971.18</v>
      </c>
      <c r="R52" s="193">
        <f>SUM(O52)</f>
        <v>2640</v>
      </c>
      <c r="S52" s="193">
        <f>P52</f>
        <v>100</v>
      </c>
      <c r="T52" s="1" t="s">
        <v>288</v>
      </c>
      <c r="U52" s="193" t="str">
        <f>IF(OR(ISBLANK(Table1[[#This Row],[起始日期]]),Table1[[#This Row],[起始日期]]=""),RIGHT(YEAR(EDATE(Table1[[#This Row],[计划开始时间]],-3)),2) &amp; RIGHT(YEAR(EDATE(Table1[[#This Row],[计划开始时间]],-3))+1,2) &amp; " Q" &amp; ROUNDUP(MONTH(EDATE(Table1[[#This Row],[计划开始时间]],-3))/3,0),RIGHT(YEAR(EDATE(Table1[[#This Row],[起始日期]],-3)),2) &amp; RIGHT(YEAR(EDATE(Table1[[#This Row],[起始日期]],-3))+1,2) &amp; " Q" &amp; ROUNDUP(MONTH(EDATE(Table1[[#This Row],[起始日期]],-3))/3,0))</f>
        <v>2425 Q2</v>
      </c>
      <c r="V52" s="197">
        <v>45541</v>
      </c>
      <c r="W52" s="197">
        <v>45625</v>
      </c>
      <c r="X52" s="193" t="str">
        <f ca="1">IF(
    Table1[[#This Row],[ID]] = 0, "Cancelled",
    IF(
        Table1[[#This Row],[交付YRQTR]] = "TBD", "TBD",
IF(
            ISBLANK(Table1[[#This Row],[计划开始时间]]), "Not Started",
        IF(
            AND(
                NOT(ISBLANK(Table1[[#This Row],[计划开始时间]])),
                Table1[[#This Row],[计划开始时间]] &lt;= TODAY(),
                NOT(ISBLANK(Table1[[#This Row],[结束日期]])),
                Table1[[#This Row],[结束日期]] &lt;= TODAY()
            ),
            "Completed",
            IF(
                OR(
                    AND(
                        Table1[[#This Row],[计划开始时间]] &lt;= TODAY(),
                        ISBLANK(Table1[[#This Row],[结束日期]])
                    ),
                    AND(
                        Table1[[#This Row],[计划开始时间]] &lt;= TODAY(),
                        Table1[[#This Row],[结束日期]] &gt;= TODAY()
                    )
                ),
                "In Progress",
                "Not Started"
            )
        )
    )
))</f>
        <v>Completed</v>
      </c>
      <c r="Y52" s="192"/>
      <c r="Z52" s="302">
        <v>45541</v>
      </c>
      <c r="AA52" s="302">
        <v>45625</v>
      </c>
      <c r="AB52" s="193">
        <f>Table1[[#This Row],[YR0 开发费用]]</f>
        <v>15971.18</v>
      </c>
      <c r="AC52" s="302">
        <v>45679</v>
      </c>
      <c r="AD52" s="193">
        <v>2740</v>
      </c>
      <c r="AE52" s="302">
        <v>45776</v>
      </c>
      <c r="AF52" s="1" t="s">
        <v>289</v>
      </c>
      <c r="AG52" s="193"/>
      <c r="AH52" s="226">
        <f>IF(Table1[[#This Row],[Dev Pmt]]="",Table1[[#This Row],[YR0 开发费用]]-0,Table1[[#This Row],[YR0 开发费用]]-Table1[[#This Row],[Dev Pmt]])</f>
        <v>0</v>
      </c>
    </row>
    <row r="53" spans="1:38" ht="13.9" x14ac:dyDescent="0.4">
      <c r="AA53" s="13"/>
    </row>
    <row r="54" spans="1:38" ht="13.9" x14ac:dyDescent="0.4">
      <c r="K54" t="s">
        <v>290</v>
      </c>
      <c r="L54">
        <f>SUM(L2:L52)-SUMIFS(L2:L52,Table1[ID],0)</f>
        <v>1047</v>
      </c>
      <c r="N54">
        <f>SUM(N2:N52)-SUMIFS(N2:N52,Table1[ID],0)</f>
        <v>364601.18000000005</v>
      </c>
      <c r="O54">
        <f>SUM(O2:O52)-SUMIFS(O2:O52,Table1[Function],0)</f>
        <v>116982</v>
      </c>
      <c r="P54">
        <f>SUM(P2:P52)-SUMIFS(P2:P52,Table1[需求],0)</f>
        <v>5001</v>
      </c>
      <c r="Q54" s="13" cm="1">
        <f t="array" ref="Q54">SUM(Q2:Q52)-SUMIFS(Q2:Q52,Table1[ID],0)-SUMIFS(Q2:Q52,Table1[交付YR],“TBD”)</f>
        <v>368121.18000000005</v>
      </c>
      <c r="R54" s="13" cm="1">
        <f t="array" ref="R54">SUM(R2:R52)-SUMIFS(R2:R52,Table1[ID],0)-SUMIFS(R2:R52,Table1[YR0 开发费用（折前）],“TBD”)</f>
        <v>72366</v>
      </c>
      <c r="S54" s="13" cm="1">
        <f t="array" ref="S54">SUM(S2:S52)-SUMIFS(S2:S52,Table1[ID],0)-SUMIFS(S2:S52,Table1[&gt;Y0运营支持费（折前）],“TBD”)</f>
        <v>1500.5</v>
      </c>
      <c r="AA54" s="13"/>
      <c r="AB54">
        <f>SUM(AB2:AB52)-SUMIFS(AB2:AB52,Table1[业务优先级],0)</f>
        <v>338305.18</v>
      </c>
      <c r="AC54" s="13"/>
      <c r="AD54">
        <f>SUM(AD2:AD52)-SUMIFS(AD2:AD52,Table1[开发难易度],0)</f>
        <v>6490</v>
      </c>
    </row>
    <row r="55" spans="1:38" ht="13.9" x14ac:dyDescent="0.4">
      <c r="K55" s="14" t="s">
        <v>291</v>
      </c>
      <c r="L55" s="15"/>
      <c r="N55" s="15">
        <f>N54*0.7</f>
        <v>255220.82600000003</v>
      </c>
      <c r="O55" s="15">
        <f>O54</f>
        <v>116982</v>
      </c>
      <c r="P55" s="15">
        <f>P54*0.5</f>
        <v>2500.5</v>
      </c>
      <c r="Q55" s="15"/>
      <c r="R55" s="15"/>
      <c r="S55" s="15"/>
    </row>
    <row r="56" spans="1:38" ht="13.9" x14ac:dyDescent="0.4">
      <c r="T56" s="8"/>
    </row>
    <row r="57" spans="1:38" ht="13.9" x14ac:dyDescent="0.4">
      <c r="Z57" s="204" t="s">
        <v>292</v>
      </c>
      <c r="AA57" s="204"/>
      <c r="AB57" s="204"/>
      <c r="AI57" s="204" t="s">
        <v>293</v>
      </c>
    </row>
    <row r="58" spans="1:38" ht="55.5" x14ac:dyDescent="0.4">
      <c r="Q58" t="s">
        <v>294</v>
      </c>
      <c r="R58" s="13" t="s">
        <v>295</v>
      </c>
      <c r="S58" s="147" t="s">
        <v>296</v>
      </c>
      <c r="T58" s="147" t="s">
        <v>297</v>
      </c>
      <c r="Y58" s="159" t="s">
        <v>298</v>
      </c>
      <c r="Z58" s="159" t="s">
        <v>299</v>
      </c>
      <c r="AA58" s="159" t="s">
        <v>300</v>
      </c>
      <c r="AB58" s="159" t="s">
        <v>301</v>
      </c>
      <c r="AC58" s="159" t="s">
        <v>302</v>
      </c>
      <c r="AD58" s="159" t="s">
        <v>303</v>
      </c>
      <c r="AE58" s="304" t="s">
        <v>304</v>
      </c>
      <c r="AG58" s="159" t="s">
        <v>298</v>
      </c>
      <c r="AH58" s="159" t="s">
        <v>299</v>
      </c>
      <c r="AI58" s="159" t="s">
        <v>300</v>
      </c>
      <c r="AJ58" s="159" t="s">
        <v>301</v>
      </c>
      <c r="AK58" s="159" t="s">
        <v>302</v>
      </c>
      <c r="AL58" s="159" t="s">
        <v>303</v>
      </c>
    </row>
    <row r="59" spans="1:38" ht="13.9" x14ac:dyDescent="0.4">
      <c r="K59" s="16">
        <v>2425</v>
      </c>
      <c r="Q59">
        <f>SUMIFS(需求评估!$Q:$Q,需求评估!$M:$M,K59)-SUMIFS(需求评估!$Q:$Q,需求评估!$M:$M,K59,$A:$A,0)</f>
        <v>98529.18</v>
      </c>
      <c r="R59">
        <f>SUMIFS(需求评估!$R:$R,需求评估!$M:$M,$K59)-SUMIFS(需求评估!$R:$R,需求评估!$M:$M,$K59,$A:$A,0)</f>
        <v>16248</v>
      </c>
      <c r="S59">
        <f>SUMIFS(需求评估!$S:$S,需求评估!$M:$M,$K59)-SUMIFS(需求评估!$S:$S,需求评估!$M:$M,$K59,$A:$A,0)</f>
        <v>500</v>
      </c>
      <c r="T59">
        <f>SUBTOTAL(9,R59:S59)</f>
        <v>16748</v>
      </c>
      <c r="Y59" s="157">
        <v>45533</v>
      </c>
      <c r="Z59" s="157">
        <v>45545</v>
      </c>
      <c r="AA59" s="157">
        <v>45562</v>
      </c>
      <c r="AB59">
        <f>SUMIFS($AB:$AB,$AC:$AC,AA59)+7056+1260</f>
        <v>42588</v>
      </c>
      <c r="AC59">
        <v>6000068807</v>
      </c>
      <c r="AD59" t="s">
        <v>305</v>
      </c>
      <c r="AE59">
        <v>42588</v>
      </c>
      <c r="AG59" s="157">
        <v>45741</v>
      </c>
      <c r="AH59" s="157">
        <v>45741</v>
      </c>
      <c r="AI59" s="157">
        <v>45776</v>
      </c>
      <c r="AJ59">
        <f>SUMIFS($R:$R,$AE:$AE,AI59)+SUMIFS($S:$S,$AE:$AE,AI59)</f>
        <v>6490</v>
      </c>
      <c r="AK59">
        <v>6099000011</v>
      </c>
      <c r="AL59" t="s">
        <v>306</v>
      </c>
    </row>
    <row r="60" spans="1:38" ht="13.9" x14ac:dyDescent="0.4">
      <c r="K60" s="16">
        <v>2526</v>
      </c>
      <c r="Q60">
        <f>SUMIFS(需求评估!$Q:$Q,需求评估!$M:$M,K60)-SUMIFS(需求评估!$Q:$Q,需求评估!$M:$M,K60,$A:$A,0)</f>
        <v>133797</v>
      </c>
      <c r="R60">
        <f>SUMIFS(需求评估!$R:$R,需求评估!$M:$M,$K60)-SUMIFS(需求评估!$R:$R,需求评估!$M:$M,$K60,$A:$A,0)</f>
        <v>28662</v>
      </c>
      <c r="S60">
        <f>SUMIFS(需求评估!$S:$S,需求评估!$M:$M,$K60)-SUMIFS(需求评估!$S:$S,需求评估!$M:$M,$K60,$A:$A,0)</f>
        <v>550.5</v>
      </c>
      <c r="T60">
        <f t="shared" ref="T60:T61" si="14">SUBTOTAL(9,R60:S60)</f>
        <v>29212.5</v>
      </c>
      <c r="Y60" s="157">
        <v>45649</v>
      </c>
      <c r="Z60" s="157">
        <v>45650</v>
      </c>
      <c r="AA60" s="157">
        <v>45679</v>
      </c>
      <c r="AB60">
        <f>SUMIFS($Q:$Q,$AC:$AC,AA60)-1260</f>
        <v>14711.18</v>
      </c>
      <c r="AC60">
        <v>6000096409</v>
      </c>
      <c r="AD60" t="s">
        <v>307</v>
      </c>
      <c r="AE60">
        <v>14710</v>
      </c>
    </row>
    <row r="61" spans="1:38" ht="13.9" x14ac:dyDescent="0.4">
      <c r="K61" s="16">
        <v>2627</v>
      </c>
      <c r="Q61">
        <f>SUMIFS(需求评估!$Q:$Q,需求评估!$M:$M,K61)-SUMIFS(需求评估!$Q:$Q,需求评估!$M:$M,K61,$A:$A,0)</f>
        <v>135795</v>
      </c>
      <c r="R61">
        <f>SUMIFS(需求评估!$R:$R,需求评估!$M:$M,$K61)-SUMIFS(需求评估!$R:$R,需求评估!$M:$M,$K61,$A:$A,0)</f>
        <v>27456</v>
      </c>
      <c r="S61">
        <f>SUMIFS(需求评估!$S:$S,需求评估!$M:$M,$K61)-SUMIFS(需求评估!$S:$S,需求评估!$M:$M,$K61,$A:$A,0)</f>
        <v>450</v>
      </c>
      <c r="T61">
        <f t="shared" si="14"/>
        <v>27906</v>
      </c>
      <c r="Y61" s="157">
        <v>45741</v>
      </c>
      <c r="Z61" s="157">
        <v>45741</v>
      </c>
      <c r="AA61" s="157">
        <v>45776</v>
      </c>
      <c r="AB61">
        <f>SUMIFS($Q:$Q,$AC:$AC,AA61)-7056</f>
        <v>81466</v>
      </c>
      <c r="AC61">
        <v>6099000011</v>
      </c>
      <c r="AD61" t="s">
        <v>308</v>
      </c>
      <c r="AE61">
        <v>87956</v>
      </c>
      <c r="AF61" t="s">
        <v>309</v>
      </c>
    </row>
    <row r="62" spans="1:38" ht="14.25" customHeight="1" x14ac:dyDescent="0.4">
      <c r="Y62" s="125">
        <v>45909</v>
      </c>
      <c r="Z62" s="125">
        <v>45909</v>
      </c>
      <c r="AA62" s="157">
        <v>45954</v>
      </c>
      <c r="AB62">
        <f>SUMIFS($Q:$Q,$AC:$AC,AA62)-50000</f>
        <v>35200</v>
      </c>
      <c r="AC62">
        <v>8002501871</v>
      </c>
      <c r="AD62" t="s">
        <v>310</v>
      </c>
      <c r="AE62">
        <v>35200</v>
      </c>
    </row>
    <row r="63" spans="1:38" ht="13.9" x14ac:dyDescent="0.4">
      <c r="K63" s="16" t="s">
        <v>311</v>
      </c>
      <c r="Q63">
        <f>SUMIFS(需求评估!$Q:$Q,需求评估!$M:$M,K63)</f>
        <v>0</v>
      </c>
      <c r="R63">
        <f>SUMIFS(需求评估!$R:$R,需求评估!$M:$M,K63)</f>
        <v>0</v>
      </c>
      <c r="S63">
        <f>SUMIFS(需求评估!$S:$S,需求评估!$M:$M,K63)</f>
        <v>0</v>
      </c>
      <c r="T63">
        <f t="shared" ref="T63" si="15">SUBTOTAL(9,R63:S63)</f>
        <v>0</v>
      </c>
      <c r="Y63" s="125">
        <v>46020</v>
      </c>
      <c r="Z63" s="125">
        <v>46020</v>
      </c>
      <c r="AA63" s="157">
        <v>46038</v>
      </c>
      <c r="AB63">
        <f>SUMIFS($Q:$Q,$AC:$AC,AA63)</f>
        <v>23100</v>
      </c>
      <c r="AC63">
        <v>4100184724</v>
      </c>
      <c r="AD63" t="s">
        <v>308</v>
      </c>
      <c r="AE63">
        <v>23100</v>
      </c>
    </row>
    <row r="64" spans="1:38" ht="14.25" customHeight="1" x14ac:dyDescent="0.4">
      <c r="Y64" s="125">
        <v>46085</v>
      </c>
      <c r="Z64" s="125">
        <v>46080</v>
      </c>
      <c r="AA64" s="157">
        <v>46155</v>
      </c>
      <c r="AB64">
        <f>SUMIFS($Q:$Q,$AC:$AC,AA64)</f>
        <v>75900</v>
      </c>
      <c r="AC64">
        <v>4100002461</v>
      </c>
      <c r="AD64" t="s">
        <v>312</v>
      </c>
      <c r="AE64">
        <v>75900</v>
      </c>
    </row>
    <row r="65" spans="17:31" ht="14.25" customHeight="1" x14ac:dyDescent="0.4">
      <c r="Y65" s="157">
        <v>46199</v>
      </c>
      <c r="Z65" s="157">
        <v>46196</v>
      </c>
      <c r="AA65" s="157">
        <v>46232</v>
      </c>
      <c r="AB65">
        <f>SUMIFS($Q:$Q,$AC:$AC,AA65)-Q52</f>
        <v>67518.820000000007</v>
      </c>
      <c r="AC65" s="312">
        <v>8005822882</v>
      </c>
      <c r="AD65" t="s">
        <v>313</v>
      </c>
      <c r="AE65">
        <v>43890</v>
      </c>
    </row>
    <row r="66" spans="17:31" ht="13.9" x14ac:dyDescent="0.4">
      <c r="Q66" s="300">
        <f>SUM(Q59:Q62)</f>
        <v>368121.18</v>
      </c>
      <c r="R66">
        <f>SUM(R59:R62)</f>
        <v>72366</v>
      </c>
      <c r="S66">
        <f>SUM(S59:S62)</f>
        <v>1500.5</v>
      </c>
    </row>
    <row r="71" spans="17:31" ht="13.9" x14ac:dyDescent="0.4">
      <c r="U71" t="s">
        <v>314</v>
      </c>
    </row>
    <row r="72" spans="17:31" ht="13.9" x14ac:dyDescent="0.4">
      <c r="AB72">
        <v>14711.18</v>
      </c>
    </row>
    <row r="73" spans="17:31" ht="14.25" customHeight="1" x14ac:dyDescent="0.4">
      <c r="AB73">
        <v>81466</v>
      </c>
    </row>
  </sheetData>
  <phoneticPr fontId="1" type="noConversion"/>
  <conditionalFormatting sqref="A2:C4 E2:G7 B2:B30 K4:K6 A7:C7 A8:G9 A10:C11 E10:G12 A13:G13 A14:C14 E14:G19 B16:C16 A18:C19 E20:F21 G20:G37 K24:K26 G39:G46 A36:C37 A35:B35 A44:B46 A32:C34 A39:C43">
    <cfRule type="containsText" dxfId="201" priority="164" operator="containsText" text="Warehouse">
      <formula>NOT(ISERROR(SEARCH("Warehouse",A2)))</formula>
    </cfRule>
  </conditionalFormatting>
  <conditionalFormatting sqref="A2:C4 E2:G7 B2:B30 K4:K6 A7:C7 A8:G9 A10:C11 E10:G12 A13:G13 A14:C14 E14:G19 B16:C16 A18:C19 E20:F21 G20:G37 K24:K26 G39:G46">
    <cfRule type="containsText" dxfId="200" priority="163" operator="containsText" text="BI">
      <formula>NOT(ISERROR(SEARCH("BI",A2)))</formula>
    </cfRule>
  </conditionalFormatting>
  <conditionalFormatting sqref="A2:C7 E2:G7 B2:B30 K4:K6 A8:G9 A10:C12 E10:G12 A13:G13 A14:C14 E14:G19 B16:C16 A18:C21 E20:F21 G20:G37 K24:K26 A36:C37 G39:G50">
    <cfRule type="containsText" dxfId="199" priority="162" operator="containsText" text="Transport">
      <formula>NOT(ISERROR(SEARCH("Transport",A2)))</formula>
    </cfRule>
    <cfRule type="containsText" dxfId="198" priority="161" operator="containsText" text="Billing">
      <formula>NOT(ISERROR(SEARCH("Billing",A2)))</formula>
    </cfRule>
    <cfRule type="containsText" dxfId="197" priority="160" operator="containsText" text="Compliance">
      <formula>NOT(ISERROR(SEARCH("Compliance",A2)))</formula>
    </cfRule>
  </conditionalFormatting>
  <conditionalFormatting sqref="A2:C7 E2:G7 B2:B30 K4:K6 A8:G9 A10:C12 E10:G12 A13:G13 A14:C14 E14:G19 B16:C16 A18:C21 E20:F21 G20:G37 K24:K26">
    <cfRule type="cellIs" dxfId="196" priority="159" operator="equal">
      <formula>"Cost"</formula>
    </cfRule>
  </conditionalFormatting>
  <conditionalFormatting sqref="A39:C43 B2:B30 A24:C28 A29:D29 A30:C30 A31:B31 A32:C34 A35:B35 A36:C37 A44:B46 A15:C17 G39:G50 A47:D50">
    <cfRule type="cellIs" dxfId="195" priority="186" operator="equal">
      <formula>"Cost"</formula>
    </cfRule>
  </conditionalFormatting>
  <conditionalFormatting sqref="A22:F23 E47:F50">
    <cfRule type="containsText" dxfId="194" priority="168" operator="containsText" text="Transport">
      <formula>NOT(ISERROR(SEARCH("Transport",A22)))</formula>
    </cfRule>
    <cfRule type="containsText" dxfId="193" priority="167" operator="containsText" text="Billing">
      <formula>NOT(ISERROR(SEARCH("Billing",A22)))</formula>
    </cfRule>
    <cfRule type="containsText" dxfId="192" priority="166" operator="containsText" text="Compliance">
      <formula>NOT(ISERROR(SEARCH("Compliance",A22)))</formula>
    </cfRule>
    <cfRule type="cellIs" dxfId="191" priority="165" operator="equal">
      <formula>"Cost"</formula>
    </cfRule>
    <cfRule type="containsText" dxfId="190" priority="170" operator="containsText" text="Warehouse">
      <formula>NOT(ISERROR(SEARCH("Warehouse",A22)))</formula>
    </cfRule>
    <cfRule type="containsText" dxfId="189" priority="169" operator="containsText" text="Data">
      <formula>NOT(ISERROR(SEARCH("Data",A22)))</formula>
    </cfRule>
  </conditionalFormatting>
  <conditionalFormatting sqref="A38:F38 AA38:AF38 BA38:BF38 CA38:CF38 DA38:DF38 EA38:EF38 FA38:FF38 GA38:GF38 HA38:HF38 IA38:IF38 JA38:JF38 KA38:KF38 LA38:LF38 MA38:MF38 NA38:NF38 OA38:OF38 PA38:PF38 QA38:QF38 RA38:RF38 SA38:SF38 TA38:TF38 UA38:UF38 VA38:VF38 WA38:WF38 XA38:XF38 YA38:YF38 ZA38:ZF38 AAA38:AAF38 ABA38:ABF38 ACA38:ACF38 ADA38:ADF38 AEA38:AEF38 AFA38:AFF38 AGA38:AGF38 AHA38:AHF38 AIA38:AIF38 AJA38:AJF38 AKA38:AKF38 ALA38:ALF38 AMA38:AMF38 ANA38:ANF38 AOA38:AOF38 APA38:APF38 AQA38:AQF38 ARA38:ARF38 ASA38:ASF38 ATA38:ATF38 AUA38:AUF38 AVA38:AVF38 AWA38:AWF38 AXA38:AXF38 AYA38:AYF38 AZA38:AZF38 BAA38:BAF38 BBA38:BBF38 BCA38:BCF38 BDA38:BDF38 BEA38:BEF38 BFA38:BFF38 BGA38:BGF38 BHA38:BHF38 BIA38:BIF38 BJA38:BJF38 BKA38:BKF38 BLA38:BLF38 BMA38:BMF38 BNA38:BNF38 BOA38:BOF38 BPA38:BPF38 BQA38:BQF38 BRA38:BRF38 BSA38:BSF38 BTA38:BTF38 BUA38:BUF38 BVA38:BVF38 BWA38:BWF38 BXA38:BXF38 BYA38:BYF38 BZA38:BZF38 CAA38:CAF38 CBA38:CBF38 CCA38:CCF38 CDA38:CDF38 CEA38:CEF38 CFA38:CFF38 CGA38:CGF38 CHA38:CHF38 CIA38:CIF38 CJA38:CJF38 CKA38:CKF38 CLA38:CLF38 CMA38:CMF38 CNA38:CNF38 COA38:COF38 CPA38:CPF38 CQA38:CQF38 CRA38:CRF38 CSA38:CSF38 CTA38:CTF38 CUA38:CUF38 CVA38:CVF38 CWA38:CWF38 CXA38:CXF38 CYA38:CYF38 CZA38:CZF38 DAA38:DAF38 DBA38:DBF38 DCA38:DCF38 DDA38:DDF38 DEA38:DEF38 DFA38:DFF38 DGA38:DGF38 DHA38:DHF38 DIA38:DIF38 DJA38:DJF38 DKA38:DKF38 DLA38:DLF38 DMA38:DMF38 DNA38:DNF38 DOA38:DOF38 DPA38:DPF38 DQA38:DQF38 DRA38:DRF38 DSA38:DSF38 DTA38:DTF38 DUA38:DUF38 DVA38:DVF38 DWA38:DWF38 DXA38:DXF38 DYA38:DYF38 DZA38:DZF38 EAA38:EAF38 EBA38:EBF38 ECA38:ECF38 EDA38:EDF38 EEA38:EEF38 EFA38:EFF38 EGA38:EGF38 EHA38:EHF38 EIA38:EIF38 EJA38:EJF38 EKA38:EKF38 ELA38:ELF38 EMA38:EMF38 ENA38:ENF38 EOA38:EOF38 EPA38:EPF38 EQA38:EQF38 ERA38:ERF38 ESA38:ESF38 ETA38:ETF38 EUA38:EUF38 EVA38:EVF38 EWA38:EWF38 EXA38:EXF38 EYA38:EYF38 EZA38:EZF38 FAA38:FAF38 FBA38:FBF38 FCA38:FCF38 FDA38:FDF38 FEA38:FEF38 FFA38:FFF38 FGA38:FGF38 FHA38:FHF38 FIA38:FIF38 FJA38:FJF38 FKA38:FKF38 FLA38:FLF38 FMA38:FMF38 FNA38:FNF38 FOA38:FOF38 FPA38:FPF38 FQA38:FQF38 FRA38:FRF38 FSA38:FSF38 FTA38:FTF38 FUA38:FUF38 FVA38:FVF38 FWA38:FWF38 FXA38:FXF38 FYA38:FYF38 FZA38:FZF38 GAA38:GAF38 GBA38:GBF38 GCA38:GCF38 GDA38:GDF38 GEA38:GEF38 GFA38:GFF38 GGA38:GGF38 GHA38:GHF38 GIA38:GIF38 GJA38:GJF38 GKA38:GKF38 GLA38:GLF38 GMA38:GMF38 GNA38:GNF38 GOA38:GOF38 GPA38:GPF38 GQA38:GQF38 GRA38:GRF38 GSA38:GSF38 GTA38:GTF38 GUA38:GUF38 GVA38:GVF38 GWA38:GWF38 GXA38:GXF38 GYA38:GYF38 GZA38:GZF38 HAA38:HAF38 HBA38:HBF38 HCA38:HCF38 HDA38:HDF38 HEA38:HEF38 HFA38:HFF38 HGA38:HGF38 HHA38:HHF38 HIA38:HIF38 HJA38:HJF38 HKA38:HKF38 HLA38:HLF38 HMA38:HMF38 HNA38:HNF38 HOA38:HOF38 HPA38:HPF38 HQA38:HQF38 HRA38:HRF38 HSA38:HSF38 HTA38:HTF38 HUA38:HUF38 HVA38:HVF38 HWA38:HWF38 HXA38:HXF38 HYA38:HYF38 HZA38:HZF38 IAA38:IAF38 IBA38:IBF38 ICA38:ICF38 IDA38:IDF38 IEA38:IEF38 IFA38:IFF38 IGA38:IGF38 IHA38:IHF38 IIA38:IIF38 IJA38:IJF38 IKA38:IKF38 ILA38:ILF38 IMA38:IMF38 INA38:INF38 IOA38:IOF38 IPA38:IPF38 IQA38:IQF38 IRA38:IRF38 ISA38:ISF38 ITA38:ITF38 IUA38:IUF38 IVA38:IVF38 IWA38:IWF38 IXA38:IXF38 IYA38:IYF38 IZA38:IZF38 JAA38:JAF38 JBA38:JBF38 JCA38:JCF38 JDA38:JDF38 JEA38:JEF38 JFA38:JFF38 JGA38:JGF38 JHA38:JHF38 JIA38:JIF38 JJA38:JJF38 JKA38:JKF38 JLA38:JLF38 JMA38:JMF38 JNA38:JNF38 JOA38:JOF38 JPA38:JPF38 JQA38:JQF38 JRA38:JRF38 JSA38:JSF38 JTA38:JTF38 JUA38:JUF38 JVA38:JVF38 JWA38:JWF38 JXA38:JXF38 JYA38:JYF38 JZA38:JZF38 KAA38:KAF38 KBA38:KBF38 KCA38:KCF38 KDA38:KDF38 KEA38:KEF38 KFA38:KFF38 KGA38:KGF38 KHA38:KHF38 KIA38:KIF38 KJA38:KJF38 KKA38:KKF38 KLA38:KLF38 KMA38:KMF38 KNA38:KNF38 KOA38:KOF38 KPA38:KPF38 KQA38:KQF38 KRA38:KRF38 KSA38:KSF38 KTA38:KTF38 KUA38:KUF38 KVA38:KVF38 KWA38:KWF38 KXA38:KXF38 KYA38:KYF38 KZA38:KZF38 LAA38:LAF38 LBA38:LBF38 LCA38:LCF38 LDA38:LDF38 LEA38:LEF38 LFA38:LFF38 LGA38:LGF38 LHA38:LHF38 LIA38:LIF38 LJA38:LJF38 LKA38:LKF38 LLA38:LLF38 LMA38:LMF38 LNA38:LNF38 LOA38:LOF38 LPA38:LPF38 LQA38:LQF38 LRA38:LRF38 LSA38:LSF38 LTA38:LTF38 LUA38:LUF38 LVA38:LVF38 LWA38:LWF38 LXA38:LXF38 LYA38:LYF38 LZA38:LZF38 MAA38:MAF38 MBA38:MBF38 MCA38:MCF38 MDA38:MDF38 MEA38:MEF38 MFA38:MFF38 MGA38:MGF38 MHA38:MHF38 MIA38:MIF38 MJA38:MJF38 MKA38:MKF38 MLA38:MLF38 MMA38:MMF38 MNA38:MNF38 MOA38:MOF38 MPA38:MPF38 MQA38:MQF38 MRA38:MRF38 MSA38:MSF38 MTA38:MTF38 MUA38:MUF38 MVA38:MVF38 MWA38:MWF38 MXA38:MXF38 MYA38:MYF38 MZA38:MZF38 NAA38:NAF38 NBA38:NBF38 NCA38:NCF38 NDA38:NDF38 NEA38:NEF38 NFA38:NFF38 NGA38:NGF38 NHA38:NHF38 NIA38:NIF38 NJA38:NJF38 NKA38:NKF38 NLA38:NLF38 NMA38:NMF38 NNA38:NNF38 NOA38:NOF38 NPA38:NPF38 NQA38:NQF38 NRA38:NRF38 NSA38:NSF38 NTA38:NTF38 NUA38:NUF38 NVA38:NVF38 NWA38:NWF38 NXA38:NXF38 NYA38:NYF38 NZA38:NZF38 OAA38:OAF38 OBA38:OBF38 OCA38:OCF38 ODA38:ODF38 OEA38:OEF38 OFA38:OFF38 OGA38:OGF38 OHA38:OHF38 OIA38:OIF38 OJA38:OJF38 OKA38:OKF38 OLA38:OLF38 OMA38:OMF38 ONA38:ONF38 OOA38:OOF38 OPA38:OPF38 OQA38:OQF38 ORA38:ORF38 OSA38:OSF38 OTA38:OTF38 OUA38:OUF38 OVA38:OVF38 OWA38:OWF38 OXA38:OXF38 OYA38:OYF38 OZA38:OZF38 PAA38:PAF38 PBA38:PBF38 PCA38:PCF38 PDA38:PDF38 PEA38:PEF38 PFA38:PFF38 PGA38:PGF38 PHA38:PHF38 PIA38:PIF38 PJA38:PJF38 PKA38:PKF38 PLA38:PLF38 PMA38:PMF38 PNA38:PNF38 POA38:POF38 PPA38:PPF38 PQA38:PQF38 PRA38:PRF38 PSA38:PSF38 PTA38:PTF38 PUA38:PUF38 PVA38:PVF38 PWA38:PWF38 PXA38:PXF38 PYA38:PYF38 PZA38:PZF38 QAA38:QAF38 QBA38:QBF38 QCA38:QCF38 QDA38:QDF38 QEA38:QEF38 QFA38:QFF38 QGA38:QGF38 QHA38:QHF38 QIA38:QIF38 QJA38:QJF38 QKA38:QKF38 QLA38:QLF38 QMA38:QMF38 QNA38:QNF38 QOA38:QOF38 QPA38:QPF38 QQA38:QQF38 QRA38:QRF38 QSA38:QSF38 QTA38:QTF38 QUA38:QUF38 QVA38:QVF38 QWA38:QWF38 QXA38:QXF38 QYA38:QYF38 QZA38:QZF38 RAA38:RAF38 RBA38:RBF38 RCA38:RCF38 RDA38:RDF38 REA38:REF38 RFA38:RFF38 RGA38:RGF38 RHA38:RHF38 RIA38:RIF38 RJA38:RJF38 RKA38:RKF38 RLA38:RLF38 RMA38:RMF38 RNA38:RNF38 ROA38:ROF38 RPA38:RPF38 RQA38:RQF38 RRA38:RRF38 RSA38:RSF38 RTA38:RTF38 RUA38:RUF38 RVA38:RVF38 RWA38:RWF38 RXA38:RXF38 RYA38:RYF38 RZA38:RZF38 SAA38:SAF38 SBA38:SBF38 SCA38:SCF38 SDA38:SDF38 SEA38:SEF38 SFA38:SFF38 SGA38:SGF38 SHA38:SHF38 SIA38:SIF38 SJA38:SJF38 SKA38:SKF38 SLA38:SLF38 SMA38:SMF38 SNA38:SNF38 SOA38:SOF38 SPA38:SPF38 SQA38:SQF38 SRA38:SRF38 SSA38:SSF38 STA38:STF38 SUA38:SUF38 SVA38:SVF38 SWA38:SWF38 SXA38:SXF38 SYA38:SYF38 SZA38:SZF38 TAA38:TAF38 TBA38:TBF38 TCA38:TCF38 TDA38:TDF38 TEA38:TEF38 TFA38:TFF38 TGA38:TGF38 THA38:THF38 TIA38:TIF38 TJA38:TJF38 TKA38:TKF38 TLA38:TLF38 TMA38:TMF38 TNA38:TNF38 TOA38:TOF38 TPA38:TPF38 TQA38:TQF38 TRA38:TRF38 TSA38:TSF38 TTA38:TTF38 TUA38:TUF38 TVA38:TVF38 TWA38:TWF38 TXA38:TXF38 TYA38:TYF38 TZA38:TZF38 UAA38:UAF38 UBA38:UBF38 UCA38:UCF38 UDA38:UDF38 UEA38:UEF38 UFA38:UFF38 UGA38:UGF38 UHA38:UHF38 UIA38:UIF38 UJA38:UJF38 UKA38:UKF38 ULA38:ULF38 UMA38:UMF38 UNA38:UNF38 UOA38:UOF38 UPA38:UPF38 UQA38:UQF38 URA38:URF38 USA38:USF38 UTA38:UTF38 UUA38:UUF38 UVA38:UVF38 UWA38:UWF38 UXA38:UXF38 UYA38:UYF38 UZA38:UZF38 VAA38:VAF38 VBA38:VBF38 VCA38:VCF38 VDA38:VDF38 VEA38:VEF38 VFA38:VFF38 VGA38:VGF38 VHA38:VHF38 VIA38:VIF38 VJA38:VJF38 VKA38:VKF38 VLA38:VLF38 VMA38:VMF38 VNA38:VNF38 VOA38:VOF38 VPA38:VPF38 VQA38:VQF38 VRA38:VRF38 VSA38:VSF38 VTA38:VTF38 VUA38:VUF38 VVA38:VVF38 VWA38:VWF38 VXA38:VXF38 VYA38:VYF38 VZA38:VZF38 WAA38:WAF38 WBA38:WBF38 WCA38:WCF38 WDA38:WDF38 WEA38:WEF38 WFA38:WFF38 WGA38:WGF38 WHA38:WHF38 WIA38:WIF38 WJA38:WJF38 WKA38:WKF38 WLA38:WLF38 WMA38:WMF38 WNA38:WNF38 WOA38:WOF38 WPA38:WPF38 WQA38:WQF38 WRA38:WRF38 WSA38:WSF38 WTA38:WTF38 WUA38:WUF38 WVA38:WVF38 WWA38:WWF38 WXA38:WXF38 WYA38:WYF38 WZA38:WZF38 XAA38:XAF38 XBA38:XBF38 XCA38:XCF38 XDA38:XDF38 XEA38:XEF38">
    <cfRule type="containsText" dxfId="188" priority="31" operator="containsText" text="Transport">
      <formula>NOT(ISERROR(SEARCH("Transport",A38)))</formula>
    </cfRule>
    <cfRule type="containsText" dxfId="187" priority="33" operator="containsText" text="Warehouse">
      <formula>NOT(ISERROR(SEARCH("Warehouse",A38)))</formula>
    </cfRule>
    <cfRule type="containsText" dxfId="186" priority="30" operator="containsText" text="Billing">
      <formula>NOT(ISERROR(SEARCH("Billing",A38)))</formula>
    </cfRule>
    <cfRule type="containsText" dxfId="185" priority="29" operator="containsText" text="Compliance">
      <formula>NOT(ISERROR(SEARCH("Compliance",A38)))</formula>
    </cfRule>
    <cfRule type="containsText" dxfId="184" priority="32" operator="containsText" text="BI">
      <formula>NOT(ISERROR(SEARCH("BI",A38)))</formula>
    </cfRule>
  </conditionalFormatting>
  <conditionalFormatting sqref="A38:F38 AA38:AF38 BA38:BF38 CA38:CF38 DA38:DF38 EA38:EF38 FA38:FF38 GA38:GF38 HA38:HF38 IA38:IF38 JA38:JF38 KA38:KF38 LA38:LF38 MA38:MF38 NA38:NF38 OA38:OF38 PA38:PF38 QA38:QF38 RA38:RF38 SA38:SF38 TA38:TF38 UA38:UF38 VA38:VF38 WA38:WF38 XA38:XF38 YA38:YF38 ZA38:ZF38 AAA38:AAF38 ABA38:ABF38 ACA38:ACF38 ADA38:ADF38 AEA38:AEF38 AFA38:AFF38 AGA38:AGF38 AHA38:AHF38 AIA38:AIF38 AJA38:AJF38 AKA38:AKF38 ALA38:ALF38 AMA38:AMF38 ANA38:ANF38 AOA38:AOF38 APA38:APF38 AQA38:AQF38 ARA38:ARF38 ASA38:ASF38 ATA38:ATF38 AUA38:AUF38 AVA38:AVF38 AWA38:AWF38 AXA38:AXF38 AYA38:AYF38 AZA38:AZF38 BAA38:BAF38 BBA38:BBF38 BCA38:BCF38 BDA38:BDF38 BEA38:BEF38 BFA38:BFF38 BGA38:BGF38 BHA38:BHF38 BIA38:BIF38 BJA38:BJF38 BKA38:BKF38 BLA38:BLF38 BMA38:BMF38 BNA38:BNF38 BOA38:BOF38 BPA38:BPF38 BQA38:BQF38 BRA38:BRF38 BSA38:BSF38 BTA38:BTF38 BUA38:BUF38 BVA38:BVF38 BWA38:BWF38 BXA38:BXF38 BYA38:BYF38 BZA38:BZF38 CAA38:CAF38 CBA38:CBF38 CCA38:CCF38 CDA38:CDF38 CEA38:CEF38 CFA38:CFF38 CGA38:CGF38 CHA38:CHF38 CIA38:CIF38 CJA38:CJF38 CKA38:CKF38 CLA38:CLF38 CMA38:CMF38 CNA38:CNF38 COA38:COF38 CPA38:CPF38 CQA38:CQF38 CRA38:CRF38 CSA38:CSF38 CTA38:CTF38 CUA38:CUF38 CVA38:CVF38 CWA38:CWF38 CXA38:CXF38 CYA38:CYF38 CZA38:CZF38 DAA38:DAF38 DBA38:DBF38 DCA38:DCF38 DDA38:DDF38 DEA38:DEF38 DFA38:DFF38 DGA38:DGF38 DHA38:DHF38 DIA38:DIF38 DJA38:DJF38 DKA38:DKF38 DLA38:DLF38 DMA38:DMF38 DNA38:DNF38 DOA38:DOF38 DPA38:DPF38 DQA38:DQF38 DRA38:DRF38 DSA38:DSF38 DTA38:DTF38 DUA38:DUF38 DVA38:DVF38 DWA38:DWF38 DXA38:DXF38 DYA38:DYF38 DZA38:DZF38 EAA38:EAF38 EBA38:EBF38 ECA38:ECF38 EDA38:EDF38 EEA38:EEF38 EFA38:EFF38 EGA38:EGF38 EHA38:EHF38 EIA38:EIF38 EJA38:EJF38 EKA38:EKF38 ELA38:ELF38 EMA38:EMF38 ENA38:ENF38 EOA38:EOF38 EPA38:EPF38 EQA38:EQF38 ERA38:ERF38 ESA38:ESF38 ETA38:ETF38 EUA38:EUF38 EVA38:EVF38 EWA38:EWF38 EXA38:EXF38 EYA38:EYF38 EZA38:EZF38 FAA38:FAF38 FBA38:FBF38 FCA38:FCF38 FDA38:FDF38 FEA38:FEF38 FFA38:FFF38 FGA38:FGF38 FHA38:FHF38 FIA38:FIF38 FJA38:FJF38 FKA38:FKF38 FLA38:FLF38 FMA38:FMF38 FNA38:FNF38 FOA38:FOF38 FPA38:FPF38 FQA38:FQF38 FRA38:FRF38 FSA38:FSF38 FTA38:FTF38 FUA38:FUF38 FVA38:FVF38 FWA38:FWF38 FXA38:FXF38 FYA38:FYF38 FZA38:FZF38 GAA38:GAF38 GBA38:GBF38 GCA38:GCF38 GDA38:GDF38 GEA38:GEF38 GFA38:GFF38 GGA38:GGF38 GHA38:GHF38 GIA38:GIF38 GJA38:GJF38 GKA38:GKF38 GLA38:GLF38 GMA38:GMF38 GNA38:GNF38 GOA38:GOF38 GPA38:GPF38 GQA38:GQF38 GRA38:GRF38 GSA38:GSF38 GTA38:GTF38 GUA38:GUF38 GVA38:GVF38 GWA38:GWF38 GXA38:GXF38 GYA38:GYF38 GZA38:GZF38 HAA38:HAF38 HBA38:HBF38 HCA38:HCF38 HDA38:HDF38 HEA38:HEF38 HFA38:HFF38 HGA38:HGF38 HHA38:HHF38 HIA38:HIF38 HJA38:HJF38 HKA38:HKF38 HLA38:HLF38 HMA38:HMF38 HNA38:HNF38 HOA38:HOF38 HPA38:HPF38 HQA38:HQF38 HRA38:HRF38 HSA38:HSF38 HTA38:HTF38 HUA38:HUF38 HVA38:HVF38 HWA38:HWF38 HXA38:HXF38 HYA38:HYF38 HZA38:HZF38 IAA38:IAF38 IBA38:IBF38 ICA38:ICF38 IDA38:IDF38 IEA38:IEF38 IFA38:IFF38 IGA38:IGF38 IHA38:IHF38 IIA38:IIF38 IJA38:IJF38 IKA38:IKF38 ILA38:ILF38 IMA38:IMF38 INA38:INF38 IOA38:IOF38 IPA38:IPF38 IQA38:IQF38 IRA38:IRF38 ISA38:ISF38 ITA38:ITF38 IUA38:IUF38 IVA38:IVF38 IWA38:IWF38 IXA38:IXF38 IYA38:IYF38 IZA38:IZF38 JAA38:JAF38 JBA38:JBF38 JCA38:JCF38 JDA38:JDF38 JEA38:JEF38 JFA38:JFF38 JGA38:JGF38 JHA38:JHF38 JIA38:JIF38 JJA38:JJF38 JKA38:JKF38 JLA38:JLF38 JMA38:JMF38 JNA38:JNF38 JOA38:JOF38 JPA38:JPF38 JQA38:JQF38 JRA38:JRF38 JSA38:JSF38 JTA38:JTF38 JUA38:JUF38 JVA38:JVF38 JWA38:JWF38 JXA38:JXF38 JYA38:JYF38 JZA38:JZF38 KAA38:KAF38 KBA38:KBF38 KCA38:KCF38 KDA38:KDF38 KEA38:KEF38 KFA38:KFF38 KGA38:KGF38 KHA38:KHF38 KIA38:KIF38 KJA38:KJF38 KKA38:KKF38 KLA38:KLF38 KMA38:KMF38 KNA38:KNF38 KOA38:KOF38 KPA38:KPF38 KQA38:KQF38 KRA38:KRF38 KSA38:KSF38 KTA38:KTF38 KUA38:KUF38 KVA38:KVF38 KWA38:KWF38 KXA38:KXF38 KYA38:KYF38 KZA38:KZF38 LAA38:LAF38 LBA38:LBF38 LCA38:LCF38 LDA38:LDF38 LEA38:LEF38 LFA38:LFF38 LGA38:LGF38 LHA38:LHF38 LIA38:LIF38 LJA38:LJF38 LKA38:LKF38 LLA38:LLF38 LMA38:LMF38 LNA38:LNF38 LOA38:LOF38 LPA38:LPF38 LQA38:LQF38 LRA38:LRF38 LSA38:LSF38 LTA38:LTF38 LUA38:LUF38 LVA38:LVF38 LWA38:LWF38 LXA38:LXF38 LYA38:LYF38 LZA38:LZF38 MAA38:MAF38 MBA38:MBF38 MCA38:MCF38 MDA38:MDF38 MEA38:MEF38 MFA38:MFF38 MGA38:MGF38 MHA38:MHF38 MIA38:MIF38 MJA38:MJF38 MKA38:MKF38 MLA38:MLF38 MMA38:MMF38 MNA38:MNF38 MOA38:MOF38 MPA38:MPF38 MQA38:MQF38 MRA38:MRF38 MSA38:MSF38 MTA38:MTF38 MUA38:MUF38 MVA38:MVF38 MWA38:MWF38 MXA38:MXF38 MYA38:MYF38 MZA38:MZF38 NAA38:NAF38 NBA38:NBF38 NCA38:NCF38 NDA38:NDF38 NEA38:NEF38 NFA38:NFF38 NGA38:NGF38 NHA38:NHF38 NIA38:NIF38 NJA38:NJF38 NKA38:NKF38 NLA38:NLF38 NMA38:NMF38 NNA38:NNF38 NOA38:NOF38 NPA38:NPF38 NQA38:NQF38 NRA38:NRF38 NSA38:NSF38 NTA38:NTF38 NUA38:NUF38 NVA38:NVF38 NWA38:NWF38 NXA38:NXF38 NYA38:NYF38 NZA38:NZF38 OAA38:OAF38 OBA38:OBF38 OCA38:OCF38 ODA38:ODF38 OEA38:OEF38 OFA38:OFF38 OGA38:OGF38 OHA38:OHF38 OIA38:OIF38 OJA38:OJF38 OKA38:OKF38 OLA38:OLF38 OMA38:OMF38 ONA38:ONF38 OOA38:OOF38 OPA38:OPF38 OQA38:OQF38 ORA38:ORF38 OSA38:OSF38 OTA38:OTF38 OUA38:OUF38 OVA38:OVF38 OWA38:OWF38 OXA38:OXF38 OYA38:OYF38 OZA38:OZF38 PAA38:PAF38 PBA38:PBF38 PCA38:PCF38 PDA38:PDF38 PEA38:PEF38 PFA38:PFF38 PGA38:PGF38 PHA38:PHF38 PIA38:PIF38 PJA38:PJF38 PKA38:PKF38 PLA38:PLF38 PMA38:PMF38 PNA38:PNF38 POA38:POF38 PPA38:PPF38 PQA38:PQF38 PRA38:PRF38 PSA38:PSF38 PTA38:PTF38 PUA38:PUF38 PVA38:PVF38 PWA38:PWF38 PXA38:PXF38 PYA38:PYF38 PZA38:PZF38 QAA38:QAF38 QBA38:QBF38 QCA38:QCF38 QDA38:QDF38 QEA38:QEF38 QFA38:QFF38 QGA38:QGF38 QHA38:QHF38 QIA38:QIF38 QJA38:QJF38 QKA38:QKF38 QLA38:QLF38 QMA38:QMF38 QNA38:QNF38 QOA38:QOF38 QPA38:QPF38 QQA38:QQF38 QRA38:QRF38 QSA38:QSF38 QTA38:QTF38 QUA38:QUF38 QVA38:QVF38 QWA38:QWF38 QXA38:QXF38 QYA38:QYF38 QZA38:QZF38 RAA38:RAF38 RBA38:RBF38 RCA38:RCF38 RDA38:RDF38 REA38:REF38 RFA38:RFF38 RGA38:RGF38 RHA38:RHF38 RIA38:RIF38 RJA38:RJF38 RKA38:RKF38 RLA38:RLF38 RMA38:RMF38 RNA38:RNF38 ROA38:ROF38 RPA38:RPF38 RQA38:RQF38 RRA38:RRF38 RSA38:RSF38 RTA38:RTF38 RUA38:RUF38 RVA38:RVF38 RWA38:RWF38 RXA38:RXF38 RYA38:RYF38 RZA38:RZF38 SAA38:SAF38 SBA38:SBF38 SCA38:SCF38 SDA38:SDF38 SEA38:SEF38 SFA38:SFF38 SGA38:SGF38 SHA38:SHF38 SIA38:SIF38 SJA38:SJF38 SKA38:SKF38 SLA38:SLF38 SMA38:SMF38 SNA38:SNF38 SOA38:SOF38 SPA38:SPF38 SQA38:SQF38 SRA38:SRF38 SSA38:SSF38 STA38:STF38">
    <cfRule type="cellIs" dxfId="183" priority="28" operator="equal">
      <formula>"Cost"</formula>
    </cfRule>
  </conditionalFormatting>
  <conditionalFormatting sqref="A30:AH36 I38:XEZ38 A39:AH42 A1:AH9 B2:B30 A10:K10 A11:AH11 A12:U12 A13:AH28 A29:U29 A37:B37 A43:C43 A51:D52 A53:B53 A54:AZ55 A56:S56 A57:AZ57 A58:Z61 AL1:AY34 AI1:AK37 M10:U10 W10:AH10 W12:AH12 W29:AH29 AL36:AY37 D37:AH37 E43:AH43 G52:M52 R52:T52 V52:AA52 AD52:AE52 AG52:AZ52 D53:AZ53 U56:AZ56 AK58:AZ58 AG59:AZ59">
    <cfRule type="expression" dxfId="182" priority="73">
      <formula>AND($A1=0,NOT($A1=""))</formula>
    </cfRule>
  </conditionalFormatting>
  <conditionalFormatting sqref="A44:AH48 A49:AE49 A50:P50 A38:H38 A62:AA64 A65:X107 Z2:AA48 AI39:AY50 AG49:AH49 R50:AH50 Q50:Q52 G51:N51 R51:S51 W51:AA51 AC51:AZ51 U51:U52 AB51:AB52 AC60:AZ64 AB65 AF65:AZ107">
    <cfRule type="expression" dxfId="181" priority="27">
      <formula>AND($A2=0,NOT($A2=""))</formula>
    </cfRule>
  </conditionalFormatting>
  <conditionalFormatting sqref="B1:B1048576">
    <cfRule type="containsText" dxfId="180" priority="23" operator="containsText" text="Other">
      <formula>NOT(ISERROR(SEARCH("Other",B1)))</formula>
    </cfRule>
    <cfRule type="containsText" dxfId="179" priority="24" operator="containsText" text="Sourcing">
      <formula>NOT(ISERROR(SEARCH("Sourcing",B1)))</formula>
    </cfRule>
  </conditionalFormatting>
  <conditionalFormatting sqref="B2:B30 A5:C6 A12:C12 A15:C17 A19:C21 A24:C28 A29:D29 A30:C30 A31:B31 A32:C34 A35:B35 A39:C43 A44:B46 A36:C37">
    <cfRule type="containsText" dxfId="178" priority="190" operator="containsText" text="Data">
      <formula>NOT(ISERROR(SEARCH("Data",A2)))</formula>
    </cfRule>
  </conditionalFormatting>
  <conditionalFormatting sqref="B2:B30 A5:C6 A12:C12 A15:C17 A19:C21 A24:C28 A29:D29 A30:C30 A31:B31">
    <cfRule type="containsText" dxfId="177" priority="191" operator="containsText" text="Warehouse">
      <formula>NOT(ISERROR(SEARCH("Warehouse",A2)))</formula>
    </cfRule>
  </conditionalFormatting>
  <conditionalFormatting sqref="B2:B30 A15:C17 A24:C28 A29:D29 A30:C30 A31:B31 A32:C34 A35:B35 A39:C43 A44:B46">
    <cfRule type="containsText" dxfId="176" priority="189" operator="containsText" text="Transport">
      <formula>NOT(ISERROR(SEARCH("Transport",A2)))</formula>
    </cfRule>
    <cfRule type="containsText" dxfId="175" priority="188" operator="containsText" text="Billing">
      <formula>NOT(ISERROR(SEARCH("Billing",A2)))</formula>
    </cfRule>
    <cfRule type="containsText" dxfId="174" priority="187" operator="containsText" text="Compliance">
      <formula>NOT(ISERROR(SEARCH("Compliance",A2)))</formula>
    </cfRule>
  </conditionalFormatting>
  <conditionalFormatting sqref="B2:B30 B47:B52">
    <cfRule type="containsText" dxfId="173" priority="192" operator="containsText" text="Other">
      <formula>NOT(ISERROR(SEARCH("Other",B2)))</formula>
    </cfRule>
  </conditionalFormatting>
  <conditionalFormatting sqref="B26:B37 B39:B46 B1">
    <cfRule type="containsText" dxfId="172" priority="171" operator="containsText" text="Other">
      <formula>NOT(ISERROR(SEARCH("Other",B1)))</formula>
    </cfRule>
  </conditionalFormatting>
  <conditionalFormatting sqref="B38 AB38 BB38 CB38 DB38 EB38 FB38 GB38 HB38 IB38 JB38 KB38 LB38 MB38 NB38 OB38 PB38 QB38 RB38 SB38 TB38 UB38 VB38 WB38 XB38 YB38 ZB38 AAB38 ABB38 ACB38 ADB38 AEB38 AFB38 AGB38 AHB38 AIB38 AJB38 AKB38 ALB38 AMB38 ANB38 AOB38 APB38 AQB38 ARB38 ASB38 ATB38 AUB38 AVB38 AWB38 AXB38 AYB38 AZB38 BAB38 BBB38 BCB38 BDB38 BEB38 BFB38 BGB38 BHB38 BIB38 BJB38 BKB38 BLB38 BMB38 BNB38 BOB38 BPB38 BQB38 BRB38 BSB38 BTB38 BUB38 BVB38 BWB38 BXB38 BYB38 BZB38 CAB38 CBB38 CCB38 CDB38 CEB38 CFB38 CGB38 CHB38 CIB38 CJB38 CKB38 CLB38 CMB38 CNB38 COB38 CPB38 CQB38 CRB38 CSB38 CTB38 CUB38 CVB38 CWB38 CXB38 CYB38 CZB38 DAB38 DBB38 DCB38 DDB38 DEB38 DFB38 DGB38 DHB38 DIB38 DJB38 DKB38 DLB38 DMB38 DNB38 DOB38 DPB38 DQB38 DRB38 DSB38 DTB38 DUB38 DVB38 DWB38 DXB38 DYB38 DZB38 EAB38 EBB38 ECB38 EDB38 EEB38 EFB38 EGB38 EHB38 EIB38 EJB38 EKB38 ELB38 EMB38 ENB38 EOB38 EPB38 EQB38 ERB38 ESB38 ETB38 EUB38 EVB38 EWB38 EXB38 EYB38 EZB38 FAB38 FBB38 FCB38 FDB38 FEB38 FFB38 FGB38 FHB38 FIB38 FJB38 FKB38 FLB38 FMB38 FNB38 FOB38 FPB38 FQB38 FRB38 FSB38 FTB38 FUB38 FVB38 FWB38 FXB38 FYB38 FZB38 GAB38 GBB38 GCB38 GDB38 GEB38 GFB38 GGB38 GHB38 GIB38 GJB38 GKB38 GLB38 GMB38 GNB38 GOB38 GPB38 GQB38 GRB38 GSB38 GTB38 GUB38 GVB38 GWB38 GXB38 GYB38 GZB38 HAB38 HBB38 HCB38 HDB38 HEB38 HFB38 HGB38 HHB38 HIB38 HJB38 HKB38 HLB38 HMB38 HNB38 HOB38 HPB38 HQB38 HRB38 HSB38 HTB38 HUB38 HVB38 HWB38 HXB38 HYB38 HZB38 IAB38 IBB38 ICB38 IDB38 IEB38 IFB38 IGB38 IHB38 IIB38 IJB38 IKB38 ILB38 IMB38 INB38 IOB38 IPB38 IQB38 IRB38 ISB38 ITB38 IUB38 IVB38 IWB38 IXB38 IYB38 IZB38 JAB38 JBB38 JCB38 JDB38 JEB38 JFB38 JGB38 JHB38 JIB38 JJB38 JKB38 JLB38 JMB38 JNB38 JOB38 JPB38 JQB38 JRB38 JSB38 JTB38 JUB38 JVB38 JWB38 JXB38 JYB38 JZB38 KAB38 KBB38 KCB38 KDB38 KEB38 KFB38 KGB38 KHB38 KIB38 KJB38 KKB38 KLB38 KMB38 KNB38 KOB38 KPB38 KQB38 KRB38 KSB38 KTB38 KUB38 KVB38 KWB38 KXB38 KYB38 KZB38 LAB38 LBB38 LCB38 LDB38 LEB38 LFB38 LGB38 LHB38 LIB38 LJB38 LKB38 LLB38 LMB38 LNB38 LOB38 LPB38 LQB38 LRB38 LSB38 LTB38 LUB38 LVB38 LWB38 LXB38 LYB38 LZB38 MAB38 MBB38 MCB38 MDB38 MEB38 MFB38 MGB38 MHB38 MIB38 MJB38 MKB38 MLB38 MMB38 MNB38 MOB38 MPB38 MQB38 MRB38 MSB38 MTB38 MUB38 MVB38 MWB38 MXB38 MYB38 MZB38 NAB38 NBB38 NCB38 NDB38 NEB38 NFB38 NGB38 NHB38 NIB38 NJB38 NKB38 NLB38 NMB38 NNB38 NOB38 NPB38 NQB38 NRB38 NSB38 NTB38 NUB38 NVB38 NWB38 NXB38 NYB38 NZB38 OAB38 OBB38 OCB38 ODB38 OEB38 OFB38 OGB38 OHB38 OIB38 OJB38 OKB38 OLB38 OMB38 ONB38 OOB38 OPB38 OQB38 ORB38 OSB38 OTB38 OUB38 OVB38 OWB38 OXB38 OYB38 OZB38 PAB38 PBB38 PCB38 PDB38 PEB38 PFB38 PGB38 PHB38 PIB38 PJB38 PKB38 PLB38 PMB38 PNB38 POB38 PPB38 PQB38 PRB38 PSB38 PTB38 PUB38 PVB38 PWB38 PXB38 PYB38 PZB38 QAB38 QBB38 QCB38 QDB38 QEB38 QFB38 QGB38 QHB38 QIB38 QJB38 QKB38 QLB38 QMB38 QNB38 QOB38 QPB38 QQB38 QRB38 QSB38 QTB38 QUB38 QVB38 QWB38 QXB38 QYB38 QZB38 RAB38 RBB38 RCB38 RDB38 REB38 RFB38 RGB38 RHB38 RIB38 RJB38 RKB38 RLB38 RMB38 RNB38 ROB38 RPB38 RQB38 RRB38 RSB38 RTB38 RUB38 RVB38 RWB38 RXB38 RYB38 RZB38 SAB38 SBB38 SCB38 SDB38 SEB38 SFB38 SGB38 SHB38 SIB38 SJB38 SKB38 SLB38 SMB38 SNB38 SOB38 SPB38 SQB38 SRB38 SSB38 STB38 SUB38 SVB38 SWB38 SXB38 SYB38 SZB38 TAB38 TBB38 TCB38 TDB38 TEB38 TFB38 TGB38 THB38 TIB38 TJB38 TKB38 TLB38 TMB38 TNB38 TOB38 TPB38 TQB38 TRB38 TSB38 TTB38 TUB38 TVB38 TWB38 TXB38 TYB38 TZB38 UAB38 UBB38 UCB38 UDB38 UEB38 UFB38 UGB38 UHB38 UIB38 UJB38 UKB38 ULB38 UMB38 UNB38 UOB38 UPB38 UQB38 URB38 USB38 UTB38 UUB38 UVB38 UWB38 UXB38 UYB38 UZB38 VAB38 VBB38 VCB38 VDB38 VEB38 VFB38 VGB38 VHB38 VIB38 VJB38 VKB38 VLB38 VMB38 VNB38 VOB38 VPB38 VQB38 VRB38 VSB38 VTB38 VUB38 VVB38 VWB38 VXB38 VYB38 VZB38 WAB38 WBB38 WCB38 WDB38 WEB38 WFB38 WGB38 WHB38 WIB38 WJB38 WKB38 WLB38 WMB38 WNB38 WOB38 WPB38 WQB38 WRB38 WSB38 WTB38 WUB38 WVB38 WWB38 WXB38 WYB38 WZB38 XAB38 XBB38 XCB38 XDB38 XEB38">
    <cfRule type="containsText" dxfId="171" priority="34" operator="containsText" text="Other">
      <formula>NOT(ISERROR(SEARCH("Other",B38)))</formula>
    </cfRule>
  </conditionalFormatting>
  <conditionalFormatting sqref="B51:B52">
    <cfRule type="cellIs" dxfId="170" priority="14" operator="equal">
      <formula>"Cost"</formula>
    </cfRule>
    <cfRule type="containsText" dxfId="169" priority="13" operator="containsText" text="Warehouse">
      <formula>NOT(ISERROR(SEARCH("Warehouse",B51)))</formula>
    </cfRule>
    <cfRule type="containsText" dxfId="168" priority="12" operator="containsText" text="Data">
      <formula>NOT(ISERROR(SEARCH("Data",B51)))</formula>
    </cfRule>
    <cfRule type="containsText" dxfId="167" priority="11" operator="containsText" text="Transport">
      <formula>NOT(ISERROR(SEARCH("Transport",B51)))</formula>
    </cfRule>
    <cfRule type="containsText" dxfId="166" priority="10" operator="containsText" text="Billing">
      <formula>NOT(ISERROR(SEARCH("Billing",B51)))</formula>
    </cfRule>
    <cfRule type="containsText" dxfId="165" priority="9" operator="containsText" text="Compliance">
      <formula>NOT(ISERROR(SEARCH("Compliance",B51)))</formula>
    </cfRule>
    <cfRule type="expression" dxfId="164" priority="8">
      <formula>AND($A51=0,NOT($A51=""))</formula>
    </cfRule>
  </conditionalFormatting>
  <conditionalFormatting sqref="B43:C43">
    <cfRule type="containsText" dxfId="163" priority="182" operator="containsText" text="Data">
      <formula>NOT(ISERROR(SEARCH("Data",B43)))</formula>
    </cfRule>
    <cfRule type="containsText" dxfId="162" priority="183" operator="containsText" text="Warehouse">
      <formula>NOT(ISERROR(SEARCH("Warehouse",B43)))</formula>
    </cfRule>
    <cfRule type="containsText" dxfId="161" priority="181" operator="containsText" text="Transport">
      <formula>NOT(ISERROR(SEARCH("Transport",B43)))</formula>
    </cfRule>
    <cfRule type="containsText" dxfId="160" priority="179" operator="containsText" text="Compliance">
      <formula>NOT(ISERROR(SEARCH("Compliance",B43)))</formula>
    </cfRule>
    <cfRule type="cellIs" dxfId="159" priority="178" operator="equal">
      <formula>"Cost"</formula>
    </cfRule>
    <cfRule type="containsText" dxfId="158" priority="180" operator="containsText" text="Billing">
      <formula>NOT(ISERROR(SEARCH("Billing",B43)))</formula>
    </cfRule>
  </conditionalFormatting>
  <conditionalFormatting sqref="C31">
    <cfRule type="containsText" dxfId="157" priority="177" operator="containsText" text="Warehouse">
      <formula>NOT(ISERROR(SEARCH("Warehouse",C31)))</formula>
    </cfRule>
    <cfRule type="containsText" dxfId="156" priority="176" operator="containsText" text="Data">
      <formula>NOT(ISERROR(SEARCH("Data",C31)))</formula>
    </cfRule>
    <cfRule type="containsText" dxfId="155" priority="175" operator="containsText" text="Transport">
      <formula>NOT(ISERROR(SEARCH("Transport",C31)))</formula>
    </cfRule>
    <cfRule type="containsText" dxfId="154" priority="173" operator="containsText" text="Compliance">
      <formula>NOT(ISERROR(SEARCH("Compliance",C31)))</formula>
    </cfRule>
    <cfRule type="cellIs" dxfId="153" priority="172" operator="equal">
      <formula>"Cost"</formula>
    </cfRule>
    <cfRule type="containsText" dxfId="152" priority="174" operator="containsText" text="Billing">
      <formula>NOT(ISERROR(SEARCH("Billing",C31)))</formula>
    </cfRule>
  </conditionalFormatting>
  <conditionalFormatting sqref="C37">
    <cfRule type="expression" dxfId="151" priority="242">
      <formula>AND($A37=0,NOT($A37=""))</formula>
    </cfRule>
  </conditionalFormatting>
  <conditionalFormatting sqref="D2:D7">
    <cfRule type="containsText" dxfId="150" priority="145" operator="containsText" text="Compliance">
      <formula>NOT(ISERROR(SEARCH("Compliance",D2)))</formula>
    </cfRule>
    <cfRule type="containsText" dxfId="149" priority="147" operator="containsText" text="Transport">
      <formula>NOT(ISERROR(SEARCH("Transport",D2)))</formula>
    </cfRule>
    <cfRule type="containsText" dxfId="148" priority="148" operator="containsText" text="Data">
      <formula>NOT(ISERROR(SEARCH("Data",D2)))</formula>
    </cfRule>
    <cfRule type="containsText" dxfId="147" priority="149" operator="containsText" text="Warehouse">
      <formula>NOT(ISERROR(SEARCH("Warehouse",D2)))</formula>
    </cfRule>
    <cfRule type="containsText" dxfId="146" priority="146" operator="containsText" text="Billing">
      <formula>NOT(ISERROR(SEARCH("Billing",D2)))</formula>
    </cfRule>
    <cfRule type="cellIs" dxfId="145" priority="144" operator="equal">
      <formula>"Cost"</formula>
    </cfRule>
  </conditionalFormatting>
  <conditionalFormatting sqref="D11">
    <cfRule type="containsText" dxfId="144" priority="137" operator="containsText" text="Warehouse">
      <formula>NOT(ISERROR(SEARCH("Warehouse",D11)))</formula>
    </cfRule>
    <cfRule type="cellIs" dxfId="143" priority="132" operator="equal">
      <formula>"Cost"</formula>
    </cfRule>
    <cfRule type="containsText" dxfId="142" priority="133" operator="containsText" text="Compliance">
      <formula>NOT(ISERROR(SEARCH("Compliance",D11)))</formula>
    </cfRule>
    <cfRule type="containsText" dxfId="141" priority="134" operator="containsText" text="Billing">
      <formula>NOT(ISERROR(SEARCH("Billing",D11)))</formula>
    </cfRule>
    <cfRule type="containsText" dxfId="140" priority="135" operator="containsText" text="Transport">
      <formula>NOT(ISERROR(SEARCH("Transport",D11)))</formula>
    </cfRule>
    <cfRule type="containsText" dxfId="139" priority="136" operator="containsText" text="Data">
      <formula>NOT(ISERROR(SEARCH("Data",D11)))</formula>
    </cfRule>
  </conditionalFormatting>
  <conditionalFormatting sqref="D14:D21">
    <cfRule type="containsText" dxfId="138" priority="115" operator="containsText" text="Compliance">
      <formula>NOT(ISERROR(SEARCH("Compliance",D14)))</formula>
    </cfRule>
    <cfRule type="containsText" dxfId="137" priority="116" operator="containsText" text="Billing">
      <formula>NOT(ISERROR(SEARCH("Billing",D14)))</formula>
    </cfRule>
    <cfRule type="containsText" dxfId="136" priority="117" operator="containsText" text="Transport">
      <formula>NOT(ISERROR(SEARCH("Transport",D14)))</formula>
    </cfRule>
    <cfRule type="containsText" dxfId="135" priority="119" operator="containsText" text="Warehouse">
      <formula>NOT(ISERROR(SEARCH("Warehouse",D14)))</formula>
    </cfRule>
    <cfRule type="containsText" dxfId="134" priority="118" operator="containsText" text="Data">
      <formula>NOT(ISERROR(SEARCH("Data",D14)))</formula>
    </cfRule>
    <cfRule type="cellIs" dxfId="133" priority="114" operator="equal">
      <formula>"Cost"</formula>
    </cfRule>
  </conditionalFormatting>
  <conditionalFormatting sqref="D24:D28">
    <cfRule type="containsText" dxfId="132" priority="101" operator="containsText" text="Warehouse">
      <formula>NOT(ISERROR(SEARCH("Warehouse",D24)))</formula>
    </cfRule>
    <cfRule type="containsText" dxfId="131" priority="100" operator="containsText" text="Data">
      <formula>NOT(ISERROR(SEARCH("Data",D24)))</formula>
    </cfRule>
    <cfRule type="containsText" dxfId="130" priority="99" operator="containsText" text="Transport">
      <formula>NOT(ISERROR(SEARCH("Transport",D24)))</formula>
    </cfRule>
    <cfRule type="containsText" dxfId="129" priority="98" operator="containsText" text="Billing">
      <formula>NOT(ISERROR(SEARCH("Billing",D24)))</formula>
    </cfRule>
    <cfRule type="containsText" dxfId="128" priority="97" operator="containsText" text="Compliance">
      <formula>NOT(ISERROR(SEARCH("Compliance",D24)))</formula>
    </cfRule>
    <cfRule type="cellIs" dxfId="127" priority="96" operator="equal">
      <formula>"Cost"</formula>
    </cfRule>
  </conditionalFormatting>
  <conditionalFormatting sqref="E51:E52">
    <cfRule type="expression" dxfId="126" priority="15">
      <formula>AND($A51=0,NOT($A51=""))</formula>
    </cfRule>
    <cfRule type="containsText" dxfId="125" priority="17" operator="containsText" text="Compliance">
      <formula>NOT(ISERROR(SEARCH("Compliance",E51)))</formula>
    </cfRule>
    <cfRule type="containsText" dxfId="124" priority="18" operator="containsText" text="Billing">
      <formula>NOT(ISERROR(SEARCH("Billing",E51)))</formula>
    </cfRule>
    <cfRule type="containsText" dxfId="123" priority="19" operator="containsText" text="Transport">
      <formula>NOT(ISERROR(SEARCH("Transport",E51)))</formula>
    </cfRule>
    <cfRule type="cellIs" dxfId="122" priority="16" operator="equal">
      <formula>"Cost"</formula>
    </cfRule>
    <cfRule type="containsText" dxfId="121" priority="21" operator="containsText" text="Warehouse">
      <formula>NOT(ISERROR(SEARCH("Warehouse",E51)))</formula>
    </cfRule>
    <cfRule type="containsText" dxfId="120" priority="20" operator="containsText" text="BI">
      <formula>NOT(ISERROR(SEARCH("BI",E51)))</formula>
    </cfRule>
  </conditionalFormatting>
  <conditionalFormatting sqref="E24:F34 D30:D34 B35 D36:F37 D39:D42 E39:F43 D44 B44:B46 A47:D50">
    <cfRule type="containsText" dxfId="119" priority="91" operator="containsText" text="Compliance">
      <formula>NOT(ISERROR(SEARCH("Compliance",A24)))</formula>
    </cfRule>
    <cfRule type="containsText" dxfId="118" priority="92" operator="containsText" text="Billing">
      <formula>NOT(ISERROR(SEARCH("Billing",A24)))</formula>
    </cfRule>
    <cfRule type="containsText" dxfId="117" priority="94" operator="containsText" text="Data">
      <formula>NOT(ISERROR(SEARCH("Data",A24)))</formula>
    </cfRule>
    <cfRule type="containsText" dxfId="116" priority="93" operator="containsText" text="Transport">
      <formula>NOT(ISERROR(SEARCH("Transport",A24)))</formula>
    </cfRule>
    <cfRule type="containsText" dxfId="115" priority="95" operator="containsText" text="Warehouse">
      <formula>NOT(ISERROR(SEARCH("Warehouse",A24)))</formula>
    </cfRule>
  </conditionalFormatting>
  <conditionalFormatting sqref="E24:F34 D30:D34 B35 D36:F37 D39:D42 E39:F43 D44 B44:B46">
    <cfRule type="cellIs" dxfId="114" priority="90" operator="equal">
      <formula>"Cost"</formula>
    </cfRule>
  </conditionalFormatting>
  <conditionalFormatting sqref="E35:F35">
    <cfRule type="containsText" dxfId="113" priority="64" operator="containsText" text="Billing">
      <formula>NOT(ISERROR(SEARCH("Billing",E35)))</formula>
    </cfRule>
    <cfRule type="containsText" dxfId="112" priority="65" operator="containsText" text="Transport">
      <formula>NOT(ISERROR(SEARCH("Transport",E35)))</formula>
    </cfRule>
    <cfRule type="containsText" dxfId="111" priority="66" operator="containsText" text="BI">
      <formula>NOT(ISERROR(SEARCH("BI",E35)))</formula>
    </cfRule>
    <cfRule type="containsText" dxfId="110" priority="67" operator="containsText" text="Warehouse">
      <formula>NOT(ISERROR(SEARCH("Warehouse",E35)))</formula>
    </cfRule>
    <cfRule type="containsText" dxfId="109" priority="63" operator="containsText" text="Compliance">
      <formula>NOT(ISERROR(SEARCH("Compliance",E35)))</formula>
    </cfRule>
    <cfRule type="cellIs" dxfId="108" priority="62" operator="equal">
      <formula>"Cost"</formula>
    </cfRule>
  </conditionalFormatting>
  <conditionalFormatting sqref="F51:F52">
    <cfRule type="expression" dxfId="107" priority="22">
      <formula>AND($A51=0,NOT($A51=""))</formula>
    </cfRule>
  </conditionalFormatting>
  <conditionalFormatting sqref="G2:G37 G39:G50">
    <cfRule type="cellIs" dxfId="106" priority="75" operator="equal">
      <formula>"中"</formula>
    </cfRule>
    <cfRule type="cellIs" dxfId="105" priority="74" operator="equal">
      <formula>"低"</formula>
    </cfRule>
    <cfRule type="cellIs" dxfId="104" priority="76" operator="equal">
      <formula>"高"</formula>
    </cfRule>
  </conditionalFormatting>
  <conditionalFormatting sqref="G41 G47:G50">
    <cfRule type="containsText" dxfId="103" priority="26" operator="containsText" text="Warehouse">
      <formula>NOT(ISERROR(SEARCH("Warehouse",G41)))</formula>
    </cfRule>
    <cfRule type="containsText" dxfId="102" priority="25" operator="containsText" text="Data">
      <formula>NOT(ISERROR(SEARCH("Data",G41)))</formula>
    </cfRule>
  </conditionalFormatting>
  <conditionalFormatting sqref="K4:K6 K24:K26">
    <cfRule type="cellIs" dxfId="101" priority="158" operator="equal">
      <formula>"高"</formula>
    </cfRule>
    <cfRule type="cellIs" dxfId="100" priority="156" operator="equal">
      <formula>"低"</formula>
    </cfRule>
    <cfRule type="cellIs" dxfId="99" priority="157" operator="equal">
      <formula>"中"</formula>
    </cfRule>
  </conditionalFormatting>
  <conditionalFormatting sqref="N52">
    <cfRule type="expression" dxfId="98" priority="5">
      <formula>AND($A52=0,NOT($A52=""))</formula>
    </cfRule>
  </conditionalFormatting>
  <conditionalFormatting sqref="O51:O52">
    <cfRule type="expression" dxfId="97" priority="7">
      <formula>AND($A51=0,NOT($A51=""))</formula>
    </cfRule>
  </conditionalFormatting>
  <conditionalFormatting sqref="P51:P52">
    <cfRule type="expression" dxfId="96" priority="6">
      <formula>AND($A51=0,NOT($A51=""))</formula>
    </cfRule>
  </conditionalFormatting>
  <conditionalFormatting sqref="T51">
    <cfRule type="expression" dxfId="95" priority="4">
      <formula>AND($A51=0,NOT($A51=""))</formula>
    </cfRule>
  </conditionalFormatting>
  <conditionalFormatting sqref="T56">
    <cfRule type="expression" dxfId="94" priority="228">
      <formula>AND($A53=0,NOT($A53=""))</formula>
    </cfRule>
  </conditionalFormatting>
  <conditionalFormatting sqref="V10">
    <cfRule type="expression" dxfId="93" priority="54">
      <formula>AND($A10=0,NOT($A10=""))</formula>
    </cfRule>
  </conditionalFormatting>
  <conditionalFormatting sqref="V12">
    <cfRule type="expression" dxfId="92" priority="53">
      <formula>AND($A12=0,NOT($A12=""))</formula>
    </cfRule>
  </conditionalFormatting>
  <conditionalFormatting sqref="V29">
    <cfRule type="expression" dxfId="91" priority="52">
      <formula>AND($A29=0,NOT($A29=""))</formula>
    </cfRule>
  </conditionalFormatting>
  <conditionalFormatting sqref="V49">
    <cfRule type="expression" dxfId="90" priority="246">
      <formula>AND($A51=0,NOT($A51=""))</formula>
    </cfRule>
  </conditionalFormatting>
  <conditionalFormatting sqref="Y65:AA65 AD65:AE65 Y66:AE108">
    <cfRule type="expression" dxfId="89" priority="244">
      <formula>AND($A64=0,NOT($A64=""))</formula>
    </cfRule>
  </conditionalFormatting>
  <conditionalFormatting sqref="AA58:AB59 AB60:AB64">
    <cfRule type="expression" dxfId="88" priority="194">
      <formula>AND($A59=0,NOT($A59=""))</formula>
    </cfRule>
  </conditionalFormatting>
  <conditionalFormatting sqref="AC52">
    <cfRule type="expression" dxfId="87" priority="3">
      <formula>AND($A52=0,NOT($A52=""))</formula>
    </cfRule>
  </conditionalFormatting>
  <conditionalFormatting sqref="AF49">
    <cfRule type="expression" dxfId="86" priority="2">
      <formula>AND($A49=0,NOT($A49=""))</formula>
    </cfRule>
  </conditionalFormatting>
  <conditionalFormatting sqref="AF52">
    <cfRule type="expression" dxfId="85" priority="1">
      <formula>AND($A52=0,NOT($A52=""))</formula>
    </cfRule>
  </conditionalFormatting>
  <conditionalFormatting sqref="AG58:AH58">
    <cfRule type="expression" dxfId="84" priority="68">
      <formula>AND($A58=0,NOT($A58=""))</formula>
    </cfRule>
  </conditionalFormatting>
  <conditionalFormatting sqref="AI58">
    <cfRule type="expression" dxfId="83" priority="70">
      <formula>AND($A59=0,NOT($A59=""))</formula>
    </cfRule>
  </conditionalFormatting>
  <conditionalFormatting sqref="AJ58:AJ59">
    <cfRule type="expression" dxfId="82" priority="69">
      <formula>AND($A59=0,NOT($A59=""))</formula>
    </cfRule>
  </conditionalFormatting>
  <conditionalFormatting sqref="AL35:AY35">
    <cfRule type="expression" dxfId="81" priority="225">
      <formula>AND($A49=0,NOT($A49=""))</formula>
    </cfRule>
  </conditionalFormatting>
  <conditionalFormatting sqref="AL49:AY49">
    <cfRule type="expression" dxfId="80" priority="226">
      <formula>AND(#REF!=0,NOT(#REF!=""))</formula>
    </cfRule>
  </conditionalFormatting>
  <dataValidations count="5">
    <dataValidation type="list" allowBlank="1" showInputMessage="1" showErrorMessage="1" sqref="B18:B46 B1:B5 B7:B16 B49:B1048576" xr:uid="{12BCDF8F-1663-4B45-AEDF-E9484AFB4040}">
      <formula1>"Warehouse, Transport, Billing, Compliance, Cost, BI"</formula1>
    </dataValidation>
    <dataValidation type="list" allowBlank="1" showInputMessage="1" showErrorMessage="1" sqref="B17" xr:uid="{719398C8-99DD-4BF0-8DF2-25DB946E193E}">
      <formula1>"Warehouse, Transport, Sourcing, Billing, Compliance, Cost, BI"</formula1>
    </dataValidation>
    <dataValidation type="list" allowBlank="1" showInputMessage="1" showErrorMessage="1" sqref="B6" xr:uid="{F5431AD1-1BA0-4247-99A4-D096B5937EAA}">
      <formula1>"Warehouse, Transport, Sourcing, Billing, Compliance, Cost, BI,Other"</formula1>
    </dataValidation>
    <dataValidation type="list" allowBlank="1" showInputMessage="1" showErrorMessage="1" sqref="B47:B49" xr:uid="{34CB8AAB-327F-4615-83FB-5F1C2673E5A9}">
      <formula1>"Warehouse, Transport, Billing, Data, Compliance, Cost"</formula1>
    </dataValidation>
    <dataValidation type="list" allowBlank="1" showInputMessage="1" showErrorMessage="1" sqref="G2:G52" xr:uid="{923D9D18-58CA-4486-95D5-E70801F7DE80}">
      <formula1>"高, 中,低,TBD"</formula1>
    </dataValidation>
  </dataValidations>
  <pageMargins left="0.7" right="0.7" top="0.75" bottom="0.75" header="0.3" footer="0.3"/>
  <pageSetup paperSize="9" orientation="portrait" r:id="rId1"/>
  <drawing r:id="rId2"/>
  <legacyDrawing r:id="rId3"/>
  <tableParts count="1">
    <tablePart r:id="rId4"/>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FA987-864C-42AB-BC62-6887F64166FD}">
  <sheetPr>
    <tabColor theme="7"/>
  </sheetPr>
  <dimension ref="A1:R28"/>
  <sheetViews>
    <sheetView topLeftCell="A7" zoomScale="85" zoomScaleNormal="85" workbookViewId="0">
      <selection activeCell="C41" sqref="C41"/>
    </sheetView>
  </sheetViews>
  <sheetFormatPr defaultRowHeight="13.9" x14ac:dyDescent="0.4"/>
  <cols>
    <col min="2" max="2" width="27.59765625" style="4" bestFit="1" customWidth="1"/>
    <col min="3" max="3" width="37" style="4" customWidth="1"/>
    <col min="4" max="4" width="11.73046875" customWidth="1"/>
    <col min="5" max="5" width="9.73046875" customWidth="1"/>
    <col min="6" max="6" width="13.3984375" bestFit="1" customWidth="1"/>
    <col min="7" max="7" width="16.1328125" bestFit="1" customWidth="1"/>
    <col min="8" max="9" width="13.1328125" customWidth="1"/>
    <col min="10" max="10" width="11.3984375" bestFit="1" customWidth="1"/>
    <col min="11" max="11" width="11.3984375" customWidth="1"/>
    <col min="12" max="12" width="27.59765625" bestFit="1" customWidth="1"/>
    <col min="13" max="13" width="12.3984375" customWidth="1"/>
    <col min="14" max="14" width="17.59765625" bestFit="1" customWidth="1"/>
    <col min="15" max="15" width="11.3984375" bestFit="1" customWidth="1"/>
    <col min="16" max="16" width="13.73046875" customWidth="1"/>
    <col min="17" max="17" width="11.1328125" bestFit="1" customWidth="1"/>
  </cols>
  <sheetData>
    <row r="1" spans="1:18" ht="27.75" x14ac:dyDescent="0.4">
      <c r="A1" s="9" t="s">
        <v>315</v>
      </c>
      <c r="B1" s="9" t="s">
        <v>316</v>
      </c>
      <c r="C1" s="7" t="s">
        <v>317</v>
      </c>
      <c r="D1" s="9" t="s">
        <v>7</v>
      </c>
      <c r="E1" s="9" t="s">
        <v>318</v>
      </c>
      <c r="F1" s="9" t="s">
        <v>319</v>
      </c>
      <c r="G1" s="9" t="s">
        <v>320</v>
      </c>
      <c r="H1" s="9" t="s">
        <v>321</v>
      </c>
      <c r="I1" s="11" t="s">
        <v>322</v>
      </c>
      <c r="J1" s="11" t="s">
        <v>323</v>
      </c>
      <c r="L1" s="9" t="s">
        <v>316</v>
      </c>
      <c r="M1" s="11" t="s">
        <v>324</v>
      </c>
      <c r="N1" s="11" t="s">
        <v>325</v>
      </c>
      <c r="O1" s="11" t="s">
        <v>326</v>
      </c>
      <c r="P1" s="11" t="s">
        <v>327</v>
      </c>
      <c r="Q1" s="11" t="s">
        <v>326</v>
      </c>
    </row>
    <row r="2" spans="1:18" x14ac:dyDescent="0.4">
      <c r="A2" s="5">
        <v>2</v>
      </c>
      <c r="B2" s="5" t="s">
        <v>166</v>
      </c>
      <c r="C2" s="1"/>
      <c r="D2" s="5">
        <v>1</v>
      </c>
      <c r="E2" s="5">
        <f>VLOOKUP(B2,需求评估!$C:$L,10,0)</f>
        <v>15</v>
      </c>
      <c r="F2" s="5">
        <v>2425</v>
      </c>
      <c r="G2" s="161">
        <f t="shared" ref="G2:G11" si="0">VLOOKUP(B2,$B$15:$J$28,2,0)</f>
        <v>45505</v>
      </c>
      <c r="H2" s="161">
        <f t="shared" ref="H2:H11" si="1">VLOOKUP(B2,$B$15:$J$28,3,0)</f>
        <v>45536</v>
      </c>
      <c r="I2" s="1" t="s">
        <v>328</v>
      </c>
      <c r="J2" s="70">
        <f>SUMIFS(需求评估!$Q:$Q,需求评估!$C:$C,'2425财年需求时间安排'!$B2,需求评估!$M:$M,'2425财年需求时间安排'!$F2)</f>
        <v>3779.9999999999995</v>
      </c>
      <c r="L2" s="71" t="s">
        <v>166</v>
      </c>
      <c r="M2" s="70">
        <v>3779.9999999999995</v>
      </c>
      <c r="N2" s="1"/>
      <c r="O2" s="148">
        <f>$J2-M2</f>
        <v>0</v>
      </c>
      <c r="Q2" s="148">
        <f>$J2-P2-M2</f>
        <v>0</v>
      </c>
    </row>
    <row r="3" spans="1:18" x14ac:dyDescent="0.4">
      <c r="A3" s="5">
        <v>4</v>
      </c>
      <c r="B3" s="5" t="s">
        <v>190</v>
      </c>
      <c r="C3" s="2"/>
      <c r="D3" s="5">
        <v>2</v>
      </c>
      <c r="E3" s="5">
        <f>VLOOKUP(B3,需求评估!$C:$L,10,0)</f>
        <v>15</v>
      </c>
      <c r="F3" s="5">
        <v>2425</v>
      </c>
      <c r="G3" s="161">
        <f t="shared" si="0"/>
        <v>45537</v>
      </c>
      <c r="H3" s="161">
        <f t="shared" si="1"/>
        <v>45565</v>
      </c>
      <c r="I3" s="1" t="s">
        <v>328</v>
      </c>
      <c r="J3" s="70">
        <f>SUMIFS(需求评估!$Q:$Q,需求评估!$C:$C,'2425财年需求时间安排'!$B3,需求评估!$M:$M,'2425财年需求时间安排'!$F3)</f>
        <v>3779.9999999999995</v>
      </c>
      <c r="L3" s="71" t="s">
        <v>190</v>
      </c>
      <c r="M3" s="70">
        <v>3779.9999999999995</v>
      </c>
      <c r="N3" s="1"/>
      <c r="O3" s="148">
        <f t="shared" ref="O3:O11" si="2">J3-M3</f>
        <v>0</v>
      </c>
      <c r="Q3" s="148">
        <f t="shared" ref="Q3:Q11" si="3">$J3-P3-M3</f>
        <v>0</v>
      </c>
    </row>
    <row r="4" spans="1:18" x14ac:dyDescent="0.4">
      <c r="A4" s="5">
        <v>3</v>
      </c>
      <c r="B4" s="5" t="s">
        <v>171</v>
      </c>
      <c r="C4" s="1" t="s">
        <v>174</v>
      </c>
      <c r="D4" s="5">
        <v>3</v>
      </c>
      <c r="E4" s="5">
        <f>VLOOKUP(B4,需求评估!$C:$L,10,0)</f>
        <v>20</v>
      </c>
      <c r="F4" s="5">
        <v>2425</v>
      </c>
      <c r="G4" s="161">
        <f t="shared" si="0"/>
        <v>45573</v>
      </c>
      <c r="H4" s="125">
        <f t="shared" si="1"/>
        <v>45703</v>
      </c>
      <c r="I4" s="1" t="s">
        <v>102</v>
      </c>
      <c r="J4" s="69">
        <f>SUMIFS(需求评估!$Q:$Q,需求评估!$C:$C,'2425财年需求时间安排'!$B4,需求评估!$M:$M,'2425财年需求时间安排'!$F4)</f>
        <v>5040</v>
      </c>
      <c r="L4" s="5" t="s">
        <v>171</v>
      </c>
      <c r="M4" s="69">
        <v>5040</v>
      </c>
      <c r="N4" s="1"/>
      <c r="O4" s="148">
        <f t="shared" si="2"/>
        <v>0</v>
      </c>
      <c r="Q4" s="148">
        <f t="shared" si="3"/>
        <v>0</v>
      </c>
    </row>
    <row r="5" spans="1:18" x14ac:dyDescent="0.4">
      <c r="A5" s="162">
        <v>5</v>
      </c>
      <c r="B5" s="162" t="s">
        <v>197</v>
      </c>
      <c r="C5" s="163"/>
      <c r="D5" s="162">
        <v>4</v>
      </c>
      <c r="E5" s="162">
        <f>VLOOKUP(B5,需求评估!$C:$L,10,0)</f>
        <v>5</v>
      </c>
      <c r="F5" s="5">
        <v>2526</v>
      </c>
      <c r="G5" s="164"/>
      <c r="H5" s="164"/>
      <c r="I5" s="163" t="s">
        <v>329</v>
      </c>
      <c r="J5" s="165">
        <f>SUMIFS(需求评估!$Q:$Q,需求评估!$C:$C,'2425财年需求时间安排'!$B5,需求评估!$M:$M,'2425财年需求时间安排'!$F5)</f>
        <v>1260</v>
      </c>
      <c r="L5" s="155" t="s">
        <v>197</v>
      </c>
      <c r="M5" s="136">
        <v>1260</v>
      </c>
      <c r="N5" s="156" t="s">
        <v>330</v>
      </c>
      <c r="O5" s="148">
        <f>0-M5</f>
        <v>-1260</v>
      </c>
      <c r="Q5" s="148">
        <f>0-P5-M5</f>
        <v>-1260</v>
      </c>
    </row>
    <row r="6" spans="1:18" ht="55.5" x14ac:dyDescent="0.4">
      <c r="A6" s="5">
        <v>6</v>
      </c>
      <c r="B6" s="5" t="s">
        <v>206</v>
      </c>
      <c r="C6" s="2" t="s">
        <v>331</v>
      </c>
      <c r="D6" s="5">
        <v>5</v>
      </c>
      <c r="E6" s="5">
        <f>VLOOKUP(B6,需求评估!$C:$L,10,0)</f>
        <v>70</v>
      </c>
      <c r="F6" s="5">
        <v>2425</v>
      </c>
      <c r="G6" s="161">
        <f t="shared" si="0"/>
        <v>45621</v>
      </c>
      <c r="H6" s="161">
        <f t="shared" si="1"/>
        <v>45808</v>
      </c>
      <c r="I6" s="1" t="s">
        <v>102</v>
      </c>
      <c r="J6" s="69">
        <f>SUMIFS(需求评估!$Q:$Q,需求评估!$C:$C,'2425财年需求时间安排'!$B6,需求评估!$M:$M,'2425财年需求时间安排'!$F6)</f>
        <v>51100</v>
      </c>
      <c r="L6" s="152" t="s">
        <v>206</v>
      </c>
      <c r="M6" s="153">
        <v>7056</v>
      </c>
      <c r="N6" s="154"/>
      <c r="O6" s="148">
        <f t="shared" si="2"/>
        <v>44044</v>
      </c>
      <c r="Q6" s="148">
        <f t="shared" si="3"/>
        <v>44044</v>
      </c>
    </row>
    <row r="7" spans="1:18" ht="83.25" x14ac:dyDescent="0.4">
      <c r="A7" s="5">
        <v>7</v>
      </c>
      <c r="B7" s="5" t="s">
        <v>332</v>
      </c>
      <c r="C7" s="2" t="s">
        <v>222</v>
      </c>
      <c r="D7" s="5">
        <v>6</v>
      </c>
      <c r="E7" s="5" t="e">
        <f>VLOOKUP(B7,需求评估!$C:$L,10,0)</f>
        <v>#N/A</v>
      </c>
      <c r="F7" s="5">
        <v>2425</v>
      </c>
      <c r="G7" s="161">
        <f t="shared" si="0"/>
        <v>45705</v>
      </c>
      <c r="H7" s="161">
        <f t="shared" si="1"/>
        <v>45729</v>
      </c>
      <c r="I7" s="1" t="s">
        <v>333</v>
      </c>
      <c r="J7" s="69">
        <f>SUMIFS(需求评估!$Q:$Q,需求评估!$C:$C,'2425财年需求时间安排'!$B7,需求评估!$M:$M,'2425财年需求时间安排'!$F7)</f>
        <v>0</v>
      </c>
      <c r="L7" s="5" t="s">
        <v>332</v>
      </c>
      <c r="M7" s="69">
        <v>6048</v>
      </c>
      <c r="N7" s="1"/>
      <c r="O7" s="148">
        <f t="shared" si="2"/>
        <v>-6048</v>
      </c>
      <c r="Q7" s="148">
        <f t="shared" si="3"/>
        <v>-6048</v>
      </c>
    </row>
    <row r="8" spans="1:18" x14ac:dyDescent="0.4">
      <c r="A8" s="5">
        <v>10</v>
      </c>
      <c r="B8" s="5" t="s">
        <v>334</v>
      </c>
      <c r="C8" s="1" t="s">
        <v>42</v>
      </c>
      <c r="D8" s="5">
        <v>7</v>
      </c>
      <c r="E8" s="5">
        <f>VLOOKUP(B8,需求评估!$C:$L,10,0)</f>
        <v>12</v>
      </c>
      <c r="F8" s="5">
        <v>2526</v>
      </c>
      <c r="G8" s="161">
        <f t="shared" ref="G8" si="4">VLOOKUP(B8,$B$15:$J$28,2,0)</f>
        <v>45705</v>
      </c>
      <c r="H8" s="161">
        <f t="shared" ref="H8" si="5">VLOOKUP(B8,$B$15:$J$28,3,0)</f>
        <v>45723</v>
      </c>
      <c r="I8" s="1" t="s">
        <v>107</v>
      </c>
      <c r="J8" s="69">
        <f>SUMIFS(需求评估!$Q:$Q,需求评估!$C:$C,'2425财年需求时间安排'!$B8,需求评估!$M:$M,'2425财年需求时间安排'!$F8)</f>
        <v>3024</v>
      </c>
      <c r="L8" s="5" t="s">
        <v>334</v>
      </c>
      <c r="M8" s="69">
        <v>3024</v>
      </c>
      <c r="N8" s="1"/>
      <c r="O8" s="148">
        <f t="shared" si="2"/>
        <v>0</v>
      </c>
      <c r="Q8" s="148">
        <f t="shared" si="3"/>
        <v>0</v>
      </c>
    </row>
    <row r="9" spans="1:18" ht="55.5" x14ac:dyDescent="0.4">
      <c r="A9" s="5">
        <v>11</v>
      </c>
      <c r="B9" s="54" t="s">
        <v>335</v>
      </c>
      <c r="C9" s="2" t="s">
        <v>336</v>
      </c>
      <c r="D9" s="5">
        <v>8</v>
      </c>
      <c r="E9" s="5">
        <f>VLOOKUP(B9,需求评估!$C:$L,10,0)</f>
        <v>40</v>
      </c>
      <c r="F9" s="5">
        <v>2526</v>
      </c>
      <c r="G9" s="161">
        <f t="shared" si="0"/>
        <v>45691</v>
      </c>
      <c r="H9" s="161">
        <f t="shared" si="1"/>
        <v>45747</v>
      </c>
      <c r="I9" s="1" t="s">
        <v>333</v>
      </c>
      <c r="J9" s="69">
        <f>SUMIFS(需求评估!$Q:$Q,需求评估!$C:$C,'2425财年需求时间安排'!$B9,需求评估!$M:$M,'2425财年需求时间安排'!$F9)</f>
        <v>10080</v>
      </c>
      <c r="L9" s="54" t="s">
        <v>335</v>
      </c>
      <c r="M9" s="69">
        <v>10080</v>
      </c>
      <c r="N9" s="1"/>
      <c r="O9" s="148">
        <f t="shared" si="2"/>
        <v>0</v>
      </c>
      <c r="Q9" s="148">
        <f t="shared" si="3"/>
        <v>0</v>
      </c>
    </row>
    <row r="10" spans="1:18" x14ac:dyDescent="0.4">
      <c r="A10" s="5">
        <v>12</v>
      </c>
      <c r="B10" s="54" t="s">
        <v>337</v>
      </c>
      <c r="C10" s="2"/>
      <c r="D10" s="5">
        <v>9</v>
      </c>
      <c r="E10" s="5">
        <f>VLOOKUP(B10,需求评估!$C:$L,10,0)</f>
        <v>5</v>
      </c>
      <c r="F10" s="5">
        <v>2425</v>
      </c>
      <c r="G10" s="161">
        <f t="shared" si="0"/>
        <v>45719</v>
      </c>
      <c r="H10" s="161">
        <f t="shared" si="1"/>
        <v>45730</v>
      </c>
      <c r="I10" s="1" t="s">
        <v>333</v>
      </c>
      <c r="J10" s="69">
        <f>SUMIFS(需求评估!$Q:$Q,需求评估!$C:$C,'2425财年需求时间安排'!$B10,需求评估!$M:$M,'2425财年需求时间安排'!$F10)</f>
        <v>1260</v>
      </c>
      <c r="L10" s="54" t="s">
        <v>337</v>
      </c>
      <c r="M10" s="69">
        <v>1260</v>
      </c>
      <c r="N10" s="1"/>
      <c r="O10" s="148">
        <f t="shared" si="2"/>
        <v>0</v>
      </c>
      <c r="Q10" s="148">
        <f t="shared" si="3"/>
        <v>0</v>
      </c>
    </row>
    <row r="11" spans="1:18" x14ac:dyDescent="0.4">
      <c r="A11" s="5">
        <v>30</v>
      </c>
      <c r="B11" s="54" t="s">
        <v>285</v>
      </c>
      <c r="C11" s="1"/>
      <c r="D11" s="5"/>
      <c r="E11" s="5">
        <f>VLOOKUP(B11,需求评估!$C:$L,10,0)</f>
        <v>40</v>
      </c>
      <c r="F11" s="5">
        <v>2425</v>
      </c>
      <c r="G11" s="161">
        <f t="shared" si="0"/>
        <v>45541</v>
      </c>
      <c r="H11" s="161">
        <f t="shared" si="1"/>
        <v>45625</v>
      </c>
      <c r="I11" s="1" t="s">
        <v>102</v>
      </c>
      <c r="J11" s="70">
        <f>SUMIFS(需求评估!$Q:$Q,需求评估!$C:$C,'2425财年需求时间安排'!$B11,需求评估!$M:$M,'2425财年需求时间安排'!$F11)</f>
        <v>15971.18</v>
      </c>
      <c r="L11" s="135" t="s">
        <v>97</v>
      </c>
      <c r="M11" s="136">
        <v>1260</v>
      </c>
      <c r="N11" s="137" t="s">
        <v>338</v>
      </c>
      <c r="O11" s="149">
        <f t="shared" si="2"/>
        <v>14711.18</v>
      </c>
      <c r="P11" s="149">
        <v>14711.18</v>
      </c>
      <c r="Q11" s="148">
        <f t="shared" si="3"/>
        <v>0</v>
      </c>
    </row>
    <row r="12" spans="1:18" x14ac:dyDescent="0.4">
      <c r="J12" s="134">
        <f>SUM(J2:J11)-J5</f>
        <v>94035.18</v>
      </c>
      <c r="L12" s="134"/>
      <c r="M12" s="134">
        <f>SUM(M2:M11)</f>
        <v>42588</v>
      </c>
      <c r="N12" s="134"/>
      <c r="O12" s="134">
        <f>SUM(O2:O11)</f>
        <v>51447.18</v>
      </c>
      <c r="P12" s="166">
        <f>SUM(P2:P11)</f>
        <v>14711.18</v>
      </c>
      <c r="Q12" s="134">
        <f>SUM(Q2:Q11)</f>
        <v>36736</v>
      </c>
    </row>
    <row r="14" spans="1:18" x14ac:dyDescent="0.4">
      <c r="Q14" s="148">
        <f>SUM(M12,Q12,P12)</f>
        <v>94035.18</v>
      </c>
      <c r="R14" s="148">
        <f>J12-Q14</f>
        <v>0</v>
      </c>
    </row>
    <row r="15" spans="1:18" x14ac:dyDescent="0.4">
      <c r="A15" s="341" t="s">
        <v>339</v>
      </c>
      <c r="B15" s="341" t="s">
        <v>340</v>
      </c>
      <c r="C15" s="342" t="s">
        <v>341</v>
      </c>
      <c r="D15" s="342"/>
      <c r="E15" s="342"/>
      <c r="F15" s="342" t="s">
        <v>342</v>
      </c>
      <c r="G15" s="342"/>
      <c r="H15" s="342"/>
      <c r="I15" s="342"/>
      <c r="J15" s="342"/>
      <c r="L15" s="10"/>
      <c r="N15" s="148">
        <f>SUM(M2:M11)+J11-需求评估!AB54</f>
        <v>-279746</v>
      </c>
      <c r="O15" s="149">
        <f>M12+P12</f>
        <v>57299.18</v>
      </c>
    </row>
    <row r="16" spans="1:18" ht="14.25" customHeight="1" x14ac:dyDescent="0.4">
      <c r="A16" s="341"/>
      <c r="B16" s="341"/>
      <c r="C16" s="159" t="s">
        <v>343</v>
      </c>
      <c r="D16" s="159" t="s">
        <v>22</v>
      </c>
      <c r="E16" s="159" t="s">
        <v>344</v>
      </c>
      <c r="F16" s="159" t="s">
        <v>343</v>
      </c>
      <c r="G16" s="159" t="s">
        <v>22</v>
      </c>
      <c r="H16" s="159" t="s">
        <v>345</v>
      </c>
      <c r="I16" s="159"/>
      <c r="J16" s="159" t="s">
        <v>346</v>
      </c>
      <c r="L16" s="8"/>
    </row>
    <row r="17" spans="1:13" x14ac:dyDescent="0.4">
      <c r="A17" s="8">
        <v>1</v>
      </c>
      <c r="B17" s="8" t="s">
        <v>347</v>
      </c>
      <c r="C17" s="125">
        <v>45505</v>
      </c>
      <c r="D17" s="125">
        <v>45536</v>
      </c>
      <c r="E17" s="8">
        <v>22</v>
      </c>
      <c r="F17" s="125">
        <f>IFERROR(VLOOKUP($B17,需求评估!$C:$W,20,0),"")</f>
        <v>45505</v>
      </c>
      <c r="G17" s="125">
        <f>IFERROR(VLOOKUP($B17,需求评估!$C:$W,21,0),"")</f>
        <v>45545</v>
      </c>
      <c r="H17" s="8">
        <v>29</v>
      </c>
      <c r="I17" s="125"/>
      <c r="J17" s="8" t="s">
        <v>348</v>
      </c>
      <c r="L17" s="8"/>
    </row>
    <row r="18" spans="1:13" x14ac:dyDescent="0.4">
      <c r="A18" s="8">
        <v>2</v>
      </c>
      <c r="B18" s="8" t="s">
        <v>349</v>
      </c>
      <c r="C18" s="125">
        <v>45537</v>
      </c>
      <c r="D18" s="125">
        <v>45565</v>
      </c>
      <c r="E18" s="8">
        <v>21</v>
      </c>
      <c r="F18" s="125">
        <f>IFERROR(VLOOKUP($B18,需求评估!$C:$W,20,0),"")</f>
        <v>45534</v>
      </c>
      <c r="G18" s="125">
        <f>IFERROR(VLOOKUP($B18,需求评估!$C:$W,21,0),"")</f>
        <v>45595</v>
      </c>
      <c r="H18" s="8">
        <v>40</v>
      </c>
      <c r="I18" s="125"/>
      <c r="J18" s="8" t="s">
        <v>348</v>
      </c>
      <c r="L18" s="8"/>
    </row>
    <row r="19" spans="1:13" x14ac:dyDescent="0.4">
      <c r="A19" s="8">
        <v>3</v>
      </c>
      <c r="B19" s="8" t="s">
        <v>171</v>
      </c>
      <c r="C19" s="125">
        <v>45573</v>
      </c>
      <c r="D19" s="125">
        <v>45703</v>
      </c>
      <c r="E19" s="8">
        <v>54</v>
      </c>
      <c r="F19" s="125">
        <f>IFERROR(VLOOKUP($B19,需求评估!$C:$W,20,0),"")</f>
        <v>45581</v>
      </c>
      <c r="G19" s="125">
        <f>IFERROR(VLOOKUP($B19,需求评估!$C:$W,21,0),"")</f>
        <v>45705</v>
      </c>
      <c r="H19" s="8">
        <v>84</v>
      </c>
      <c r="I19" s="125"/>
      <c r="J19" s="8" t="s">
        <v>350</v>
      </c>
      <c r="L19" s="8"/>
    </row>
    <row r="20" spans="1:13" x14ac:dyDescent="0.4">
      <c r="A20" s="150">
        <v>4</v>
      </c>
      <c r="B20" s="150" t="s">
        <v>351</v>
      </c>
      <c r="C20" s="151">
        <v>45659</v>
      </c>
      <c r="D20" s="151">
        <v>45667</v>
      </c>
      <c r="E20" s="150">
        <v>12</v>
      </c>
      <c r="F20" s="125">
        <f>IFERROR(VLOOKUP($B20,需求评估!$C:$W,20,0),"")</f>
        <v>45812</v>
      </c>
      <c r="G20" s="125">
        <f>IFERROR(VLOOKUP($B20,需求评估!$C:$W,21,0),"")</f>
        <v>45905</v>
      </c>
      <c r="H20" s="150"/>
      <c r="I20" s="151"/>
      <c r="J20" s="150" t="s">
        <v>352</v>
      </c>
      <c r="L20" s="8"/>
    </row>
    <row r="21" spans="1:13" x14ac:dyDescent="0.4">
      <c r="A21" s="8">
        <v>4</v>
      </c>
      <c r="B21" s="8" t="s">
        <v>194</v>
      </c>
      <c r="C21" s="125">
        <v>45698</v>
      </c>
      <c r="D21" s="125">
        <v>45742</v>
      </c>
      <c r="E21" s="8">
        <v>33</v>
      </c>
      <c r="F21" s="125">
        <f>IFERROR(VLOOKUP($B21,需求评估!$C:$W,20,0),"")</f>
        <v>45707</v>
      </c>
      <c r="G21" s="125">
        <f>IFERROR(VLOOKUP($B21,需求评估!$C:$W,21,0),"")</f>
        <v>45793</v>
      </c>
      <c r="H21" s="8"/>
      <c r="I21" s="125"/>
      <c r="J21" s="8" t="s">
        <v>352</v>
      </c>
      <c r="L21" s="8"/>
    </row>
    <row r="22" spans="1:13" x14ac:dyDescent="0.4">
      <c r="A22" s="8">
        <v>5</v>
      </c>
      <c r="B22" s="8" t="s">
        <v>206</v>
      </c>
      <c r="C22" s="125">
        <v>45621</v>
      </c>
      <c r="D22" s="125">
        <v>45808</v>
      </c>
      <c r="E22" s="8">
        <v>127</v>
      </c>
      <c r="F22" s="125">
        <f>IFERROR(VLOOKUP($B22,需求评估!$C:$W,20,0),"")</f>
        <v>45601</v>
      </c>
      <c r="G22" s="125">
        <f>IFERROR(VLOOKUP($B22,需求评估!$C:$W,21,0),"")</f>
        <v>45819</v>
      </c>
      <c r="H22" s="8"/>
      <c r="I22" s="125"/>
      <c r="J22" s="8" t="s">
        <v>350</v>
      </c>
      <c r="L22" s="8"/>
    </row>
    <row r="23" spans="1:13" x14ac:dyDescent="0.4">
      <c r="A23" s="8">
        <v>6</v>
      </c>
      <c r="B23" s="8" t="s">
        <v>353</v>
      </c>
      <c r="C23" s="125">
        <v>45705</v>
      </c>
      <c r="D23" s="125">
        <v>45729</v>
      </c>
      <c r="E23" s="8">
        <v>19</v>
      </c>
      <c r="F23" s="125" t="str">
        <f>IFERROR(VLOOKUP($B23,需求评估!$C:$W,20,0),"")</f>
        <v/>
      </c>
      <c r="G23" s="125" t="str">
        <f>IFERROR(VLOOKUP($B23,需求评估!$C:$W,21,0),"")</f>
        <v/>
      </c>
      <c r="H23" s="8"/>
      <c r="I23" s="125"/>
      <c r="J23" s="8" t="s">
        <v>352</v>
      </c>
      <c r="L23" s="8"/>
    </row>
    <row r="24" spans="1:13" x14ac:dyDescent="0.4">
      <c r="A24" s="8">
        <v>7</v>
      </c>
      <c r="B24" s="8" t="s">
        <v>334</v>
      </c>
      <c r="C24" s="125">
        <v>45705</v>
      </c>
      <c r="D24" s="125">
        <v>45723</v>
      </c>
      <c r="E24" s="8">
        <v>15</v>
      </c>
      <c r="F24" s="125" t="str">
        <f>IFERROR(VLOOKUP($B24,需求评估!$C:$W,20,0),"")</f>
        <v/>
      </c>
      <c r="G24" s="125" t="str">
        <f>IFERROR(VLOOKUP($B24,需求评估!$C:$W,21,0),"")</f>
        <v/>
      </c>
      <c r="H24" s="8"/>
      <c r="I24" s="125"/>
      <c r="J24" s="8" t="s">
        <v>352</v>
      </c>
      <c r="L24" s="8"/>
    </row>
    <row r="25" spans="1:13" x14ac:dyDescent="0.4">
      <c r="A25" s="8">
        <v>8</v>
      </c>
      <c r="B25" s="8" t="s">
        <v>231</v>
      </c>
      <c r="C25" s="125">
        <v>45691</v>
      </c>
      <c r="D25" s="125">
        <v>45747</v>
      </c>
      <c r="E25" s="8">
        <v>40</v>
      </c>
      <c r="F25" s="125">
        <f>IFERROR(VLOOKUP($B25,需求评估!$C:$W,20,0),"")</f>
        <v>45883</v>
      </c>
      <c r="G25" s="125">
        <f>IFERROR(VLOOKUP($B25,需求评估!$C:$W,21,0),"")</f>
        <v>46086</v>
      </c>
      <c r="H25" s="8"/>
      <c r="I25" s="125"/>
      <c r="J25" s="8" t="s">
        <v>352</v>
      </c>
      <c r="L25" s="8"/>
    </row>
    <row r="26" spans="1:13" x14ac:dyDescent="0.4">
      <c r="A26" s="8">
        <v>9</v>
      </c>
      <c r="B26" s="8" t="s">
        <v>337</v>
      </c>
      <c r="C26" s="125">
        <v>45719</v>
      </c>
      <c r="D26" s="125">
        <v>45730</v>
      </c>
      <c r="E26" s="8">
        <v>10</v>
      </c>
      <c r="F26" s="125" t="str" cm="1">
        <f t="array" aca="1" ref="F26" ca="1">IFERROR(G25VLOOKUP($B26,需求评估!$C:$W,20,0),"")</f>
        <v/>
      </c>
      <c r="G26" s="125">
        <f>IFERROR(VLOOKUP($B26,需求评估!$C:$W,21,0),"")</f>
        <v>45750</v>
      </c>
      <c r="H26" s="8"/>
      <c r="I26" s="125"/>
      <c r="J26" s="8" t="s">
        <v>352</v>
      </c>
      <c r="L26" s="8"/>
    </row>
    <row r="27" spans="1:13" ht="15" x14ac:dyDescent="0.4">
      <c r="A27" s="8">
        <v>30</v>
      </c>
      <c r="B27" s="8" t="s">
        <v>285</v>
      </c>
      <c r="C27" s="125">
        <v>45541</v>
      </c>
      <c r="D27" s="125">
        <v>45625</v>
      </c>
      <c r="E27" s="8">
        <v>57</v>
      </c>
      <c r="F27" s="125">
        <f>IFERROR(VLOOKUP($B27,需求评估!$C:$W,20,0),"")</f>
        <v>45541</v>
      </c>
      <c r="G27" s="125">
        <f>IFERROR(VLOOKUP($B27,需求评估!$C:$W,21,0),"")</f>
        <v>45625</v>
      </c>
      <c r="H27" s="8">
        <v>57</v>
      </c>
      <c r="I27" s="168"/>
      <c r="J27" s="8" t="s">
        <v>354</v>
      </c>
      <c r="L27" s="8"/>
      <c r="M27" s="133"/>
    </row>
    <row r="28" spans="1:13" ht="27.75" x14ac:dyDescent="0.4">
      <c r="A28" s="8">
        <v>12</v>
      </c>
      <c r="B28" s="8" t="s">
        <v>355</v>
      </c>
      <c r="C28" s="125">
        <v>45642</v>
      </c>
      <c r="D28" s="125">
        <v>45716</v>
      </c>
      <c r="E28" s="8">
        <v>75</v>
      </c>
      <c r="F28" s="125" t="str">
        <f>IFERROR(VLOOKUP($B28,需求评估!$C:$W,20,0),"")</f>
        <v/>
      </c>
      <c r="G28" s="125" t="str">
        <f>IFERROR(VLOOKUP($B28,需求评估!$C:$W,21,0),"")</f>
        <v/>
      </c>
      <c r="H28" s="8"/>
      <c r="I28" s="125"/>
      <c r="J28" s="8" t="s">
        <v>352</v>
      </c>
      <c r="L28" s="8"/>
    </row>
  </sheetData>
  <mergeCells count="4">
    <mergeCell ref="A15:A16"/>
    <mergeCell ref="B15:B16"/>
    <mergeCell ref="C15:E15"/>
    <mergeCell ref="F15:J15"/>
  </mergeCells>
  <phoneticPr fontId="1" type="noConversion"/>
  <conditionalFormatting sqref="A2:B11">
    <cfRule type="containsText" dxfId="79" priority="42" operator="containsText" text="Warehouse">
      <formula>NOT(ISERROR(SEARCH("Warehouse",A2)))</formula>
    </cfRule>
    <cfRule type="containsText" dxfId="78" priority="38" operator="containsText" text="Compliance">
      <formula>NOT(ISERROR(SEARCH("Compliance",A2)))</formula>
    </cfRule>
    <cfRule type="cellIs" dxfId="77" priority="37" operator="equal">
      <formula>"Cost"</formula>
    </cfRule>
    <cfRule type="containsText" dxfId="76" priority="39" operator="containsText" text="Billing">
      <formula>NOT(ISERROR(SEARCH("Billing",A2)))</formula>
    </cfRule>
    <cfRule type="containsText" dxfId="75" priority="40" operator="containsText" text="Transport">
      <formula>NOT(ISERROR(SEARCH("Transport",A2)))</formula>
    </cfRule>
    <cfRule type="containsText" dxfId="74" priority="41" operator="containsText" text="Data">
      <formula>NOT(ISERROR(SEARCH("Data",A2)))</formula>
    </cfRule>
  </conditionalFormatting>
  <conditionalFormatting sqref="C5">
    <cfRule type="containsText" dxfId="73" priority="36" operator="containsText" text="Warehouse">
      <formula>NOT(ISERROR(SEARCH("Warehouse",C5)))</formula>
    </cfRule>
    <cfRule type="containsText" dxfId="72" priority="35" operator="containsText" text="Data">
      <formula>NOT(ISERROR(SEARCH("Data",C5)))</formula>
    </cfRule>
    <cfRule type="containsText" dxfId="71" priority="34" operator="containsText" text="Transport">
      <formula>NOT(ISERROR(SEARCH("Transport",C5)))</formula>
    </cfRule>
    <cfRule type="containsText" dxfId="70" priority="33" operator="containsText" text="Billing">
      <formula>NOT(ISERROR(SEARCH("Billing",C5)))</formula>
    </cfRule>
    <cfRule type="containsText" dxfId="69" priority="32" operator="containsText" text="Compliance">
      <formula>NOT(ISERROR(SEARCH("Compliance",C5)))</formula>
    </cfRule>
    <cfRule type="cellIs" dxfId="68" priority="31" operator="equal">
      <formula>"Cost"</formula>
    </cfRule>
    <cfRule type="cellIs" dxfId="67" priority="30" operator="equal">
      <formula>"高"</formula>
    </cfRule>
    <cfRule type="cellIs" dxfId="66" priority="29" operator="equal">
      <formula>"中"</formula>
    </cfRule>
    <cfRule type="cellIs" dxfId="65" priority="28" operator="equal">
      <formula>"低"</formula>
    </cfRule>
  </conditionalFormatting>
  <conditionalFormatting sqref="C11">
    <cfRule type="cellIs" dxfId="64" priority="22" operator="equal">
      <formula>"Cost"</formula>
    </cfRule>
    <cfRule type="containsText" dxfId="63" priority="23" operator="containsText" text="Compliance">
      <formula>NOT(ISERROR(SEARCH("Compliance",C11)))</formula>
    </cfRule>
    <cfRule type="containsText" dxfId="62" priority="24" operator="containsText" text="Billing">
      <formula>NOT(ISERROR(SEARCH("Billing",C11)))</formula>
    </cfRule>
    <cfRule type="containsText" dxfId="61" priority="25" operator="containsText" text="Transport">
      <formula>NOT(ISERROR(SEARCH("Transport",C11)))</formula>
    </cfRule>
    <cfRule type="containsText" dxfId="60" priority="26" operator="containsText" text="Data">
      <formula>NOT(ISERROR(SEARCH("Data",C11)))</formula>
    </cfRule>
    <cfRule type="containsText" dxfId="59" priority="27" operator="containsText" text="Warehouse">
      <formula>NOT(ISERROR(SEARCH("Warehouse",C11)))</formula>
    </cfRule>
    <cfRule type="cellIs" dxfId="58" priority="19" operator="equal">
      <formula>"低"</formula>
    </cfRule>
    <cfRule type="cellIs" dxfId="57" priority="20" operator="equal">
      <formula>"中"</formula>
    </cfRule>
    <cfRule type="cellIs" dxfId="56" priority="21" operator="equal">
      <formula>"高"</formula>
    </cfRule>
  </conditionalFormatting>
  <conditionalFormatting sqref="L2">
    <cfRule type="containsText" dxfId="55" priority="6" operator="containsText" text="Warehouse">
      <formula>NOT(ISERROR(SEARCH("Warehouse",L2)))</formula>
    </cfRule>
    <cfRule type="containsText" dxfId="54" priority="5" operator="containsText" text="Data">
      <formula>NOT(ISERROR(SEARCH("Data",L2)))</formula>
    </cfRule>
    <cfRule type="containsText" dxfId="53" priority="4" operator="containsText" text="Transport">
      <formula>NOT(ISERROR(SEARCH("Transport",L2)))</formula>
    </cfRule>
    <cfRule type="containsText" dxfId="52" priority="3" operator="containsText" text="Billing">
      <formula>NOT(ISERROR(SEARCH("Billing",L2)))</formula>
    </cfRule>
    <cfRule type="containsText" dxfId="51" priority="2" operator="containsText" text="Compliance">
      <formula>NOT(ISERROR(SEARCH("Compliance",L2)))</formula>
    </cfRule>
    <cfRule type="cellIs" dxfId="50" priority="1" operator="equal">
      <formula>"Cost"</formula>
    </cfRule>
  </conditionalFormatting>
  <conditionalFormatting sqref="M27">
    <cfRule type="containsText" dxfId="49" priority="15" operator="containsText" text="未启动">
      <formula>NOT(ISERROR(SEARCH("未启动",M27)))</formula>
    </cfRule>
    <cfRule type="containsText" dxfId="48" priority="14" operator="containsText" text="未启动">
      <formula>NOT(ISERROR(SEARCH("未启动",M27)))</formula>
    </cfRule>
    <cfRule type="containsText" dxfId="47" priority="18" operator="containsText" text="已完成">
      <formula>NOT(ISERROR(SEARCH("已完成",M27)))</formula>
    </cfRule>
    <cfRule type="containsText" dxfId="46" priority="17" operator="containsText" text="进行中">
      <formula>NOT(ISERROR(SEARCH("进行中",M27)))</formula>
    </cfRule>
    <cfRule type="containsText" dxfId="45" priority="16" operator="containsText" text="延期">
      <formula>NOT(ISERROR(SEARCH("延期",M27)))</formula>
    </cfRule>
  </conditionalFormatting>
  <conditionalFormatting sqref="N7:N9">
    <cfRule type="iconSet" priority="7">
      <iconSet iconSet="3Arrows">
        <cfvo type="percent" val="0"/>
        <cfvo type="percent" val="33"/>
        <cfvo type="percent" val="67"/>
      </iconSet>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7D80C-7F7E-4AE0-9717-ED11C16BC767}">
  <dimension ref="B3:V221"/>
  <sheetViews>
    <sheetView topLeftCell="A132" zoomScaleNormal="100" workbookViewId="0">
      <selection activeCell="O154" sqref="O154"/>
    </sheetView>
  </sheetViews>
  <sheetFormatPr defaultRowHeight="13.9" x14ac:dyDescent="0.4"/>
  <cols>
    <col min="1" max="1" width="4.1328125" customWidth="1"/>
    <col min="2" max="2" width="12.73046875" customWidth="1"/>
    <col min="3" max="3" width="6.1328125" customWidth="1"/>
    <col min="4" max="4" width="35.73046875" bestFit="1" customWidth="1"/>
    <col min="5" max="5" width="11.46484375" customWidth="1"/>
    <col min="6" max="6" width="21.73046875" bestFit="1" customWidth="1"/>
    <col min="7" max="7" width="15.46484375" customWidth="1"/>
    <col min="8" max="8" width="9" customWidth="1"/>
    <col min="9" max="9" width="11.73046875" customWidth="1"/>
    <col min="10" max="10" width="10" style="16" customWidth="1"/>
    <col min="11" max="11" width="15.3984375" style="3" customWidth="1"/>
    <col min="12" max="12" width="18.3984375" bestFit="1" customWidth="1"/>
    <col min="13" max="13" width="44.265625" customWidth="1"/>
    <col min="14" max="14" width="11" customWidth="1"/>
    <col min="15" max="15" width="13" bestFit="1" customWidth="1"/>
    <col min="16" max="16" width="21.265625" bestFit="1" customWidth="1"/>
    <col min="17" max="17" width="21.3984375" bestFit="1" customWidth="1"/>
    <col min="18" max="18" width="19.265625" bestFit="1" customWidth="1"/>
    <col min="19" max="19" width="28.46484375" customWidth="1"/>
    <col min="20" max="20" width="28.59765625" bestFit="1" customWidth="1"/>
    <col min="21" max="21" width="15.1328125" bestFit="1" customWidth="1"/>
    <col min="22" max="22" width="24.1328125" bestFit="1" customWidth="1"/>
    <col min="23" max="23" width="21.3984375" bestFit="1" customWidth="1"/>
    <col min="24" max="24" width="13" bestFit="1" customWidth="1"/>
    <col min="25" max="26" width="17.265625" bestFit="1" customWidth="1"/>
    <col min="27" max="27" width="21.3984375" bestFit="1" customWidth="1"/>
    <col min="28" max="31" width="17.265625" bestFit="1" customWidth="1"/>
    <col min="32" max="32" width="7.46484375" bestFit="1" customWidth="1"/>
    <col min="33" max="33" width="11.59765625" bestFit="1" customWidth="1"/>
  </cols>
  <sheetData>
    <row r="3" spans="2:7" x14ac:dyDescent="0.4">
      <c r="D3" s="6" t="s">
        <v>356</v>
      </c>
    </row>
    <row r="4" spans="2:7" x14ac:dyDescent="0.4">
      <c r="B4" s="6" t="s">
        <v>2</v>
      </c>
      <c r="C4" s="6" t="s">
        <v>19</v>
      </c>
      <c r="D4" t="s">
        <v>357</v>
      </c>
      <c r="E4" t="s">
        <v>358</v>
      </c>
      <c r="F4" t="s">
        <v>359</v>
      </c>
      <c r="G4" t="s">
        <v>360</v>
      </c>
    </row>
    <row r="5" spans="2:7" x14ac:dyDescent="0.4">
      <c r="B5" t="s">
        <v>361</v>
      </c>
      <c r="C5" t="s">
        <v>362</v>
      </c>
      <c r="D5">
        <v>12</v>
      </c>
      <c r="E5">
        <v>2772</v>
      </c>
      <c r="F5">
        <v>792</v>
      </c>
      <c r="G5">
        <v>50</v>
      </c>
    </row>
    <row r="6" spans="2:7" x14ac:dyDescent="0.4">
      <c r="B6" t="s">
        <v>353</v>
      </c>
      <c r="C6" t="s">
        <v>363</v>
      </c>
      <c r="D6">
        <v>24</v>
      </c>
      <c r="E6">
        <v>6048</v>
      </c>
      <c r="F6">
        <v>1728</v>
      </c>
      <c r="G6">
        <v>50</v>
      </c>
    </row>
    <row r="7" spans="2:7" x14ac:dyDescent="0.4">
      <c r="B7" t="s">
        <v>364</v>
      </c>
      <c r="C7" t="s">
        <v>250</v>
      </c>
      <c r="D7">
        <v>10</v>
      </c>
      <c r="E7">
        <v>2310</v>
      </c>
      <c r="F7">
        <v>660</v>
      </c>
      <c r="G7">
        <v>50</v>
      </c>
    </row>
    <row r="8" spans="2:7" x14ac:dyDescent="0.4">
      <c r="B8" t="s">
        <v>365</v>
      </c>
      <c r="C8" t="s">
        <v>365</v>
      </c>
      <c r="E8">
        <v>0</v>
      </c>
      <c r="F8">
        <v>0</v>
      </c>
      <c r="G8">
        <v>50</v>
      </c>
    </row>
    <row r="9" spans="2:7" x14ac:dyDescent="0.4">
      <c r="B9" t="s">
        <v>366</v>
      </c>
      <c r="C9" t="s">
        <v>277</v>
      </c>
      <c r="D9">
        <v>30</v>
      </c>
      <c r="E9">
        <v>6930</v>
      </c>
      <c r="F9">
        <v>1980</v>
      </c>
      <c r="G9">
        <v>50</v>
      </c>
    </row>
    <row r="10" spans="2:7" x14ac:dyDescent="0.4">
      <c r="B10" t="s">
        <v>367</v>
      </c>
      <c r="C10" t="s">
        <v>144</v>
      </c>
      <c r="D10">
        <v>60</v>
      </c>
      <c r="E10">
        <v>13860</v>
      </c>
      <c r="F10">
        <v>3960</v>
      </c>
      <c r="G10">
        <v>50</v>
      </c>
    </row>
    <row r="11" spans="2:7" x14ac:dyDescent="0.4">
      <c r="B11" t="s">
        <v>231</v>
      </c>
      <c r="C11" t="s">
        <v>236</v>
      </c>
      <c r="D11">
        <v>40</v>
      </c>
      <c r="E11">
        <v>10080</v>
      </c>
      <c r="F11">
        <v>2880</v>
      </c>
      <c r="G11">
        <v>50</v>
      </c>
    </row>
    <row r="12" spans="2:7" x14ac:dyDescent="0.4">
      <c r="B12" t="s">
        <v>368</v>
      </c>
      <c r="C12" t="s">
        <v>66</v>
      </c>
      <c r="D12">
        <v>20</v>
      </c>
      <c r="E12">
        <v>4620</v>
      </c>
      <c r="F12">
        <v>1320</v>
      </c>
      <c r="G12">
        <v>50</v>
      </c>
    </row>
    <row r="13" spans="2:7" x14ac:dyDescent="0.4">
      <c r="B13" t="s">
        <v>369</v>
      </c>
      <c r="C13" t="s">
        <v>370</v>
      </c>
      <c r="D13">
        <v>20</v>
      </c>
      <c r="E13">
        <v>4620</v>
      </c>
      <c r="F13">
        <v>1320</v>
      </c>
      <c r="G13">
        <v>50</v>
      </c>
    </row>
    <row r="14" spans="2:7" x14ac:dyDescent="0.4">
      <c r="B14" t="s">
        <v>351</v>
      </c>
      <c r="C14" t="s">
        <v>371</v>
      </c>
      <c r="D14">
        <v>5</v>
      </c>
      <c r="E14">
        <v>1260</v>
      </c>
      <c r="F14">
        <v>360</v>
      </c>
      <c r="G14">
        <v>50</v>
      </c>
    </row>
    <row r="15" spans="2:7" x14ac:dyDescent="0.4">
      <c r="B15" t="s">
        <v>372</v>
      </c>
      <c r="C15" t="s">
        <v>90</v>
      </c>
      <c r="E15">
        <v>0</v>
      </c>
      <c r="F15">
        <v>0</v>
      </c>
      <c r="G15">
        <v>50</v>
      </c>
    </row>
    <row r="16" spans="2:7" x14ac:dyDescent="0.4">
      <c r="B16" t="s">
        <v>347</v>
      </c>
      <c r="C16" t="s">
        <v>373</v>
      </c>
      <c r="D16">
        <v>15</v>
      </c>
      <c r="E16">
        <v>3779.9999999999995</v>
      </c>
      <c r="F16">
        <v>1080</v>
      </c>
      <c r="G16">
        <v>50</v>
      </c>
    </row>
    <row r="17" spans="2:7" x14ac:dyDescent="0.4">
      <c r="B17" t="s">
        <v>48</v>
      </c>
      <c r="C17" t="s">
        <v>53</v>
      </c>
      <c r="D17">
        <v>15</v>
      </c>
      <c r="E17">
        <v>3465</v>
      </c>
      <c r="F17">
        <v>990</v>
      </c>
      <c r="G17">
        <v>50</v>
      </c>
    </row>
    <row r="18" spans="2:7" x14ac:dyDescent="0.4">
      <c r="B18" t="s">
        <v>374</v>
      </c>
      <c r="C18" t="s">
        <v>245</v>
      </c>
      <c r="D18">
        <v>8</v>
      </c>
      <c r="E18">
        <v>1847.9999999999998</v>
      </c>
      <c r="F18">
        <v>528</v>
      </c>
      <c r="G18">
        <v>50</v>
      </c>
    </row>
    <row r="19" spans="2:7" x14ac:dyDescent="0.4">
      <c r="B19" t="s">
        <v>375</v>
      </c>
      <c r="C19" t="s">
        <v>78</v>
      </c>
      <c r="D19">
        <v>20</v>
      </c>
      <c r="E19">
        <v>4620</v>
      </c>
      <c r="F19">
        <v>1320</v>
      </c>
      <c r="G19">
        <v>50</v>
      </c>
    </row>
    <row r="20" spans="2:7" x14ac:dyDescent="0.4">
      <c r="B20" t="s">
        <v>376</v>
      </c>
      <c r="C20" t="s">
        <v>84</v>
      </c>
      <c r="D20">
        <v>30</v>
      </c>
      <c r="E20">
        <v>6930</v>
      </c>
      <c r="F20">
        <v>1980</v>
      </c>
      <c r="G20">
        <v>50</v>
      </c>
    </row>
    <row r="21" spans="2:7" x14ac:dyDescent="0.4">
      <c r="B21" t="s">
        <v>377</v>
      </c>
      <c r="C21" t="s">
        <v>378</v>
      </c>
      <c r="E21">
        <v>0</v>
      </c>
      <c r="F21">
        <v>0</v>
      </c>
      <c r="G21">
        <v>50</v>
      </c>
    </row>
    <row r="22" spans="2:7" x14ac:dyDescent="0.4">
      <c r="B22" t="s">
        <v>379</v>
      </c>
      <c r="C22" t="s">
        <v>150</v>
      </c>
      <c r="D22">
        <v>50</v>
      </c>
      <c r="E22">
        <v>11550</v>
      </c>
      <c r="F22">
        <v>3300</v>
      </c>
      <c r="G22">
        <v>50</v>
      </c>
    </row>
    <row r="23" spans="2:7" x14ac:dyDescent="0.4">
      <c r="B23" t="s">
        <v>69</v>
      </c>
      <c r="C23" t="s">
        <v>72</v>
      </c>
      <c r="D23">
        <v>15</v>
      </c>
      <c r="E23">
        <v>3465</v>
      </c>
      <c r="F23">
        <v>990</v>
      </c>
      <c r="G23">
        <v>50</v>
      </c>
    </row>
    <row r="24" spans="2:7" x14ac:dyDescent="0.4">
      <c r="B24" t="s">
        <v>380</v>
      </c>
      <c r="C24" t="s">
        <v>381</v>
      </c>
      <c r="D24">
        <v>20</v>
      </c>
      <c r="E24">
        <v>4620</v>
      </c>
      <c r="F24">
        <v>1320</v>
      </c>
      <c r="G24">
        <v>50</v>
      </c>
    </row>
    <row r="25" spans="2:7" x14ac:dyDescent="0.4">
      <c r="B25" t="s">
        <v>382</v>
      </c>
      <c r="C25" t="s">
        <v>383</v>
      </c>
      <c r="D25">
        <v>20</v>
      </c>
      <c r="E25">
        <v>5040</v>
      </c>
      <c r="F25">
        <v>1440</v>
      </c>
      <c r="G25">
        <v>50</v>
      </c>
    </row>
    <row r="26" spans="2:7" x14ac:dyDescent="0.4">
      <c r="B26" t="s">
        <v>384</v>
      </c>
      <c r="C26" t="s">
        <v>385</v>
      </c>
      <c r="D26">
        <v>30</v>
      </c>
      <c r="E26">
        <v>6930</v>
      </c>
      <c r="F26">
        <v>1980</v>
      </c>
      <c r="G26">
        <v>50</v>
      </c>
    </row>
    <row r="27" spans="2:7" x14ac:dyDescent="0.4">
      <c r="B27" t="s">
        <v>349</v>
      </c>
      <c r="C27" t="s">
        <v>192</v>
      </c>
      <c r="D27">
        <v>15</v>
      </c>
      <c r="E27">
        <v>3779.9999999999995</v>
      </c>
      <c r="F27">
        <v>1080</v>
      </c>
      <c r="G27">
        <v>50</v>
      </c>
    </row>
    <row r="28" spans="2:7" x14ac:dyDescent="0.4">
      <c r="B28" t="s">
        <v>386</v>
      </c>
      <c r="C28" t="s">
        <v>387</v>
      </c>
      <c r="D28">
        <v>50</v>
      </c>
      <c r="E28">
        <v>11550</v>
      </c>
      <c r="F28">
        <v>3300</v>
      </c>
      <c r="G28">
        <v>50</v>
      </c>
    </row>
    <row r="29" spans="2:7" x14ac:dyDescent="0.4">
      <c r="B29" t="s">
        <v>187</v>
      </c>
      <c r="C29" t="s">
        <v>189</v>
      </c>
      <c r="D29">
        <v>20</v>
      </c>
      <c r="E29">
        <v>4620</v>
      </c>
      <c r="F29">
        <v>1320</v>
      </c>
      <c r="G29">
        <v>50</v>
      </c>
    </row>
    <row r="30" spans="2:7" x14ac:dyDescent="0.4">
      <c r="B30" t="s">
        <v>388</v>
      </c>
      <c r="C30" t="s">
        <v>389</v>
      </c>
      <c r="D30">
        <v>70</v>
      </c>
      <c r="E30">
        <v>51100</v>
      </c>
      <c r="F30">
        <v>4620</v>
      </c>
      <c r="G30">
        <v>100</v>
      </c>
    </row>
    <row r="31" spans="2:7" x14ac:dyDescent="0.4">
      <c r="B31" t="s">
        <v>203</v>
      </c>
      <c r="C31" t="s">
        <v>390</v>
      </c>
      <c r="D31">
        <v>87</v>
      </c>
      <c r="E31">
        <v>28710</v>
      </c>
      <c r="F31">
        <v>5742</v>
      </c>
      <c r="G31">
        <v>100</v>
      </c>
    </row>
    <row r="32" spans="2:7" x14ac:dyDescent="0.4">
      <c r="B32" t="s">
        <v>391</v>
      </c>
      <c r="C32" t="s">
        <v>391</v>
      </c>
      <c r="D32">
        <v>60</v>
      </c>
      <c r="E32">
        <v>13860</v>
      </c>
      <c r="F32">
        <v>3960</v>
      </c>
      <c r="G32">
        <v>50</v>
      </c>
    </row>
    <row r="33" spans="2:22" x14ac:dyDescent="0.4">
      <c r="B33" t="s">
        <v>392</v>
      </c>
      <c r="C33" t="s">
        <v>392</v>
      </c>
      <c r="D33">
        <v>60</v>
      </c>
      <c r="E33">
        <v>13860</v>
      </c>
      <c r="F33">
        <v>3960</v>
      </c>
      <c r="G33">
        <v>50</v>
      </c>
    </row>
    <row r="34" spans="2:22" x14ac:dyDescent="0.4">
      <c r="B34" t="s">
        <v>393</v>
      </c>
      <c r="C34" t="s">
        <v>393</v>
      </c>
      <c r="D34">
        <v>20</v>
      </c>
      <c r="E34">
        <v>4620</v>
      </c>
      <c r="F34">
        <v>1320</v>
      </c>
      <c r="G34">
        <v>50</v>
      </c>
    </row>
    <row r="35" spans="2:22" x14ac:dyDescent="0.4">
      <c r="B35" t="s">
        <v>394</v>
      </c>
      <c r="C35" t="s">
        <v>394</v>
      </c>
      <c r="D35">
        <v>20</v>
      </c>
      <c r="E35">
        <v>4620</v>
      </c>
      <c r="F35">
        <v>1320</v>
      </c>
      <c r="G35">
        <v>50</v>
      </c>
    </row>
    <row r="36" spans="2:22" x14ac:dyDescent="0.4">
      <c r="B36" t="s">
        <v>395</v>
      </c>
      <c r="C36" t="s">
        <v>395</v>
      </c>
      <c r="D36">
        <v>20</v>
      </c>
      <c r="E36">
        <v>4620</v>
      </c>
      <c r="F36">
        <v>1320</v>
      </c>
      <c r="G36">
        <v>50</v>
      </c>
    </row>
    <row r="37" spans="2:22" x14ac:dyDescent="0.4">
      <c r="B37" t="s">
        <v>35</v>
      </c>
      <c r="C37" t="s">
        <v>396</v>
      </c>
      <c r="D37">
        <v>12</v>
      </c>
      <c r="E37">
        <v>3024</v>
      </c>
      <c r="F37">
        <v>864</v>
      </c>
      <c r="G37">
        <v>50</v>
      </c>
    </row>
    <row r="38" spans="2:22" x14ac:dyDescent="0.4">
      <c r="B38" t="s">
        <v>397</v>
      </c>
      <c r="C38" t="s">
        <v>398</v>
      </c>
      <c r="D38">
        <v>12</v>
      </c>
      <c r="E38">
        <v>2772</v>
      </c>
      <c r="F38">
        <v>792</v>
      </c>
      <c r="G38">
        <v>50</v>
      </c>
    </row>
    <row r="39" spans="2:22" x14ac:dyDescent="0.4">
      <c r="B39" t="s">
        <v>399</v>
      </c>
      <c r="C39" t="s">
        <v>400</v>
      </c>
      <c r="D39">
        <v>5</v>
      </c>
      <c r="E39">
        <v>1260</v>
      </c>
      <c r="F39">
        <v>360</v>
      </c>
      <c r="G39">
        <v>50</v>
      </c>
      <c r="J39"/>
    </row>
    <row r="40" spans="2:22" x14ac:dyDescent="0.4">
      <c r="B40" t="s">
        <v>401</v>
      </c>
      <c r="C40" t="s">
        <v>402</v>
      </c>
      <c r="D40">
        <v>15</v>
      </c>
      <c r="E40">
        <v>3465</v>
      </c>
      <c r="F40">
        <v>990</v>
      </c>
      <c r="G40">
        <v>50</v>
      </c>
      <c r="J40"/>
    </row>
    <row r="41" spans="2:22" x14ac:dyDescent="0.4">
      <c r="B41" t="s">
        <v>403</v>
      </c>
      <c r="C41" t="s">
        <v>404</v>
      </c>
      <c r="J41"/>
      <c r="R41" s="204" t="s">
        <v>0</v>
      </c>
      <c r="S41" s="204" t="s">
        <v>405</v>
      </c>
      <c r="T41" s="204" t="s">
        <v>406</v>
      </c>
      <c r="U41" s="204" t="s">
        <v>407</v>
      </c>
      <c r="V41" s="204"/>
    </row>
    <row r="42" spans="2:22" x14ac:dyDescent="0.4">
      <c r="B42" t="s">
        <v>408</v>
      </c>
      <c r="D42">
        <v>910</v>
      </c>
      <c r="E42">
        <v>256609</v>
      </c>
      <c r="F42">
        <v>60876</v>
      </c>
      <c r="G42">
        <v>1900</v>
      </c>
      <c r="J42"/>
      <c r="R42">
        <v>2</v>
      </c>
      <c r="S42" t="s">
        <v>409</v>
      </c>
      <c r="T42" t="s">
        <v>410</v>
      </c>
      <c r="U42" t="str">
        <f>VLOOKUP(R42,需求评估!$A:$T,20,0)</f>
        <v>Automated Email for Inventory DB Reports</v>
      </c>
    </row>
    <row r="43" spans="2:22" x14ac:dyDescent="0.4">
      <c r="J43"/>
      <c r="R43">
        <v>3</v>
      </c>
      <c r="S43" t="s">
        <v>411</v>
      </c>
      <c r="T43" t="s">
        <v>412</v>
      </c>
      <c r="U43" t="str">
        <f>VLOOKUP(R43,需求评估!$A:$T,20,0)</f>
        <v>Battery Master Data Platform V1</v>
      </c>
    </row>
    <row r="44" spans="2:22" ht="15" customHeight="1" x14ac:dyDescent="0.4">
      <c r="J44"/>
      <c r="R44">
        <v>4</v>
      </c>
      <c r="S44" t="s">
        <v>413</v>
      </c>
      <c r="T44" t="s">
        <v>413</v>
      </c>
      <c r="U44" t="str">
        <f>VLOOKUP(R44,需求评估!$A:$T,20,0)</f>
        <v>WHS Battery Certificate Management V3</v>
      </c>
    </row>
    <row r="45" spans="2:22" x14ac:dyDescent="0.4">
      <c r="J45"/>
      <c r="R45">
        <v>5</v>
      </c>
      <c r="S45" t="s">
        <v>409</v>
      </c>
      <c r="T45" t="s">
        <v>410</v>
      </c>
      <c r="U45" t="str">
        <f>VLOOKUP(R45,需求评估!$A:$T,20,0)</f>
        <v>Automated Emails for Battery Suppliers</v>
      </c>
    </row>
    <row r="46" spans="2:22" ht="36" customHeight="1" x14ac:dyDescent="0.4">
      <c r="J46"/>
      <c r="R46">
        <v>6</v>
      </c>
      <c r="S46" t="s">
        <v>414</v>
      </c>
      <c r="T46" t="s">
        <v>415</v>
      </c>
      <c r="U46" t="str">
        <f>VLOOKUP(R46,需求评估!$A:$T,20,0)</f>
        <v>SupplyX 3.0</v>
      </c>
    </row>
    <row r="47" spans="2:22" x14ac:dyDescent="0.4">
      <c r="J47"/>
      <c r="R47">
        <v>7</v>
      </c>
      <c r="S47" t="s">
        <v>416</v>
      </c>
      <c r="T47" t="s">
        <v>417</v>
      </c>
      <c r="U47" t="str">
        <f>VLOOKUP(R47,需求评估!$A:$T,20,0)</f>
        <v>AI-Driven Quotation Collection Platform</v>
      </c>
    </row>
    <row r="48" spans="2:22" x14ac:dyDescent="0.4">
      <c r="J48"/>
      <c r="R48">
        <v>10</v>
      </c>
      <c r="S48" t="s">
        <v>413</v>
      </c>
      <c r="T48" t="s">
        <v>413</v>
      </c>
      <c r="U48" t="e">
        <f>VLOOKUP(R48,需求评估!$A:$T,20,0)</f>
        <v>#N/A</v>
      </c>
    </row>
    <row r="49" spans="2:21" ht="15" customHeight="1" x14ac:dyDescent="0.4">
      <c r="J49"/>
      <c r="R49">
        <v>11</v>
      </c>
      <c r="S49" t="s">
        <v>411</v>
      </c>
      <c r="T49" t="s">
        <v>412</v>
      </c>
      <c r="U49" t="str">
        <f>VLOOKUP(R49,需求评估!$A:$T,20,0)</f>
        <v>OA Approval Platform</v>
      </c>
    </row>
    <row r="50" spans="2:21" x14ac:dyDescent="0.4">
      <c r="J50"/>
      <c r="R50">
        <v>12</v>
      </c>
      <c r="S50" t="s">
        <v>418</v>
      </c>
      <c r="T50" t="s">
        <v>419</v>
      </c>
      <c r="U50" t="str">
        <f>VLOOKUP(R50,需求评估!$A:$T,20,0)</f>
        <v>Auto SAP Batch Stock Adjustment</v>
      </c>
    </row>
    <row r="51" spans="2:21" ht="14.25" thickBot="1" x14ac:dyDescent="0.45">
      <c r="R51">
        <v>15</v>
      </c>
      <c r="S51" t="s">
        <v>411</v>
      </c>
      <c r="T51" t="s">
        <v>412</v>
      </c>
      <c r="U51" t="str">
        <f>VLOOKUP(R51,需求评估!$A:$T,20,0)</f>
        <v>Compliance Master Data Platform</v>
      </c>
    </row>
    <row r="52" spans="2:21" ht="14.25" thickBot="1" x14ac:dyDescent="0.45">
      <c r="B52" s="402" t="s">
        <v>420</v>
      </c>
      <c r="C52" s="404" t="s">
        <v>339</v>
      </c>
      <c r="D52" s="404" t="s">
        <v>2</v>
      </c>
      <c r="E52" s="406" t="s">
        <v>421</v>
      </c>
      <c r="F52" s="24" t="s">
        <v>422</v>
      </c>
      <c r="G52" s="400" t="s">
        <v>423</v>
      </c>
      <c r="H52" s="401"/>
      <c r="I52" s="92"/>
      <c r="J52"/>
      <c r="R52">
        <v>1</v>
      </c>
      <c r="S52" t="s">
        <v>424</v>
      </c>
      <c r="T52" t="s">
        <v>425</v>
      </c>
      <c r="U52" t="str">
        <f>VLOOKUP(R52,需求评估!$A:$T,20,0)</f>
        <v>3PL Transport Bill Comparison</v>
      </c>
    </row>
    <row r="53" spans="2:21" ht="28.15" thickBot="1" x14ac:dyDescent="0.45">
      <c r="B53" s="403"/>
      <c r="C53" s="405"/>
      <c r="D53" s="405"/>
      <c r="E53" s="407"/>
      <c r="F53" s="38" t="s">
        <v>426</v>
      </c>
      <c r="G53" s="38" t="s">
        <v>427</v>
      </c>
      <c r="H53" s="25" t="s">
        <v>428</v>
      </c>
      <c r="I53" s="92"/>
      <c r="J53" s="88"/>
      <c r="K53" s="118"/>
      <c r="R53">
        <v>3</v>
      </c>
      <c r="S53" t="s">
        <v>411</v>
      </c>
      <c r="T53" t="s">
        <v>412</v>
      </c>
      <c r="U53" t="str">
        <f>VLOOKUP(R53,需求评估!$A:$T,20,0)</f>
        <v>Battery Master Data Platform V1</v>
      </c>
    </row>
    <row r="54" spans="2:21" ht="14.25" thickBot="1" x14ac:dyDescent="0.45">
      <c r="B54" s="378" t="s">
        <v>429</v>
      </c>
      <c r="C54" s="17">
        <v>2</v>
      </c>
      <c r="D54" s="169" t="s">
        <v>430</v>
      </c>
      <c r="E54" s="17">
        <v>15</v>
      </c>
      <c r="F54" s="363">
        <v>42588</v>
      </c>
      <c r="G54" s="363">
        <v>12168</v>
      </c>
      <c r="H54" s="366">
        <v>500</v>
      </c>
      <c r="I54" s="72"/>
      <c r="J54" s="88"/>
      <c r="K54" s="118"/>
      <c r="R54">
        <v>6</v>
      </c>
      <c r="S54" t="s">
        <v>431</v>
      </c>
      <c r="T54" t="s">
        <v>432</v>
      </c>
      <c r="U54" t="str">
        <f>VLOOKUP(R54,需求评估!$A:$T,20,0)</f>
        <v>SupplyX 3.0</v>
      </c>
    </row>
    <row r="55" spans="2:21" ht="14.25" thickBot="1" x14ac:dyDescent="0.45">
      <c r="B55" s="343"/>
      <c r="C55" s="17">
        <v>3</v>
      </c>
      <c r="D55" s="170" t="s">
        <v>433</v>
      </c>
      <c r="E55" s="17">
        <v>20</v>
      </c>
      <c r="F55" s="364"/>
      <c r="G55" s="364"/>
      <c r="H55" s="367"/>
      <c r="I55" s="72"/>
      <c r="J55" s="88"/>
      <c r="K55" s="118"/>
      <c r="R55">
        <v>8</v>
      </c>
      <c r="S55" t="s">
        <v>434</v>
      </c>
      <c r="T55" t="s">
        <v>415</v>
      </c>
      <c r="U55" t="str">
        <f>VLOOKUP(R55,需求评估!$A:$T,20,0)</f>
        <v>Sourcing Rate OA Application</v>
      </c>
    </row>
    <row r="56" spans="2:21" ht="14.25" thickBot="1" x14ac:dyDescent="0.45">
      <c r="B56" s="343"/>
      <c r="C56" s="17">
        <v>4</v>
      </c>
      <c r="D56" s="170" t="s">
        <v>435</v>
      </c>
      <c r="E56" s="17">
        <v>15</v>
      </c>
      <c r="F56" s="364"/>
      <c r="G56" s="364"/>
      <c r="H56" s="367"/>
      <c r="I56" s="72"/>
      <c r="J56" s="88"/>
      <c r="K56" s="118"/>
      <c r="L56" s="88"/>
      <c r="M56" s="16"/>
      <c r="R56">
        <v>9</v>
      </c>
      <c r="S56" t="s">
        <v>434</v>
      </c>
      <c r="T56" t="s">
        <v>415</v>
      </c>
      <c r="U56" t="e">
        <f>VLOOKUP(R56,需求评估!$A:$T,20,0)</f>
        <v>#N/A</v>
      </c>
    </row>
    <row r="57" spans="2:21" ht="21.75" customHeight="1" thickBot="1" x14ac:dyDescent="0.45">
      <c r="B57" s="343"/>
      <c r="C57" s="17">
        <v>5</v>
      </c>
      <c r="D57" s="17" t="s">
        <v>351</v>
      </c>
      <c r="E57" s="17">
        <v>5</v>
      </c>
      <c r="F57" s="364"/>
      <c r="G57" s="364"/>
      <c r="H57" s="367"/>
      <c r="I57" s="72"/>
      <c r="J57" s="88"/>
      <c r="K57" s="118"/>
      <c r="L57" s="88"/>
      <c r="R57">
        <v>10</v>
      </c>
      <c r="S57" t="s">
        <v>413</v>
      </c>
      <c r="T57" t="s">
        <v>413</v>
      </c>
      <c r="U57" t="e">
        <f>VLOOKUP(R57,需求评估!$A:$T,20,0)</f>
        <v>#N/A</v>
      </c>
    </row>
    <row r="58" spans="2:21" ht="21.75" customHeight="1" thickBot="1" x14ac:dyDescent="0.45">
      <c r="B58" s="343"/>
      <c r="C58" s="17">
        <v>6</v>
      </c>
      <c r="D58" s="17" t="s">
        <v>436</v>
      </c>
      <c r="E58" s="17">
        <v>28</v>
      </c>
      <c r="F58" s="364"/>
      <c r="G58" s="364"/>
      <c r="H58" s="367"/>
      <c r="I58" s="72"/>
      <c r="J58" s="88"/>
      <c r="K58" s="118"/>
      <c r="L58" s="88"/>
      <c r="M58" s="39"/>
      <c r="N58" s="55" t="s">
        <v>437</v>
      </c>
      <c r="O58" s="60" t="s">
        <v>295</v>
      </c>
      <c r="P58" s="55" t="s">
        <v>438</v>
      </c>
      <c r="R58">
        <v>13</v>
      </c>
      <c r="S58" t="s">
        <v>409</v>
      </c>
      <c r="T58" t="s">
        <v>410</v>
      </c>
      <c r="U58" t="str">
        <f>VLOOKUP(R58,需求评估!$A:$T,20,0)</f>
        <v>National Holiday Email Reminders</v>
      </c>
    </row>
    <row r="59" spans="2:21" ht="22.5" thickBot="1" x14ac:dyDescent="0.45">
      <c r="B59" s="343"/>
      <c r="C59" s="17">
        <v>7</v>
      </c>
      <c r="D59" s="17" t="s">
        <v>353</v>
      </c>
      <c r="E59" s="17">
        <v>24</v>
      </c>
      <c r="F59" s="364"/>
      <c r="G59" s="364"/>
      <c r="H59" s="367"/>
      <c r="I59" s="72"/>
      <c r="J59" s="88"/>
      <c r="K59" s="118"/>
      <c r="L59" s="88"/>
      <c r="M59" s="56" t="s">
        <v>429</v>
      </c>
      <c r="N59" s="57">
        <f>SUMIFS(需求评估!Q:Q,需求评估!U:U,"2425*")</f>
        <v>99789.18</v>
      </c>
      <c r="O59" s="40"/>
      <c r="P59" s="57">
        <f t="shared" ref="P59:P60" si="0">SUM(N59:O59)</f>
        <v>99789.18</v>
      </c>
      <c r="R59">
        <v>14</v>
      </c>
      <c r="S59" t="s">
        <v>424</v>
      </c>
      <c r="T59" t="s">
        <v>425</v>
      </c>
      <c r="U59" t="str">
        <f>VLOOKUP(R59,需求评估!$A:$T,20,0)</f>
        <v>Automated CC Master Data Maintenance</v>
      </c>
    </row>
    <row r="60" spans="2:21" ht="14.25" thickBot="1" x14ac:dyDescent="0.45">
      <c r="B60" s="343"/>
      <c r="C60" s="17">
        <v>10</v>
      </c>
      <c r="D60" s="17" t="s">
        <v>439</v>
      </c>
      <c r="E60" s="17">
        <v>12</v>
      </c>
      <c r="F60" s="364"/>
      <c r="G60" s="364"/>
      <c r="H60" s="367"/>
      <c r="I60" s="72"/>
      <c r="J60" s="88"/>
      <c r="K60" s="118"/>
      <c r="L60" s="88"/>
      <c r="M60" s="56" t="s">
        <v>440</v>
      </c>
      <c r="N60" s="57">
        <f>SUMIFS(需求评估!Q:Q,需求评估!U:U,"2526*")</f>
        <v>277671</v>
      </c>
      <c r="O60" s="57">
        <f>SUMIFS(需求评估!R:R,需求评估!U:U,"2425*")+SUMIFS(需求评估!S:S,需求评估!U:U,"2425*")</f>
        <v>17158</v>
      </c>
      <c r="P60" s="57">
        <f t="shared" si="0"/>
        <v>294829</v>
      </c>
      <c r="R60">
        <v>16</v>
      </c>
      <c r="S60" t="s">
        <v>418</v>
      </c>
      <c r="T60" t="s">
        <v>419</v>
      </c>
      <c r="U60" t="str">
        <f>VLOOKUP(R60,需求评估!$A:$T,20,0)</f>
        <v>Automated Emails for PWC Audit Announcement</v>
      </c>
    </row>
    <row r="61" spans="2:21" ht="14.25" thickBot="1" x14ac:dyDescent="0.45">
      <c r="B61" s="343"/>
      <c r="C61" s="17">
        <v>11</v>
      </c>
      <c r="D61" s="17" t="s">
        <v>231</v>
      </c>
      <c r="E61" s="17">
        <v>40</v>
      </c>
      <c r="F61" s="364"/>
      <c r="G61" s="364"/>
      <c r="H61" s="367"/>
      <c r="I61" s="72"/>
      <c r="J61" s="88"/>
      <c r="K61" s="118"/>
      <c r="L61" s="88"/>
      <c r="M61" s="56" t="s">
        <v>441</v>
      </c>
      <c r="N61" s="57">
        <f>SUMIFS(需求评估!Q:Q,需求评估!U:U,"2627*")</f>
        <v>201960</v>
      </c>
      <c r="O61" s="57">
        <f>SUMIFS(需求评估!R:R,需求评估!U:U,"2526*")+SUMIFS(需求评估!S:S,需求评估!U:U,"2526*")</f>
        <v>60688.5</v>
      </c>
      <c r="P61" s="57">
        <f>SUM(N61:O61)</f>
        <v>262648.5</v>
      </c>
      <c r="R61">
        <v>17</v>
      </c>
      <c r="S61" t="s">
        <v>413</v>
      </c>
      <c r="T61" t="s">
        <v>413</v>
      </c>
      <c r="U61" t="e">
        <f>VLOOKUP(R61,需求评估!$A:$T,20,0)</f>
        <v>#N/A</v>
      </c>
    </row>
    <row r="62" spans="2:21" ht="14.25" thickBot="1" x14ac:dyDescent="0.45">
      <c r="B62" s="343"/>
      <c r="C62" s="17">
        <v>12</v>
      </c>
      <c r="D62" s="17" t="s">
        <v>337</v>
      </c>
      <c r="E62" s="17">
        <v>5</v>
      </c>
      <c r="F62" s="364"/>
      <c r="G62" s="364"/>
      <c r="H62" s="367"/>
      <c r="I62" s="72"/>
      <c r="J62" s="88"/>
      <c r="K62" s="118"/>
      <c r="L62" s="88"/>
      <c r="M62" s="56" t="s">
        <v>441</v>
      </c>
      <c r="N62" s="376"/>
      <c r="O62" s="377">
        <f>SUMIFS(需求评估!R:R,需求评估!U:U,"*")+SUMIFS(需求评估!S:S,需求评估!U:U,"*")</f>
        <v>119532.5</v>
      </c>
      <c r="P62" s="377">
        <f>SUM(N62:O63)</f>
        <v>119532.5</v>
      </c>
      <c r="R62">
        <v>18</v>
      </c>
      <c r="S62" t="s">
        <v>413</v>
      </c>
      <c r="T62" t="s">
        <v>413</v>
      </c>
      <c r="U62" t="str">
        <f>VLOOKUP(R62,需求评估!$A:$T,20,0)</f>
        <v>Compliance Certificate Management</v>
      </c>
    </row>
    <row r="63" spans="2:21" ht="14.25" thickBot="1" x14ac:dyDescent="0.45">
      <c r="B63" s="344"/>
      <c r="C63" s="17">
        <v>15</v>
      </c>
      <c r="D63" s="17" t="s">
        <v>442</v>
      </c>
      <c r="E63" s="17">
        <v>5</v>
      </c>
      <c r="F63" s="365"/>
      <c r="G63" s="365"/>
      <c r="H63" s="368"/>
      <c r="I63" s="72"/>
      <c r="J63" s="88"/>
      <c r="K63" s="118"/>
      <c r="L63" s="88"/>
      <c r="M63" s="56" t="s">
        <v>443</v>
      </c>
      <c r="N63" s="376"/>
      <c r="O63" s="377"/>
      <c r="P63" s="377"/>
      <c r="R63">
        <v>19</v>
      </c>
      <c r="S63" t="s">
        <v>434</v>
      </c>
      <c r="T63" t="s">
        <v>415</v>
      </c>
      <c r="U63" t="e">
        <f>VLOOKUP(R63,需求评估!$A:$T,20,0)</f>
        <v>#N/A</v>
      </c>
    </row>
    <row r="64" spans="2:21" ht="22.5" thickBot="1" x14ac:dyDescent="0.45">
      <c r="B64" s="18"/>
      <c r="C64" s="19"/>
      <c r="D64" s="19"/>
      <c r="E64" s="19"/>
      <c r="F64" s="22"/>
      <c r="G64" s="22"/>
      <c r="H64" s="23"/>
      <c r="I64" s="90"/>
      <c r="J64" s="88"/>
      <c r="K64" s="118"/>
      <c r="L64" s="88"/>
      <c r="M64" s="41"/>
      <c r="N64" s="58">
        <f t="shared" ref="N64:O64" si="1">SUM(N59:N61)</f>
        <v>579420.17999999993</v>
      </c>
      <c r="O64" s="58">
        <f t="shared" si="1"/>
        <v>77846.5</v>
      </c>
      <c r="P64" s="58">
        <f>SUM(P59:P61)</f>
        <v>657266.67999999993</v>
      </c>
      <c r="R64">
        <v>20</v>
      </c>
      <c r="S64" t="s">
        <v>444</v>
      </c>
      <c r="T64" t="s">
        <v>445</v>
      </c>
      <c r="U64" t="e">
        <f>VLOOKUP(R64,需求评估!$A:$T,20,0)</f>
        <v>#N/A</v>
      </c>
    </row>
    <row r="65" spans="2:21" ht="14.25" thickBot="1" x14ac:dyDescent="0.45">
      <c r="B65" s="378" t="s">
        <v>440</v>
      </c>
      <c r="C65" s="17">
        <v>1</v>
      </c>
      <c r="D65" s="17" t="s">
        <v>361</v>
      </c>
      <c r="E65" s="17">
        <v>12</v>
      </c>
      <c r="F65" s="363">
        <v>114408</v>
      </c>
      <c r="G65" s="363">
        <v>32688</v>
      </c>
      <c r="H65" s="366">
        <v>900</v>
      </c>
      <c r="I65" s="72"/>
      <c r="J65" s="88"/>
      <c r="K65" s="118"/>
      <c r="L65" s="88"/>
      <c r="M65" s="16"/>
      <c r="R65">
        <v>21</v>
      </c>
      <c r="S65" t="s">
        <v>416</v>
      </c>
      <c r="T65" t="s">
        <v>417</v>
      </c>
      <c r="U65" t="str">
        <f>VLOOKUP(R65,需求评估!$A:$T,20,0)</f>
        <v>Intelligent Stamp Management Platform</v>
      </c>
    </row>
    <row r="66" spans="2:21" ht="14.25" thickBot="1" x14ac:dyDescent="0.45">
      <c r="B66" s="343"/>
      <c r="C66" s="17">
        <v>3</v>
      </c>
      <c r="D66" s="17" t="s">
        <v>446</v>
      </c>
      <c r="E66" s="17">
        <v>10</v>
      </c>
      <c r="F66" s="364"/>
      <c r="G66" s="364"/>
      <c r="H66" s="367"/>
      <c r="I66" s="72"/>
      <c r="J66" s="88"/>
      <c r="K66" s="118"/>
      <c r="L66" s="88"/>
      <c r="M66" s="16"/>
      <c r="R66">
        <v>24</v>
      </c>
      <c r="S66" t="s">
        <v>424</v>
      </c>
      <c r="T66" t="s">
        <v>425</v>
      </c>
      <c r="U66" t="str">
        <f>VLOOKUP(R66,需求评估!$A:$T,20,0)</f>
        <v>WW Hub Special Request Desk</v>
      </c>
    </row>
    <row r="67" spans="2:21" ht="14.25" thickBot="1" x14ac:dyDescent="0.45">
      <c r="B67" s="343"/>
      <c r="C67" s="17">
        <v>6</v>
      </c>
      <c r="D67" s="124" t="s">
        <v>447</v>
      </c>
      <c r="E67" s="17">
        <v>32</v>
      </c>
      <c r="F67" s="364"/>
      <c r="G67" s="364"/>
      <c r="H67" s="367"/>
      <c r="I67" s="72"/>
      <c r="J67" s="88"/>
      <c r="K67" s="118"/>
      <c r="R67">
        <v>22</v>
      </c>
      <c r="S67" t="s">
        <v>409</v>
      </c>
      <c r="T67" t="s">
        <v>410</v>
      </c>
      <c r="U67" t="e">
        <f>VLOOKUP(R67,需求评估!$A:$T,20,0)</f>
        <v>#N/A</v>
      </c>
    </row>
    <row r="68" spans="2:21" ht="14.25" thickBot="1" x14ac:dyDescent="0.45">
      <c r="B68" s="343"/>
      <c r="C68" s="17">
        <v>8</v>
      </c>
      <c r="D68" s="17" t="s">
        <v>448</v>
      </c>
      <c r="E68" s="17">
        <v>120</v>
      </c>
      <c r="F68" s="364"/>
      <c r="G68" s="364"/>
      <c r="H68" s="367"/>
      <c r="I68" s="72"/>
      <c r="J68" s="88"/>
      <c r="K68" s="118"/>
      <c r="R68">
        <v>23</v>
      </c>
      <c r="S68" t="s">
        <v>424</v>
      </c>
      <c r="T68" t="s">
        <v>425</v>
      </c>
      <c r="U68" t="e">
        <f>VLOOKUP(R68,需求评估!$A:$T,20,0)</f>
        <v>#N/A</v>
      </c>
    </row>
    <row r="69" spans="2:21" ht="14.25" thickBot="1" x14ac:dyDescent="0.45">
      <c r="B69" s="343"/>
      <c r="C69" s="17">
        <v>9</v>
      </c>
      <c r="D69" s="17" t="s">
        <v>449</v>
      </c>
      <c r="E69" s="17">
        <v>60</v>
      </c>
      <c r="F69" s="364"/>
      <c r="G69" s="364"/>
      <c r="H69" s="367"/>
      <c r="I69" s="72"/>
      <c r="J69" s="88"/>
      <c r="K69" s="118"/>
      <c r="R69">
        <v>25</v>
      </c>
      <c r="S69" t="s">
        <v>411</v>
      </c>
      <c r="T69" t="s">
        <v>412</v>
      </c>
      <c r="U69" t="e">
        <f>VLOOKUP(R69,需求评估!$A:$T,20,0)</f>
        <v>#N/A</v>
      </c>
    </row>
    <row r="70" spans="2:21" ht="14.25" thickBot="1" x14ac:dyDescent="0.45">
      <c r="B70" s="343"/>
      <c r="C70" s="17">
        <v>10</v>
      </c>
      <c r="D70" s="17" t="s">
        <v>439</v>
      </c>
      <c r="E70" s="17">
        <v>12</v>
      </c>
      <c r="F70" s="364"/>
      <c r="G70" s="364"/>
      <c r="H70" s="367"/>
      <c r="I70" s="72"/>
      <c r="J70" s="88"/>
      <c r="K70" s="118"/>
      <c r="R70">
        <v>26</v>
      </c>
      <c r="S70" t="s">
        <v>411</v>
      </c>
      <c r="T70" t="s">
        <v>412</v>
      </c>
      <c r="U70" t="str">
        <f>VLOOKUP(R70,需求评估!$A:$T,20,0)</f>
        <v>LaaS Website and App</v>
      </c>
    </row>
    <row r="71" spans="2:21" ht="14.25" thickBot="1" x14ac:dyDescent="0.45">
      <c r="B71" s="343"/>
      <c r="C71" s="17">
        <v>13</v>
      </c>
      <c r="D71" s="17" t="s">
        <v>374</v>
      </c>
      <c r="E71" s="17">
        <v>8</v>
      </c>
      <c r="F71" s="364"/>
      <c r="G71" s="364"/>
      <c r="H71" s="367"/>
      <c r="I71" s="72"/>
      <c r="J71" s="88"/>
      <c r="K71" s="118"/>
      <c r="R71">
        <v>27</v>
      </c>
      <c r="S71" t="s">
        <v>413</v>
      </c>
      <c r="T71" t="s">
        <v>413</v>
      </c>
      <c r="U71" t="e">
        <f>VLOOKUP(R71,需求评估!$A:$T,20,0)</f>
        <v>#N/A</v>
      </c>
    </row>
    <row r="72" spans="2:21" ht="14.25" thickBot="1" x14ac:dyDescent="0.45">
      <c r="B72" s="343"/>
      <c r="C72" s="17">
        <v>14</v>
      </c>
      <c r="D72" s="17" t="s">
        <v>364</v>
      </c>
      <c r="E72" s="17">
        <v>10</v>
      </c>
      <c r="F72" s="364"/>
      <c r="G72" s="364"/>
      <c r="H72" s="367"/>
      <c r="I72" s="72"/>
      <c r="J72" s="88"/>
      <c r="K72" s="118"/>
      <c r="R72">
        <v>28</v>
      </c>
      <c r="S72" t="s">
        <v>444</v>
      </c>
      <c r="T72" t="s">
        <v>445</v>
      </c>
      <c r="U72" t="e">
        <f>VLOOKUP(R72,需求评估!$A:$T,20,0)</f>
        <v>#N/A</v>
      </c>
    </row>
    <row r="73" spans="2:21" ht="15" customHeight="1" thickBot="1" x14ac:dyDescent="0.45">
      <c r="B73" s="343"/>
      <c r="C73" s="17">
        <v>16</v>
      </c>
      <c r="D73" s="17" t="s">
        <v>48</v>
      </c>
      <c r="E73" s="17">
        <v>15</v>
      </c>
      <c r="F73" s="364"/>
      <c r="G73" s="364"/>
      <c r="H73" s="367"/>
      <c r="I73" s="72"/>
      <c r="J73" s="88"/>
      <c r="K73" s="118"/>
      <c r="R73">
        <v>29</v>
      </c>
      <c r="S73" t="s">
        <v>444</v>
      </c>
      <c r="T73" t="s">
        <v>445</v>
      </c>
      <c r="U73" t="str">
        <f>VLOOKUP(R73,需求评估!$A:$T,20,0)</f>
        <v>ISG Service FRU</v>
      </c>
    </row>
    <row r="74" spans="2:21" ht="15" customHeight="1" thickBot="1" x14ac:dyDescent="0.45">
      <c r="B74" s="343"/>
      <c r="C74" s="17">
        <v>17</v>
      </c>
      <c r="D74" s="17" t="s">
        <v>368</v>
      </c>
      <c r="E74" s="17">
        <v>20</v>
      </c>
      <c r="F74" s="364"/>
      <c r="G74" s="364"/>
      <c r="H74" s="367"/>
      <c r="I74" s="72"/>
      <c r="J74" s="88"/>
      <c r="K74" s="118"/>
      <c r="Q74" s="59"/>
      <c r="R74">
        <v>30</v>
      </c>
      <c r="S74" t="s">
        <v>431</v>
      </c>
      <c r="T74" t="s">
        <v>432</v>
      </c>
      <c r="U74" t="str">
        <f>VLOOKUP(R74,需求评估!$A:$T,20,0)</f>
        <v>Live Interception Platform V1</v>
      </c>
    </row>
    <row r="75" spans="2:21" ht="8.65" customHeight="1" thickBot="1" x14ac:dyDescent="0.45">
      <c r="B75" s="343"/>
      <c r="C75" s="17">
        <v>18</v>
      </c>
      <c r="D75" s="17" t="s">
        <v>450</v>
      </c>
      <c r="E75" s="17">
        <v>5</v>
      </c>
      <c r="F75" s="364"/>
      <c r="G75" s="364"/>
      <c r="H75" s="367"/>
      <c r="I75" s="72"/>
      <c r="J75" s="88"/>
      <c r="K75" s="118"/>
    </row>
    <row r="76" spans="2:21" ht="14.25" thickBot="1" x14ac:dyDescent="0.45">
      <c r="B76" s="343"/>
      <c r="C76" s="17">
        <v>19</v>
      </c>
      <c r="D76" s="17" t="s">
        <v>367</v>
      </c>
      <c r="E76" s="17">
        <v>60</v>
      </c>
      <c r="F76" s="364"/>
      <c r="G76" s="364"/>
      <c r="H76" s="367"/>
      <c r="I76" s="72"/>
      <c r="J76" s="88"/>
      <c r="K76" s="118"/>
    </row>
    <row r="77" spans="2:21" ht="14.25" thickBot="1" x14ac:dyDescent="0.45">
      <c r="B77" s="343"/>
      <c r="C77" s="17">
        <v>20</v>
      </c>
      <c r="D77" s="17" t="s">
        <v>379</v>
      </c>
      <c r="E77" s="17">
        <v>50</v>
      </c>
      <c r="F77" s="364"/>
      <c r="G77" s="364"/>
      <c r="H77" s="367"/>
      <c r="I77" s="72"/>
      <c r="J77" s="88"/>
      <c r="K77" s="118"/>
      <c r="L77" s="88"/>
      <c r="M77" s="16"/>
    </row>
    <row r="78" spans="2:21" ht="15" customHeight="1" thickBot="1" x14ac:dyDescent="0.45">
      <c r="B78" s="343"/>
      <c r="C78" s="17">
        <v>21</v>
      </c>
      <c r="D78" s="17" t="s">
        <v>380</v>
      </c>
      <c r="E78" s="17">
        <v>20</v>
      </c>
      <c r="F78" s="364"/>
      <c r="G78" s="364"/>
      <c r="H78" s="367"/>
      <c r="I78" s="72"/>
      <c r="J78" s="88"/>
      <c r="K78" s="118"/>
      <c r="L78" s="88"/>
      <c r="M78" s="16"/>
    </row>
    <row r="79" spans="2:21" ht="14.25" thickBot="1" x14ac:dyDescent="0.45">
      <c r="B79" s="344"/>
      <c r="C79" s="17">
        <v>24</v>
      </c>
      <c r="D79" s="17" t="s">
        <v>369</v>
      </c>
      <c r="E79" s="17">
        <v>20</v>
      </c>
      <c r="F79" s="365"/>
      <c r="G79" s="365"/>
      <c r="H79" s="368"/>
      <c r="I79" s="72"/>
      <c r="J79" s="88"/>
      <c r="K79" s="118"/>
      <c r="L79" s="88"/>
      <c r="M79" s="16"/>
    </row>
    <row r="80" spans="2:21" ht="22.5" thickBot="1" x14ac:dyDescent="0.45">
      <c r="B80" s="18"/>
      <c r="C80" s="19"/>
      <c r="D80" s="19"/>
      <c r="E80" s="19"/>
      <c r="F80" s="22"/>
      <c r="G80" s="22"/>
      <c r="H80" s="23"/>
      <c r="I80" s="90"/>
      <c r="J80"/>
      <c r="K80" s="118"/>
      <c r="L80" s="88"/>
      <c r="M80" s="16"/>
    </row>
    <row r="81" spans="2:13" ht="14.25" thickBot="1" x14ac:dyDescent="0.45">
      <c r="B81" s="378" t="s">
        <v>441</v>
      </c>
      <c r="C81" s="17">
        <v>22</v>
      </c>
      <c r="D81" s="17" t="s">
        <v>69</v>
      </c>
      <c r="E81" s="17">
        <v>15</v>
      </c>
      <c r="F81" s="364">
        <v>23940</v>
      </c>
      <c r="G81" s="364">
        <v>6840</v>
      </c>
      <c r="H81" s="367">
        <v>200</v>
      </c>
      <c r="I81" s="72"/>
      <c r="J81" s="88"/>
      <c r="K81" s="118"/>
      <c r="L81" s="88"/>
      <c r="M81" s="16"/>
    </row>
    <row r="82" spans="2:13" ht="14.25" thickBot="1" x14ac:dyDescent="0.45">
      <c r="B82" s="343"/>
      <c r="C82" s="17">
        <v>23</v>
      </c>
      <c r="D82" s="17" t="s">
        <v>375</v>
      </c>
      <c r="E82" s="17">
        <v>20</v>
      </c>
      <c r="F82" s="364"/>
      <c r="G82" s="364"/>
      <c r="H82" s="367"/>
      <c r="I82" s="72"/>
      <c r="J82" s="88"/>
      <c r="K82" s="118"/>
      <c r="L82" s="88"/>
      <c r="M82" s="16"/>
    </row>
    <row r="83" spans="2:13" ht="14.25" thickBot="1" x14ac:dyDescent="0.45">
      <c r="B83" s="343"/>
      <c r="C83" s="17">
        <v>25</v>
      </c>
      <c r="D83" s="17" t="s">
        <v>376</v>
      </c>
      <c r="E83" s="17">
        <v>30</v>
      </c>
      <c r="F83" s="364"/>
      <c r="G83" s="364"/>
      <c r="H83" s="367"/>
      <c r="I83" s="72"/>
      <c r="J83" s="88"/>
      <c r="K83" s="118"/>
      <c r="L83" s="88"/>
      <c r="M83" s="16"/>
    </row>
    <row r="84" spans="2:13" ht="14.25" thickBot="1" x14ac:dyDescent="0.45">
      <c r="B84" s="344"/>
      <c r="C84" s="17">
        <v>26</v>
      </c>
      <c r="D84" s="17" t="s">
        <v>366</v>
      </c>
      <c r="E84" s="17">
        <v>30</v>
      </c>
      <c r="F84" s="365"/>
      <c r="G84" s="365"/>
      <c r="H84" s="368"/>
      <c r="I84" s="72"/>
      <c r="J84" s="88"/>
      <c r="K84" s="118"/>
      <c r="L84" s="16"/>
    </row>
    <row r="85" spans="2:13" ht="22.5" thickBot="1" x14ac:dyDescent="0.45">
      <c r="B85" s="61"/>
      <c r="C85" s="62"/>
      <c r="D85" s="62"/>
      <c r="E85" s="62"/>
      <c r="F85" s="63"/>
      <c r="G85" s="63"/>
      <c r="H85" s="64"/>
      <c r="I85" s="91"/>
      <c r="J85" s="88"/>
      <c r="K85" s="118"/>
      <c r="L85" s="16"/>
    </row>
    <row r="86" spans="2:13" ht="22.5" thickBot="1" x14ac:dyDescent="0.45">
      <c r="B86" s="382" t="s">
        <v>451</v>
      </c>
      <c r="C86" s="65">
        <v>27</v>
      </c>
      <c r="D86" s="65" t="s">
        <v>372</v>
      </c>
      <c r="E86" s="66"/>
      <c r="F86" s="387" t="s">
        <v>91</v>
      </c>
      <c r="G86" s="387"/>
      <c r="H86" s="388"/>
      <c r="I86" s="73"/>
      <c r="J86" s="88"/>
      <c r="K86" s="118"/>
      <c r="L86" s="16"/>
    </row>
    <row r="87" spans="2:13" ht="22.5" thickBot="1" x14ac:dyDescent="0.45">
      <c r="B87" s="383"/>
      <c r="C87" s="17">
        <v>28</v>
      </c>
      <c r="D87" s="17" t="s">
        <v>377</v>
      </c>
      <c r="E87" s="19"/>
      <c r="F87" s="345"/>
      <c r="G87" s="345"/>
      <c r="H87" s="389"/>
      <c r="I87" s="73"/>
      <c r="J87" s="88"/>
      <c r="K87" s="118"/>
      <c r="L87" s="16"/>
    </row>
    <row r="88" spans="2:13" ht="15" customHeight="1" thickBot="1" x14ac:dyDescent="0.45">
      <c r="B88" s="383"/>
      <c r="C88" s="67">
        <v>29</v>
      </c>
      <c r="D88" s="67" t="s">
        <v>365</v>
      </c>
      <c r="E88" s="68"/>
      <c r="F88" s="345"/>
      <c r="G88" s="345"/>
      <c r="H88" s="389"/>
      <c r="I88" s="73"/>
      <c r="J88" s="88"/>
      <c r="K88" s="118"/>
      <c r="L88" s="16"/>
    </row>
    <row r="89" spans="2:13" ht="15" customHeight="1" thickBot="1" x14ac:dyDescent="0.45">
      <c r="B89" s="384"/>
      <c r="C89" s="67">
        <v>30</v>
      </c>
      <c r="D89" s="89" t="s">
        <v>452</v>
      </c>
      <c r="E89" s="68"/>
      <c r="F89" s="390"/>
      <c r="G89" s="390"/>
      <c r="H89" s="391"/>
      <c r="I89" s="73"/>
      <c r="J89" s="88"/>
      <c r="K89" s="118"/>
      <c r="L89" s="16"/>
    </row>
    <row r="90" spans="2:13" ht="15" customHeight="1" x14ac:dyDescent="0.4">
      <c r="C90" s="87"/>
      <c r="D90" s="87"/>
      <c r="I90" s="73"/>
      <c r="J90" s="88"/>
      <c r="K90" s="118"/>
      <c r="L90" s="16"/>
    </row>
    <row r="91" spans="2:13" ht="15" customHeight="1" x14ac:dyDescent="0.4">
      <c r="I91" s="73"/>
      <c r="J91" s="88"/>
      <c r="K91" s="118"/>
      <c r="L91" s="16"/>
    </row>
    <row r="92" spans="2:13" ht="15" customHeight="1" x14ac:dyDescent="0.4">
      <c r="I92" s="73"/>
      <c r="J92" s="88"/>
      <c r="K92" s="118"/>
      <c r="L92" s="16"/>
    </row>
    <row r="93" spans="2:13" ht="15" customHeight="1" x14ac:dyDescent="0.4">
      <c r="I93" s="73"/>
      <c r="J93" s="88"/>
      <c r="K93" s="118"/>
      <c r="L93" s="16"/>
    </row>
    <row r="94" spans="2:13" ht="15" customHeight="1" x14ac:dyDescent="0.4">
      <c r="I94" s="73"/>
      <c r="J94" s="88"/>
      <c r="K94" s="118"/>
      <c r="L94" s="16"/>
    </row>
    <row r="95" spans="2:13" ht="15" customHeight="1" thickBot="1" x14ac:dyDescent="0.45"/>
    <row r="96" spans="2:13" ht="15" customHeight="1" thickBot="1" x14ac:dyDescent="0.45">
      <c r="B96" s="392" t="s">
        <v>453</v>
      </c>
      <c r="C96" s="359" t="s">
        <v>0</v>
      </c>
      <c r="D96" s="359" t="s">
        <v>454</v>
      </c>
      <c r="E96" s="359" t="s">
        <v>455</v>
      </c>
      <c r="F96" s="26" t="s">
        <v>422</v>
      </c>
      <c r="G96" s="357" t="s">
        <v>456</v>
      </c>
      <c r="H96" s="358"/>
      <c r="I96" s="88"/>
      <c r="J96" s="29"/>
      <c r="K96" s="119" t="s">
        <v>457</v>
      </c>
      <c r="L96" s="30" t="s">
        <v>458</v>
      </c>
      <c r="M96" s="30" t="s">
        <v>459</v>
      </c>
    </row>
    <row r="97" spans="2:14" ht="15" customHeight="1" x14ac:dyDescent="0.4">
      <c r="B97" s="393"/>
      <c r="C97" s="395"/>
      <c r="D97" s="395"/>
      <c r="E97" s="395"/>
      <c r="F97" s="359" t="s">
        <v>460</v>
      </c>
      <c r="G97" s="359" t="s">
        <v>461</v>
      </c>
      <c r="H97" s="361" t="s">
        <v>462</v>
      </c>
      <c r="I97" s="88"/>
      <c r="J97" s="31" t="s">
        <v>463</v>
      </c>
      <c r="K97" s="120">
        <f>N59</f>
        <v>99789.18</v>
      </c>
      <c r="L97" s="33"/>
      <c r="M97" s="34">
        <f>SUM(K90:L90)</f>
        <v>0</v>
      </c>
    </row>
    <row r="98" spans="2:14" ht="15" customHeight="1" thickBot="1" x14ac:dyDescent="0.45">
      <c r="B98" s="394"/>
      <c r="C98" s="360"/>
      <c r="D98" s="360"/>
      <c r="E98" s="360"/>
      <c r="F98" s="360"/>
      <c r="G98" s="360"/>
      <c r="H98" s="362"/>
      <c r="I98" s="88"/>
      <c r="J98" s="35" t="s">
        <v>464</v>
      </c>
      <c r="K98" s="120">
        <f t="shared" ref="K98:K99" si="2">N60</f>
        <v>277671</v>
      </c>
      <c r="L98" s="37">
        <f>O60</f>
        <v>17158</v>
      </c>
      <c r="M98" s="34">
        <f>SUM(K91:L91)</f>
        <v>0</v>
      </c>
    </row>
    <row r="99" spans="2:14" ht="18" customHeight="1" thickBot="1" x14ac:dyDescent="0.45">
      <c r="B99" s="378" t="s">
        <v>465</v>
      </c>
      <c r="C99" s="17">
        <v>2</v>
      </c>
      <c r="D99" s="17" t="s">
        <v>169</v>
      </c>
      <c r="E99" s="17">
        <v>15</v>
      </c>
      <c r="F99" s="379">
        <f>F54</f>
        <v>42588</v>
      </c>
      <c r="G99" s="363">
        <f>G54</f>
        <v>12168</v>
      </c>
      <c r="H99" s="366">
        <f>H54</f>
        <v>500</v>
      </c>
      <c r="I99" s="88"/>
      <c r="J99" s="35" t="s">
        <v>466</v>
      </c>
      <c r="K99" s="120">
        <f t="shared" si="2"/>
        <v>201960</v>
      </c>
      <c r="L99" s="37">
        <f>O61</f>
        <v>60688.5</v>
      </c>
      <c r="M99" s="34">
        <f>SUM(K92:L92)</f>
        <v>0</v>
      </c>
    </row>
    <row r="100" spans="2:14" ht="15" customHeight="1" thickBot="1" x14ac:dyDescent="0.45">
      <c r="B100" s="343"/>
      <c r="C100" s="17">
        <v>3</v>
      </c>
      <c r="D100" s="27" t="s">
        <v>467</v>
      </c>
      <c r="E100" s="17">
        <v>20</v>
      </c>
      <c r="F100" s="380"/>
      <c r="G100" s="364"/>
      <c r="H100" s="367"/>
      <c r="I100" s="88"/>
      <c r="J100" s="28" t="s">
        <v>468</v>
      </c>
      <c r="K100" s="121">
        <f>SUM(K97:K99)</f>
        <v>579420.17999999993</v>
      </c>
      <c r="L100" s="28">
        <f>SUM(L97:L99)</f>
        <v>77846.5</v>
      </c>
      <c r="M100" s="28">
        <f>SUM(M97:M99)</f>
        <v>0</v>
      </c>
    </row>
    <row r="101" spans="2:14" ht="15" customHeight="1" thickBot="1" x14ac:dyDescent="0.45">
      <c r="B101" s="343"/>
      <c r="C101" s="17">
        <v>4</v>
      </c>
      <c r="D101" s="17" t="s">
        <v>469</v>
      </c>
      <c r="E101" s="17">
        <v>15</v>
      </c>
      <c r="F101" s="380"/>
      <c r="G101" s="364"/>
      <c r="H101" s="367"/>
      <c r="I101" s="88"/>
      <c r="J101" s="28" t="s">
        <v>470</v>
      </c>
      <c r="K101" s="121"/>
      <c r="L101" s="28">
        <f>O62</f>
        <v>119532.5</v>
      </c>
      <c r="M101" s="28">
        <f>SUM(L101)</f>
        <v>119532.5</v>
      </c>
    </row>
    <row r="102" spans="2:14" ht="15" customHeight="1" thickBot="1" x14ac:dyDescent="0.45">
      <c r="B102" s="343"/>
      <c r="C102" s="17">
        <v>5</v>
      </c>
      <c r="D102" s="17" t="s">
        <v>199</v>
      </c>
      <c r="E102" s="17">
        <v>5</v>
      </c>
      <c r="F102" s="380"/>
      <c r="G102" s="364"/>
      <c r="H102" s="367"/>
      <c r="I102" s="88"/>
      <c r="J102"/>
    </row>
    <row r="103" spans="2:14" ht="15" customHeight="1" thickBot="1" x14ac:dyDescent="0.45">
      <c r="B103" s="343"/>
      <c r="C103" s="17">
        <v>6</v>
      </c>
      <c r="D103" s="17" t="s">
        <v>471</v>
      </c>
      <c r="E103" s="17">
        <v>28</v>
      </c>
      <c r="F103" s="380"/>
      <c r="G103" s="364"/>
      <c r="H103" s="367"/>
      <c r="I103" s="88"/>
      <c r="J103"/>
    </row>
    <row r="104" spans="2:14" ht="15" customHeight="1" thickBot="1" x14ac:dyDescent="0.45">
      <c r="B104" s="343"/>
      <c r="C104" s="17">
        <v>7</v>
      </c>
      <c r="D104" s="17" t="s">
        <v>472</v>
      </c>
      <c r="E104" s="17">
        <v>24</v>
      </c>
      <c r="F104" s="380"/>
      <c r="G104" s="364"/>
      <c r="H104" s="367"/>
      <c r="I104" s="88"/>
      <c r="J104"/>
      <c r="N104" s="167">
        <f>P207-P64</f>
        <v>-197117.49999999994</v>
      </c>
    </row>
    <row r="105" spans="2:14" ht="15" customHeight="1" thickBot="1" x14ac:dyDescent="0.45">
      <c r="B105" s="343"/>
      <c r="C105" s="17">
        <v>10</v>
      </c>
      <c r="D105" s="17" t="s">
        <v>473</v>
      </c>
      <c r="E105" s="17">
        <v>12</v>
      </c>
      <c r="F105" s="380"/>
      <c r="G105" s="364"/>
      <c r="H105" s="367"/>
      <c r="I105" s="88"/>
    </row>
    <row r="106" spans="2:14" ht="15" customHeight="1" thickBot="1" x14ac:dyDescent="0.45">
      <c r="B106" s="343"/>
      <c r="C106" s="17">
        <v>11</v>
      </c>
      <c r="D106" s="17" t="s">
        <v>474</v>
      </c>
      <c r="E106" s="17">
        <v>40</v>
      </c>
      <c r="F106" s="380"/>
      <c r="G106" s="364"/>
      <c r="H106" s="367"/>
      <c r="I106" s="88"/>
    </row>
    <row r="107" spans="2:14" ht="15" customHeight="1" thickBot="1" x14ac:dyDescent="0.45">
      <c r="B107" s="343"/>
      <c r="C107" s="17">
        <v>12</v>
      </c>
      <c r="D107" s="17" t="s">
        <v>475</v>
      </c>
      <c r="E107" s="17">
        <v>5</v>
      </c>
      <c r="F107" s="380"/>
      <c r="G107" s="364"/>
      <c r="H107" s="367"/>
      <c r="I107" s="88"/>
    </row>
    <row r="108" spans="2:14" ht="15" customHeight="1" thickBot="1" x14ac:dyDescent="0.45">
      <c r="B108" s="344"/>
      <c r="C108" s="17">
        <v>15</v>
      </c>
      <c r="D108" s="17" t="s">
        <v>101</v>
      </c>
      <c r="E108" s="17">
        <v>5</v>
      </c>
      <c r="F108" s="381"/>
      <c r="G108" s="365"/>
      <c r="H108" s="368"/>
      <c r="I108" s="88"/>
    </row>
    <row r="109" spans="2:14" ht="15" customHeight="1" thickBot="1" x14ac:dyDescent="0.45">
      <c r="B109" s="18"/>
      <c r="C109" s="19"/>
      <c r="D109" s="19"/>
      <c r="E109" s="19"/>
      <c r="F109" s="22"/>
      <c r="G109" s="22"/>
      <c r="H109" s="23"/>
      <c r="I109" s="88"/>
    </row>
    <row r="110" spans="2:14" ht="15" customHeight="1" thickBot="1" x14ac:dyDescent="0.45">
      <c r="B110" s="378" t="s">
        <v>476</v>
      </c>
      <c r="C110" s="17">
        <v>1</v>
      </c>
      <c r="D110" s="17" t="s">
        <v>362</v>
      </c>
      <c r="E110" s="17">
        <v>12</v>
      </c>
      <c r="F110" s="363">
        <f>F65</f>
        <v>114408</v>
      </c>
      <c r="G110" s="363">
        <f>G65</f>
        <v>32688</v>
      </c>
      <c r="H110" s="366">
        <f>H65</f>
        <v>900</v>
      </c>
      <c r="I110" s="88"/>
    </row>
    <row r="111" spans="2:14" ht="15" customHeight="1" thickBot="1" x14ac:dyDescent="0.45">
      <c r="B111" s="343"/>
      <c r="C111" s="17">
        <v>3</v>
      </c>
      <c r="D111" s="17" t="s">
        <v>477</v>
      </c>
      <c r="E111" s="17">
        <v>10</v>
      </c>
      <c r="F111" s="364"/>
      <c r="G111" s="364"/>
      <c r="H111" s="367"/>
      <c r="I111" s="88"/>
    </row>
    <row r="112" spans="2:14" ht="15" customHeight="1" thickBot="1" x14ac:dyDescent="0.45">
      <c r="B112" s="343"/>
      <c r="C112" s="17">
        <v>6</v>
      </c>
      <c r="D112" s="17" t="s">
        <v>478</v>
      </c>
      <c r="E112" s="17">
        <v>32</v>
      </c>
      <c r="F112" s="364"/>
      <c r="G112" s="364"/>
      <c r="H112" s="367"/>
      <c r="I112" s="88"/>
    </row>
    <row r="113" spans="2:10" ht="15" customHeight="1" thickBot="1" x14ac:dyDescent="0.45">
      <c r="B113" s="343"/>
      <c r="C113" s="17">
        <v>8</v>
      </c>
      <c r="D113" s="27" t="s">
        <v>448</v>
      </c>
      <c r="E113" s="17">
        <v>120</v>
      </c>
      <c r="F113" s="364"/>
      <c r="G113" s="364"/>
      <c r="H113" s="367"/>
      <c r="I113" s="88"/>
    </row>
    <row r="114" spans="2:10" ht="15" customHeight="1" thickBot="1" x14ac:dyDescent="0.45">
      <c r="B114" s="343"/>
      <c r="C114" s="17">
        <v>9</v>
      </c>
      <c r="D114" s="17" t="s">
        <v>449</v>
      </c>
      <c r="E114" s="17">
        <v>60</v>
      </c>
      <c r="F114" s="364"/>
      <c r="G114" s="364"/>
      <c r="H114" s="367"/>
      <c r="I114" s="88"/>
    </row>
    <row r="115" spans="2:10" ht="15" customHeight="1" thickBot="1" x14ac:dyDescent="0.45">
      <c r="B115" s="343"/>
      <c r="C115" s="17">
        <v>10</v>
      </c>
      <c r="D115" s="17" t="s">
        <v>479</v>
      </c>
      <c r="E115" s="17">
        <v>12</v>
      </c>
      <c r="F115" s="364"/>
      <c r="G115" s="364"/>
      <c r="H115" s="367"/>
      <c r="I115" s="88"/>
    </row>
    <row r="116" spans="2:10" ht="15" customHeight="1" thickBot="1" x14ac:dyDescent="0.45">
      <c r="B116" s="343"/>
      <c r="C116" s="17">
        <v>13</v>
      </c>
      <c r="D116" s="17" t="s">
        <v>245</v>
      </c>
      <c r="E116" s="17">
        <v>8</v>
      </c>
      <c r="F116" s="364"/>
      <c r="G116" s="364"/>
      <c r="H116" s="367"/>
      <c r="I116" s="88"/>
    </row>
    <row r="117" spans="2:10" ht="15" customHeight="1" thickBot="1" x14ac:dyDescent="0.45">
      <c r="B117" s="343"/>
      <c r="C117" s="17">
        <v>14</v>
      </c>
      <c r="D117" s="17" t="s">
        <v>250</v>
      </c>
      <c r="E117" s="17">
        <v>10</v>
      </c>
      <c r="F117" s="364"/>
      <c r="G117" s="364"/>
      <c r="H117" s="367"/>
      <c r="I117" s="88"/>
    </row>
    <row r="118" spans="2:10" ht="15" customHeight="1" thickBot="1" x14ac:dyDescent="0.45">
      <c r="B118" s="343"/>
      <c r="C118" s="17">
        <v>16</v>
      </c>
      <c r="D118" s="17" t="s">
        <v>53</v>
      </c>
      <c r="E118" s="17">
        <v>15</v>
      </c>
      <c r="F118" s="364"/>
      <c r="G118" s="364"/>
      <c r="H118" s="367"/>
      <c r="I118" s="88"/>
    </row>
    <row r="119" spans="2:10" ht="15" customHeight="1" thickBot="1" x14ac:dyDescent="0.45">
      <c r="B119" s="343"/>
      <c r="C119" s="17">
        <v>17</v>
      </c>
      <c r="D119" s="17" t="s">
        <v>66</v>
      </c>
      <c r="E119" s="17">
        <v>20</v>
      </c>
      <c r="F119" s="364"/>
      <c r="G119" s="364"/>
      <c r="H119" s="367"/>
      <c r="I119" s="88"/>
    </row>
    <row r="120" spans="2:10" ht="14.25" thickBot="1" x14ac:dyDescent="0.45">
      <c r="B120" s="343"/>
      <c r="C120" s="17">
        <v>18</v>
      </c>
      <c r="D120" s="17" t="s">
        <v>480</v>
      </c>
      <c r="E120" s="17">
        <v>5</v>
      </c>
      <c r="F120" s="364"/>
      <c r="G120" s="364"/>
      <c r="H120" s="367"/>
      <c r="I120" s="88"/>
    </row>
    <row r="121" spans="2:10" ht="14.25" thickBot="1" x14ac:dyDescent="0.45">
      <c r="B121" s="343"/>
      <c r="C121" s="17">
        <v>19</v>
      </c>
      <c r="D121" s="17" t="s">
        <v>144</v>
      </c>
      <c r="E121" s="17">
        <v>60</v>
      </c>
      <c r="F121" s="364"/>
      <c r="G121" s="364"/>
      <c r="H121" s="367"/>
      <c r="I121" s="88"/>
    </row>
    <row r="122" spans="2:10" ht="14.25" thickBot="1" x14ac:dyDescent="0.45">
      <c r="B122" s="343"/>
      <c r="C122" s="17">
        <v>20</v>
      </c>
      <c r="D122" s="17" t="s">
        <v>150</v>
      </c>
      <c r="E122" s="17">
        <v>50</v>
      </c>
      <c r="F122" s="364"/>
      <c r="G122" s="364"/>
      <c r="H122" s="367"/>
      <c r="I122" s="88"/>
      <c r="J122"/>
    </row>
    <row r="123" spans="2:10" ht="14.25" thickBot="1" x14ac:dyDescent="0.45">
      <c r="B123" s="343"/>
      <c r="C123" s="17">
        <v>21</v>
      </c>
      <c r="D123" s="17" t="s">
        <v>381</v>
      </c>
      <c r="E123" s="17">
        <v>20</v>
      </c>
      <c r="F123" s="364"/>
      <c r="G123" s="364"/>
      <c r="H123" s="367"/>
      <c r="I123" s="88"/>
      <c r="J123"/>
    </row>
    <row r="124" spans="2:10" ht="14.25" thickBot="1" x14ac:dyDescent="0.45">
      <c r="B124" s="344"/>
      <c r="C124" s="17">
        <v>24</v>
      </c>
      <c r="D124" s="17" t="s">
        <v>370</v>
      </c>
      <c r="E124" s="17">
        <v>20</v>
      </c>
      <c r="F124" s="365"/>
      <c r="G124" s="365"/>
      <c r="H124" s="368"/>
      <c r="I124" s="88"/>
      <c r="J124"/>
    </row>
    <row r="125" spans="2:10" ht="14.25" thickBot="1" x14ac:dyDescent="0.45">
      <c r="B125" s="51"/>
      <c r="C125" s="17"/>
      <c r="D125" s="17"/>
      <c r="E125" s="17"/>
      <c r="F125" s="53"/>
      <c r="G125" s="53"/>
      <c r="H125" s="52"/>
      <c r="I125" s="88"/>
      <c r="J125"/>
    </row>
    <row r="126" spans="2:10" ht="14.25" thickBot="1" x14ac:dyDescent="0.45">
      <c r="B126" s="343" t="s">
        <v>481</v>
      </c>
      <c r="C126" s="17">
        <v>22</v>
      </c>
      <c r="D126" s="17" t="s">
        <v>72</v>
      </c>
      <c r="E126" s="17">
        <v>15</v>
      </c>
      <c r="F126" s="364">
        <f>F81</f>
        <v>23940</v>
      </c>
      <c r="G126" s="364">
        <f t="shared" ref="G126:H126" si="3">G81</f>
        <v>6840</v>
      </c>
      <c r="H126" s="373">
        <f t="shared" si="3"/>
        <v>200</v>
      </c>
      <c r="I126" s="88"/>
      <c r="J126"/>
    </row>
    <row r="127" spans="2:10" ht="14.25" thickBot="1" x14ac:dyDescent="0.45">
      <c r="B127" s="343"/>
      <c r="C127" s="17">
        <v>23</v>
      </c>
      <c r="D127" s="17" t="s">
        <v>78</v>
      </c>
      <c r="E127" s="17">
        <v>20</v>
      </c>
      <c r="F127" s="364"/>
      <c r="G127" s="364"/>
      <c r="H127" s="374"/>
      <c r="I127" s="88"/>
      <c r="J127"/>
    </row>
    <row r="128" spans="2:10" ht="14.25" thickBot="1" x14ac:dyDescent="0.45">
      <c r="B128" s="343"/>
      <c r="C128" s="17">
        <v>25</v>
      </c>
      <c r="D128" s="17" t="s">
        <v>84</v>
      </c>
      <c r="E128" s="17">
        <v>30</v>
      </c>
      <c r="F128" s="364"/>
      <c r="G128" s="364"/>
      <c r="H128" s="374"/>
      <c r="I128" s="88"/>
      <c r="J128"/>
    </row>
    <row r="129" spans="2:15" ht="14.25" thickBot="1" x14ac:dyDescent="0.45">
      <c r="B129" s="343"/>
      <c r="C129" s="17">
        <v>26</v>
      </c>
      <c r="D129" s="17" t="s">
        <v>277</v>
      </c>
      <c r="E129" s="17">
        <v>30</v>
      </c>
      <c r="F129" s="365"/>
      <c r="G129" s="365"/>
      <c r="H129" s="375"/>
      <c r="I129" s="88"/>
      <c r="J129"/>
    </row>
    <row r="130" spans="2:15" ht="15" customHeight="1" thickBot="1" x14ac:dyDescent="0.45">
      <c r="B130" s="18"/>
      <c r="C130" s="19"/>
      <c r="D130" s="19"/>
      <c r="E130" s="19"/>
      <c r="F130" s="20"/>
      <c r="G130" s="20"/>
      <c r="H130" s="21"/>
      <c r="I130" s="88"/>
      <c r="J130"/>
    </row>
    <row r="131" spans="2:15" ht="22.5" thickBot="1" x14ac:dyDescent="0.45">
      <c r="B131" s="343" t="s">
        <v>311</v>
      </c>
      <c r="C131" s="17">
        <v>27</v>
      </c>
      <c r="D131" s="17" t="s">
        <v>482</v>
      </c>
      <c r="E131" s="19"/>
      <c r="F131" s="345" t="s">
        <v>311</v>
      </c>
      <c r="G131" s="345"/>
      <c r="H131" s="346"/>
      <c r="I131" s="88"/>
      <c r="J131"/>
    </row>
    <row r="132" spans="2:15" ht="22.5" thickBot="1" x14ac:dyDescent="0.45">
      <c r="B132" s="343"/>
      <c r="C132" s="17">
        <v>28</v>
      </c>
      <c r="D132" s="17" t="s">
        <v>96</v>
      </c>
      <c r="E132" s="19"/>
      <c r="F132" s="345"/>
      <c r="G132" s="345"/>
      <c r="H132" s="346"/>
      <c r="I132" s="88"/>
      <c r="J132"/>
    </row>
    <row r="133" spans="2:15" ht="22.5" thickBot="1" x14ac:dyDescent="0.45">
      <c r="B133" s="344"/>
      <c r="C133" s="17">
        <v>29</v>
      </c>
      <c r="D133" s="17" t="s">
        <v>365</v>
      </c>
      <c r="E133" s="19"/>
      <c r="F133" s="347"/>
      <c r="G133" s="347"/>
      <c r="H133" s="348"/>
      <c r="I133" s="88"/>
      <c r="J133"/>
    </row>
    <row r="134" spans="2:15" x14ac:dyDescent="0.4">
      <c r="I134" s="88"/>
    </row>
    <row r="135" spans="2:15" x14ac:dyDescent="0.4">
      <c r="I135" s="88"/>
    </row>
    <row r="136" spans="2:15" x14ac:dyDescent="0.4">
      <c r="I136" s="88"/>
      <c r="J136"/>
    </row>
    <row r="137" spans="2:15" ht="14.25" thickBot="1" x14ac:dyDescent="0.45">
      <c r="I137" s="88"/>
      <c r="J137"/>
    </row>
    <row r="138" spans="2:15" ht="26.65" thickBot="1" x14ac:dyDescent="0.45">
      <c r="B138" s="93" t="s">
        <v>483</v>
      </c>
      <c r="C138" s="94" t="s">
        <v>0</v>
      </c>
      <c r="D138" s="94" t="s">
        <v>454</v>
      </c>
      <c r="E138" s="94" t="s">
        <v>455</v>
      </c>
      <c r="F138" s="94" t="s">
        <v>484</v>
      </c>
      <c r="G138" s="94" t="s">
        <v>485</v>
      </c>
      <c r="H138" s="94" t="s">
        <v>486</v>
      </c>
      <c r="I138" s="94" t="s">
        <v>487</v>
      </c>
      <c r="J138" s="94" t="s">
        <v>488</v>
      </c>
      <c r="K138" s="83" t="s">
        <v>489</v>
      </c>
      <c r="M138" t="str">
        <f>IFERROR(_xlfn.XLOOKUP(N138,需求评估!A:A,需求评估!T:T),"")</f>
        <v>3PL Transport Bill Comparison</v>
      </c>
      <c r="N138" s="4">
        <v>1</v>
      </c>
      <c r="O138" s="3" t="s">
        <v>490</v>
      </c>
    </row>
    <row r="139" spans="2:15" x14ac:dyDescent="0.4">
      <c r="B139" s="227" t="s">
        <v>463</v>
      </c>
      <c r="C139" s="74">
        <f>_xlfn.XLOOKUP(D139,需求评估!$T:$T,需求评估!$A:$A)</f>
        <v>2</v>
      </c>
      <c r="D139" s="171" t="s">
        <v>169</v>
      </c>
      <c r="E139" s="74">
        <f>_xlfn.XLOOKUP(D139,需求评估!$T:$T,需求评估!$L:$L)</f>
        <v>15</v>
      </c>
      <c r="F139" s="247" t="str">
        <f>VLOOKUP(Pivot!C139,$R$41:$T$74,2,0)</f>
        <v>Automated Email Generation</v>
      </c>
      <c r="G139" s="74" t="str">
        <f>VLOOKUP(C139,需求评估!$A:$B,2,0)</f>
        <v>Warehouse</v>
      </c>
      <c r="H139" s="182" t="str">
        <f>_xlfn.XLOOKUP(D139,需求评估!$T:$T,需求评估!$U:$U)</f>
        <v>2425 Q2</v>
      </c>
      <c r="I139" s="182">
        <f>_xlfn.XLOOKUP($D139,需求评估!$T:$T,需求评估!$V:$V)</f>
        <v>45505</v>
      </c>
      <c r="J139" s="182">
        <f>_xlfn.XLOOKUP($D139,需求评估!$T:$T,需求评估!$W:$W)</f>
        <v>45545</v>
      </c>
      <c r="K139" s="174" t="s">
        <v>491</v>
      </c>
      <c r="M139" t="str">
        <f>IFERROR(_xlfn.XLOOKUP(N139,需求评估!A:A,需求评估!T:T),"")</f>
        <v>Automated Email for Inventory DB Reports</v>
      </c>
      <c r="N139" s="4">
        <v>2</v>
      </c>
      <c r="O139" s="3" t="s">
        <v>492</v>
      </c>
    </row>
    <row r="140" spans="2:15" x14ac:dyDescent="0.4">
      <c r="B140" s="228" t="s">
        <v>463</v>
      </c>
      <c r="C140" s="75">
        <f>_xlfn.XLOOKUP(D140,需求评估!$T:$T,需求评估!$A:$A)</f>
        <v>3</v>
      </c>
      <c r="D140" s="172" t="s">
        <v>175</v>
      </c>
      <c r="E140" s="75">
        <f>_xlfn.XLOOKUP(D140,需求评估!$T:$T,需求评估!$L:$L)</f>
        <v>20</v>
      </c>
      <c r="F140" s="240" t="str">
        <f>VLOOKUP(Pivot!C140,$R$41:$T$74,2,0)</f>
        <v>Platform Data Integration</v>
      </c>
      <c r="G140" s="75" t="str">
        <f>VLOOKUP(C140,需求评估!$A:$B,2,0)</f>
        <v>Warehouse</v>
      </c>
      <c r="H140" s="183" t="str">
        <f>_xlfn.XLOOKUP(D140,需求评估!$T:$T,需求评估!$U:$U)</f>
        <v>2425 Q3</v>
      </c>
      <c r="I140" s="185">
        <f>_xlfn.XLOOKUP($D140,需求评估!$T:$T,需求评估!$V:$V)</f>
        <v>45581</v>
      </c>
      <c r="J140" s="185">
        <f>_xlfn.XLOOKUP($D140,需求评估!$T:$T,需求评估!$W:$W)</f>
        <v>45705</v>
      </c>
      <c r="K140" s="175" t="s">
        <v>491</v>
      </c>
      <c r="M140" t="str">
        <f>IFERROR(_xlfn.XLOOKUP(N140,需求评估!A:A,需求评估!T:T),"")</f>
        <v>Battery Master Data Platform V1</v>
      </c>
      <c r="N140" s="4">
        <v>3</v>
      </c>
      <c r="O140" s="3" t="s">
        <v>493</v>
      </c>
    </row>
    <row r="141" spans="2:15" x14ac:dyDescent="0.4">
      <c r="B141" s="228" t="s">
        <v>463</v>
      </c>
      <c r="C141" s="76">
        <f>_xlfn.XLOOKUP(D141,需求评估!$T:$T,需求评估!$A:$A)</f>
        <v>4</v>
      </c>
      <c r="D141" s="173" t="s">
        <v>494</v>
      </c>
      <c r="E141" s="76">
        <f>_xlfn.XLOOKUP(D141,需求评估!$T:$T,需求评估!$L:$L)</f>
        <v>15</v>
      </c>
      <c r="F141" s="240" t="str">
        <f>VLOOKUP(Pivot!C141,$R$41:$T$74,2,0)</f>
        <v>OCR-LLM</v>
      </c>
      <c r="G141" s="76" t="str">
        <f>VLOOKUP(C141,需求评估!$A:$B,2,0)</f>
        <v>Warehouse</v>
      </c>
      <c r="H141" s="183" t="str">
        <f>_xlfn.XLOOKUP(D141,需求评估!$T:$T,需求评估!$U:$U)</f>
        <v>2425 Q2</v>
      </c>
      <c r="I141" s="185">
        <f>_xlfn.XLOOKUP($D141,需求评估!$T:$T,需求评估!$V:$V)</f>
        <v>45534</v>
      </c>
      <c r="J141" s="185">
        <f>_xlfn.XLOOKUP($D141,需求评估!$T:$T,需求评估!$W:$W)</f>
        <v>45595</v>
      </c>
      <c r="K141" s="175" t="s">
        <v>491</v>
      </c>
      <c r="M141" t="str">
        <f>IFERROR(_xlfn.XLOOKUP(N141,需求评估!A:A,需求评估!T:T),"")</f>
        <v>WHS Battery Certificate Management V3</v>
      </c>
      <c r="N141" s="4">
        <v>4</v>
      </c>
      <c r="O141" s="3" t="s">
        <v>495</v>
      </c>
    </row>
    <row r="142" spans="2:15" x14ac:dyDescent="0.4">
      <c r="B142" s="228" t="s">
        <v>463</v>
      </c>
      <c r="C142" s="75">
        <f>_xlfn.XLOOKUP(D142,需求评估!$T:$T,需求评估!$A:$A)</f>
        <v>6</v>
      </c>
      <c r="D142" s="238" t="s">
        <v>496</v>
      </c>
      <c r="E142" s="75">
        <f>_xlfn.XLOOKUP(D142,需求评估!$T:$T,需求评估!$L:$L)</f>
        <v>70</v>
      </c>
      <c r="F142" s="240" t="str">
        <f>VLOOKUP(Pivot!C142,$R$41:$T$74,2,0)</f>
        <v>Platform Large Model</v>
      </c>
      <c r="G142" s="75" t="str">
        <f>VLOOKUP(C142,需求评估!$A:$B,2,0)</f>
        <v>Warehouse</v>
      </c>
      <c r="H142" s="183" t="str">
        <f>_xlfn.XLOOKUP(D142,需求评估!$T:$T,需求评估!$U:$U)</f>
        <v>2425 Q3</v>
      </c>
      <c r="I142" s="185">
        <f>_xlfn.XLOOKUP($D142,需求评估!$T:$T,需求评估!$V:$V)</f>
        <v>45601</v>
      </c>
      <c r="J142" s="188">
        <f>_xlfn.XLOOKUP($D142,需求评估!$T:$T,需求评估!$W:$W)</f>
        <v>45819</v>
      </c>
      <c r="K142" s="245" t="s">
        <v>497</v>
      </c>
      <c r="M142" t="str">
        <f>IFERROR(_xlfn.XLOOKUP(N142,需求评估!A:A,需求评估!T:T),"")</f>
        <v>Automated Emails for Battery Suppliers</v>
      </c>
      <c r="N142" s="4">
        <v>5</v>
      </c>
      <c r="O142" s="3" t="s">
        <v>498</v>
      </c>
    </row>
    <row r="143" spans="2:15" x14ac:dyDescent="0.4">
      <c r="B143" s="228" t="s">
        <v>463</v>
      </c>
      <c r="C143" s="75">
        <f>_xlfn.XLOOKUP(D143,需求评估!$T:$T,需求评估!$A:$A)</f>
        <v>7</v>
      </c>
      <c r="D143" s="173" t="s">
        <v>223</v>
      </c>
      <c r="E143" s="75">
        <f>_xlfn.XLOOKUP(D143,需求评估!$T:$T,需求评估!$L:$L)</f>
        <v>24</v>
      </c>
      <c r="F143" s="240" t="str">
        <f>VLOOKUP(Pivot!C143,$R$41:$T$74,2,0)</f>
        <v>Large Model Algorithm</v>
      </c>
      <c r="G143" s="75" t="str">
        <f>VLOOKUP(C143,需求评估!$A:$B,2,0)</f>
        <v>Transport</v>
      </c>
      <c r="H143" s="183" t="str">
        <f>_xlfn.XLOOKUP(D143,需求评估!$T:$T,需求评估!$U:$U)</f>
        <v>2425 Q4</v>
      </c>
      <c r="I143" s="185">
        <f>_xlfn.XLOOKUP($D143,需求评估!$T:$T,需求评估!$V:$V)</f>
        <v>45705</v>
      </c>
      <c r="J143" s="185">
        <f>_xlfn.XLOOKUP($D143,需求评估!$T:$T,需求评估!$W:$W)</f>
        <v>45748</v>
      </c>
      <c r="K143" s="175" t="s">
        <v>491</v>
      </c>
      <c r="M143" t="str">
        <f>IFERROR(_xlfn.XLOOKUP(N143,需求评估!A:A,需求评估!T:T),"")</f>
        <v>SupplyX 3.0</v>
      </c>
      <c r="N143" s="4">
        <v>6</v>
      </c>
      <c r="O143" s="3" t="s">
        <v>499</v>
      </c>
    </row>
    <row r="144" spans="2:15" x14ac:dyDescent="0.4">
      <c r="B144" s="228" t="s">
        <v>463</v>
      </c>
      <c r="C144" s="75">
        <f>_xlfn.XLOOKUP(D144,需求评估!$T:$T,需求评估!$A:$A)</f>
        <v>12</v>
      </c>
      <c r="D144" s="173" t="s">
        <v>240</v>
      </c>
      <c r="E144" s="75">
        <f>_xlfn.XLOOKUP(D144,需求评估!$T:$T,需求评估!$L:$L)</f>
        <v>5</v>
      </c>
      <c r="F144" s="240" t="str">
        <f>VLOOKUP(Pivot!C144,$R$41:$T$74,2,0)</f>
        <v>SAP System Integration</v>
      </c>
      <c r="G144" s="126" t="str">
        <f>VLOOKUP(C144,需求评估!$A:$B,2,0)</f>
        <v>Warehouse</v>
      </c>
      <c r="H144" s="183" t="str">
        <f>_xlfn.XLOOKUP(D144,需求评估!$T:$T,需求评估!$U:$U)</f>
        <v>2425 Q4</v>
      </c>
      <c r="I144" s="185">
        <f>_xlfn.XLOOKUP($D144,需求评估!$T:$T,需求评估!$V:$V)</f>
        <v>45728</v>
      </c>
      <c r="J144" s="185">
        <f>_xlfn.XLOOKUP($D144,需求评估!$T:$T,需求评估!$W:$W)</f>
        <v>45750</v>
      </c>
      <c r="K144" s="175" t="s">
        <v>491</v>
      </c>
      <c r="M144" t="str">
        <f>IFERROR(_xlfn.XLOOKUP(N144,需求评估!A:A,需求评估!T:T),"")</f>
        <v>AI-Driven Quotation Collection Platform</v>
      </c>
      <c r="N144" s="4">
        <v>7</v>
      </c>
      <c r="O144" s="3" t="s">
        <v>500</v>
      </c>
    </row>
    <row r="145" spans="2:16" ht="14.25" thickBot="1" x14ac:dyDescent="0.45">
      <c r="B145" s="229" t="s">
        <v>463</v>
      </c>
      <c r="C145" s="78">
        <f>_xlfn.XLOOKUP(D145,需求评估!$T:$T,需求评估!$A:$A)</f>
        <v>30</v>
      </c>
      <c r="D145" s="244" t="s">
        <v>501</v>
      </c>
      <c r="E145" s="78">
        <f>_xlfn.XLOOKUP(D145,需求评估!$T:$T,需求评估!$L:$L)</f>
        <v>40</v>
      </c>
      <c r="F145" s="248" t="str">
        <f>VLOOKUP(Pivot!C145,$R$41:$T$74,2,0)</f>
        <v>Large Model Algorithm</v>
      </c>
      <c r="G145" s="81" t="str">
        <f>VLOOKUP(C145,需求评估!$A:$B,2,0)</f>
        <v>Data</v>
      </c>
      <c r="H145" s="81" t="str">
        <f>_xlfn.XLOOKUP(D145,需求评估!$T:$T,需求评估!$U:$U)</f>
        <v>2425 Q2</v>
      </c>
      <c r="I145" s="189">
        <f>_xlfn.XLOOKUP($D145,需求评估!$T:$T,需求评估!$V:$V)</f>
        <v>45541</v>
      </c>
      <c r="J145" s="188">
        <f>_xlfn.XLOOKUP($D145,需求评估!$T:$T,需求评估!$W:$W)</f>
        <v>45625</v>
      </c>
      <c r="K145" s="246" t="s">
        <v>491</v>
      </c>
      <c r="M145" t="str">
        <f>IFERROR(_xlfn.XLOOKUP(N145,需求评估!A:A,需求评估!T:T),"")</f>
        <v>Sourcing Rate OA Application</v>
      </c>
      <c r="N145" s="4">
        <v>8</v>
      </c>
      <c r="O145" s="3" t="s">
        <v>502</v>
      </c>
    </row>
    <row r="146" spans="2:16" x14ac:dyDescent="0.4">
      <c r="B146" s="227" t="s">
        <v>464</v>
      </c>
      <c r="C146" s="74">
        <f>_xlfn.XLOOKUP(D146,需求评估!$T:$T,需求评估!$A:$A)</f>
        <v>1</v>
      </c>
      <c r="D146" s="216" t="s">
        <v>503</v>
      </c>
      <c r="E146" s="74">
        <f>_xlfn.XLOOKUP(D146,需求评估!$T:$T,需求评估!$L:$L)</f>
        <v>12</v>
      </c>
      <c r="F146" s="249" t="str">
        <f>VLOOKUP(Pivot!C146,$R$41:$T$74,2,0)</f>
        <v>Automated Data Processing</v>
      </c>
      <c r="G146" s="79" t="str">
        <f>VLOOKUP(C146,需求评估!$A:$B,2,0)</f>
        <v>Warehouse</v>
      </c>
      <c r="H146" s="79" t="str">
        <f>_xlfn.XLOOKUP(D146,需求评估!$T:$T,需求评估!$U:$U)</f>
        <v>2526 Q1</v>
      </c>
      <c r="I146" s="186">
        <f>_xlfn.XLOOKUP($D146,需求评估!$T:$T,需求评估!$V:$V)</f>
        <v>45757</v>
      </c>
      <c r="J146" s="186">
        <f>_xlfn.XLOOKUP($D146,需求评估!$T:$T,需求评估!$W:$W)</f>
        <v>45869</v>
      </c>
      <c r="K146" s="215" t="s">
        <v>497</v>
      </c>
      <c r="M146" t="str">
        <f>IFERROR(_xlfn.XLOOKUP(N146,需求评估!A:A,需求评估!T:T),"")</f>
        <v/>
      </c>
      <c r="N146" s="4">
        <v>9</v>
      </c>
      <c r="O146" s="3" t="s">
        <v>504</v>
      </c>
    </row>
    <row r="147" spans="2:16" x14ac:dyDescent="0.4">
      <c r="B147" s="228" t="s">
        <v>464</v>
      </c>
      <c r="C147" s="75">
        <f>_xlfn.XLOOKUP(D147,需求评估!$T:$T,需求评估!$A:$A)</f>
        <v>3</v>
      </c>
      <c r="D147" s="238" t="s">
        <v>181</v>
      </c>
      <c r="E147" s="76">
        <f>_xlfn.XLOOKUP(D147,需求评估!$T:$T,需求评估!$L:$L)</f>
        <v>30</v>
      </c>
      <c r="F147" s="250" t="str">
        <f>VLOOKUP(Pivot!C147,$R$41:$T$74,2,0)</f>
        <v>Platform Data Integration</v>
      </c>
      <c r="G147" s="76" t="str">
        <f>VLOOKUP(C147,需求评估!$A:$B,2,0)</f>
        <v>Warehouse</v>
      </c>
      <c r="H147" s="80" t="str">
        <f>_xlfn.XLOOKUP(D147,需求评估!$T:$T,需求评估!$U:$U)</f>
        <v>2526 Q1</v>
      </c>
      <c r="I147" s="187">
        <f>_xlfn.XLOOKUP($D147,需求评估!$T:$T,需求评估!$V:$V)</f>
        <v>45796</v>
      </c>
      <c r="J147" s="187">
        <f>_xlfn.XLOOKUP($D147,需求评估!$T:$T,需求评估!$W:$W)</f>
        <v>45905</v>
      </c>
      <c r="K147" s="218" t="s">
        <v>497</v>
      </c>
      <c r="M147" t="str">
        <f>IFERROR(_xlfn.XLOOKUP(N147,需求评估!A:A,需求评估!T:T),"")</f>
        <v/>
      </c>
      <c r="N147" s="4">
        <v>10</v>
      </c>
      <c r="O147" s="3" t="s">
        <v>505</v>
      </c>
    </row>
    <row r="148" spans="2:16" x14ac:dyDescent="0.4">
      <c r="B148" s="228" t="s">
        <v>464</v>
      </c>
      <c r="C148" s="76">
        <f>_xlfn.XLOOKUP(D148,需求评估!$T:$T,需求评估!$A:$A)</f>
        <v>4</v>
      </c>
      <c r="D148" s="217" t="s">
        <v>196</v>
      </c>
      <c r="E148" s="76">
        <f>_xlfn.XLOOKUP(D148,需求评估!$T:$T,需求评估!$L:$L)</f>
        <v>50</v>
      </c>
      <c r="F148" s="250" t="str">
        <f>VLOOKUP(Pivot!C148,$R$41:$T$74,2,0)</f>
        <v>OCR-LLM</v>
      </c>
      <c r="G148" s="76" t="str">
        <f>VLOOKUP(C148,需求评估!$A:$B,2,0)</f>
        <v>Warehouse</v>
      </c>
      <c r="H148" s="80" t="str">
        <f>_xlfn.XLOOKUP(D148,需求评估!$T:$T,需求评估!$U:$U)</f>
        <v>2425 Q4</v>
      </c>
      <c r="I148" s="187">
        <f>_xlfn.XLOOKUP($D148,需求评估!$T:$T,需求评估!$V:$V)</f>
        <v>45707</v>
      </c>
      <c r="J148" s="187">
        <f>_xlfn.XLOOKUP($D148,需求评估!$T:$T,需求评估!$W:$W)</f>
        <v>45793</v>
      </c>
      <c r="K148" s="218" t="s">
        <v>497</v>
      </c>
      <c r="M148" t="str">
        <f>IFERROR(_xlfn.XLOOKUP(N148,需求评估!A:A,需求评估!T:T),"")</f>
        <v>OA Approval Platform</v>
      </c>
      <c r="N148" s="4">
        <v>11</v>
      </c>
      <c r="O148" s="3" t="s">
        <v>506</v>
      </c>
    </row>
    <row r="149" spans="2:16" x14ac:dyDescent="0.4">
      <c r="B149" s="228" t="s">
        <v>464</v>
      </c>
      <c r="C149" s="76">
        <f>_xlfn.XLOOKUP(D149,需求评估!$T:$T,需求评估!$A:$A)</f>
        <v>4</v>
      </c>
      <c r="D149" s="76" t="s">
        <v>507</v>
      </c>
      <c r="E149" s="76">
        <f>_xlfn.XLOOKUP(D149,需求评估!$T:$T,需求评估!$L:$L)</f>
        <v>20</v>
      </c>
      <c r="F149" s="250" t="str">
        <f>VLOOKUP(Pivot!C149,$R$41:$T$74,2,0)</f>
        <v>OCR-LLM</v>
      </c>
      <c r="G149" s="76" t="str">
        <f>VLOOKUP(C149,需求评估!$A:$B,2,0)</f>
        <v>Warehouse</v>
      </c>
      <c r="H149" s="80" t="str">
        <f>_xlfn.XLOOKUP(D149,需求评估!$T:$T,需求评估!$U:$U)</f>
        <v>2526 Q4</v>
      </c>
      <c r="I149" s="187">
        <f>_xlfn.XLOOKUP($D149,需求评估!$T:$T,需求评估!$V:$V)</f>
        <v>0</v>
      </c>
      <c r="J149" s="187" t="str">
        <f>_xlfn.XLOOKUP($D149,需求评估!$T:$T,需求评估!$W:$W)</f>
        <v/>
      </c>
      <c r="K149" s="127" t="s">
        <v>508</v>
      </c>
      <c r="M149" t="str">
        <f>IFERROR(_xlfn.XLOOKUP(N149,需求评估!A:A,需求评估!T:T),"")</f>
        <v>Auto SAP Batch Stock Adjustment</v>
      </c>
      <c r="N149" s="4">
        <v>12</v>
      </c>
      <c r="O149" s="3" t="s">
        <v>509</v>
      </c>
    </row>
    <row r="150" spans="2:16" x14ac:dyDescent="0.4">
      <c r="B150" s="228" t="s">
        <v>464</v>
      </c>
      <c r="C150" s="75">
        <f>_xlfn.XLOOKUP(D150,需求评估!$T:$T,需求评估!$A:$A)</f>
        <v>5</v>
      </c>
      <c r="D150" s="75" t="s">
        <v>199</v>
      </c>
      <c r="E150" s="75">
        <f>_xlfn.XLOOKUP(D150,需求评估!$T:$T,需求评估!$L:$L)</f>
        <v>5</v>
      </c>
      <c r="F150" s="251" t="str">
        <f>VLOOKUP(Pivot!C150,$R$41:$T$74,2,0)</f>
        <v>Automated Email Generation</v>
      </c>
      <c r="G150" s="75" t="str">
        <f>VLOOKUP(C150,需求评估!$A:$B,2,0)</f>
        <v>Warehouse</v>
      </c>
      <c r="H150" s="183" t="str">
        <f>_xlfn.XLOOKUP(D150,需求评估!$T:$T,需求评估!$U:$U)</f>
        <v>2526 Q1</v>
      </c>
      <c r="I150" s="183">
        <f>_xlfn.XLOOKUP($D150,需求评估!$T:$T,需求评估!$V:$V)</f>
        <v>45812</v>
      </c>
      <c r="J150" s="183">
        <f>_xlfn.XLOOKUP($D150,需求评估!$T:$T,需求评估!$W:$W)</f>
        <v>45905</v>
      </c>
      <c r="K150" s="184" t="s">
        <v>510</v>
      </c>
      <c r="M150" t="str">
        <f>IFERROR(_xlfn.XLOOKUP(N150,需求评估!A:A,需求评估!T:T),"")</f>
        <v>National Holiday Email Reminders</v>
      </c>
      <c r="N150" s="296">
        <v>13</v>
      </c>
      <c r="O150" s="201" t="s">
        <v>511</v>
      </c>
      <c r="P150" s="200"/>
    </row>
    <row r="151" spans="2:16" x14ac:dyDescent="0.4">
      <c r="B151" s="228" t="s">
        <v>464</v>
      </c>
      <c r="C151" s="75">
        <f>_xlfn.XLOOKUP(D151,需求评估!$T:$T,需求评估!$A:$A)</f>
        <v>6</v>
      </c>
      <c r="D151" s="75" t="s">
        <v>512</v>
      </c>
      <c r="E151" s="75">
        <f>_xlfn.XLOOKUP(D151,需求评估!$T:$T,需求评估!$L:$L)</f>
        <v>180</v>
      </c>
      <c r="F151" s="251" t="str">
        <f>VLOOKUP(Pivot!C151,$R$41:$T$74,2,0)</f>
        <v>Platform Large Model</v>
      </c>
      <c r="G151" s="180" t="str">
        <f>VLOOKUP(C151,需求评估!$A:$B,2,0)</f>
        <v>Warehouse</v>
      </c>
      <c r="H151" s="80" t="str">
        <f>_xlfn.XLOOKUP(D151,需求评估!$T:$T,需求评估!$U:$U)</f>
        <v>2526 Q1</v>
      </c>
      <c r="I151" s="188">
        <f>_xlfn.XLOOKUP($D151,需求评估!$T:$T,需求评估!$V:$V)</f>
        <v>45820</v>
      </c>
      <c r="J151" s="188">
        <f>_xlfn.XLOOKUP($D151,需求评估!$T:$T,需求评估!$W:$W)</f>
        <v>45798</v>
      </c>
      <c r="K151" s="181" t="s">
        <v>508</v>
      </c>
      <c r="M151" t="str">
        <f>IFERROR(_xlfn.XLOOKUP(N151,需求评估!A:A,需求评估!T:T),"")</f>
        <v>Automated CC Master Data Maintenance</v>
      </c>
      <c r="N151" s="296">
        <v>14</v>
      </c>
      <c r="O151" s="201" t="s">
        <v>513</v>
      </c>
      <c r="P151" s="200"/>
    </row>
    <row r="152" spans="2:16" x14ac:dyDescent="0.4">
      <c r="B152" s="228" t="s">
        <v>464</v>
      </c>
      <c r="C152" s="76">
        <f>_xlfn.XLOOKUP(D152,需求评估!$T:$T,需求评估!$A:$A)</f>
        <v>0</v>
      </c>
      <c r="D152" s="176" t="s">
        <v>123</v>
      </c>
      <c r="E152" s="76">
        <f>_xlfn.XLOOKUP(D152,需求评估!$T:$T,需求评估!$L:$L)</f>
        <v>60</v>
      </c>
      <c r="F152" s="250" t="e">
        <f>VLOOKUP(Pivot!C152,$R$41:$T$74,2,0)</f>
        <v>#N/A</v>
      </c>
      <c r="G152" s="80" t="str">
        <f>VLOOKUP(C152,需求评估!$A:$B,2,0)</f>
        <v>Billing</v>
      </c>
      <c r="H152" s="80" t="str">
        <f>_xlfn.XLOOKUP(D152,需求评估!$T:$T,需求评估!$U:$U)</f>
        <v>2526 Q4</v>
      </c>
      <c r="I152" s="187" t="str">
        <f>_xlfn.XLOOKUP($D152,需求评估!$T:$T,需求评估!$V:$V)</f>
        <v/>
      </c>
      <c r="J152" s="187" t="str">
        <f>_xlfn.XLOOKUP($D152,需求评估!$T:$T,需求评估!$W:$W)</f>
        <v/>
      </c>
      <c r="K152" s="127" t="s">
        <v>508</v>
      </c>
      <c r="M152" t="str">
        <f>IFERROR(_xlfn.XLOOKUP(N152,需求评估!A:A,需求评估!T:T),"")</f>
        <v>Compliance Master Data Platform</v>
      </c>
      <c r="N152" s="296">
        <v>15</v>
      </c>
      <c r="O152" s="201" t="s">
        <v>514</v>
      </c>
      <c r="P152" s="200"/>
    </row>
    <row r="153" spans="2:16" x14ac:dyDescent="0.4">
      <c r="B153" s="228" t="s">
        <v>464</v>
      </c>
      <c r="C153" s="76">
        <f>_xlfn.XLOOKUP(D153,需求评估!$T:$T,需求评估!$A:$A)</f>
        <v>0</v>
      </c>
      <c r="D153" s="76" t="s">
        <v>130</v>
      </c>
      <c r="E153" s="76">
        <f>_xlfn.XLOOKUP(D153,需求评估!$T:$T,需求评估!$L:$L)</f>
        <v>20</v>
      </c>
      <c r="F153" s="250" t="e">
        <f>VLOOKUP(Pivot!C153,$R$41:$T$74,2,0)</f>
        <v>#N/A</v>
      </c>
      <c r="G153" s="80" t="str">
        <f>VLOOKUP(C153,需求评估!$A:$B,2,0)</f>
        <v>Billing</v>
      </c>
      <c r="H153" s="80" t="str">
        <f>_xlfn.XLOOKUP(D153,需求评估!$T:$T,需求评估!$U:$U)</f>
        <v>2526 Q3</v>
      </c>
      <c r="I153" s="187" t="str">
        <f>_xlfn.XLOOKUP($D153,需求评估!$T:$T,需求评估!$V:$V)</f>
        <v/>
      </c>
      <c r="J153" s="187" t="str">
        <f>_xlfn.XLOOKUP($D153,需求评估!$T:$T,需求评估!$W:$W)</f>
        <v/>
      </c>
      <c r="K153" s="127" t="s">
        <v>508</v>
      </c>
      <c r="M153" t="str">
        <f>IFERROR(_xlfn.XLOOKUP(N153,需求评估!A:A,需求评估!T:T),"")</f>
        <v>Automated Emails for PWC Audit Announcement</v>
      </c>
      <c r="N153" s="296">
        <v>16</v>
      </c>
      <c r="O153" s="201" t="s">
        <v>515</v>
      </c>
      <c r="P153" s="200"/>
    </row>
    <row r="154" spans="2:16" x14ac:dyDescent="0.4">
      <c r="B154" s="228" t="s">
        <v>464</v>
      </c>
      <c r="C154" s="76">
        <f>_xlfn.XLOOKUP(D154,需求评估!$T:$T,需求评估!$A:$A)</f>
        <v>0</v>
      </c>
      <c r="D154" s="76" t="s">
        <v>136</v>
      </c>
      <c r="E154" s="75">
        <f>_xlfn.XLOOKUP(D154,需求评估!$T:$T,需求评估!$L:$L)</f>
        <v>20</v>
      </c>
      <c r="F154" s="251" t="e">
        <f>VLOOKUP(Pivot!C154,$R$41:$T$74,2,0)</f>
        <v>#N/A</v>
      </c>
      <c r="G154" s="80" t="str">
        <f>VLOOKUP(C154,需求评估!$A:$B,2,0)</f>
        <v>Billing</v>
      </c>
      <c r="H154" s="80" t="str">
        <f>_xlfn.XLOOKUP(D154,需求评估!$T:$T,需求评估!$U:$U)</f>
        <v>2526 Q3</v>
      </c>
      <c r="I154" s="187" t="str">
        <f>_xlfn.XLOOKUP($D154,需求评估!$T:$T,需求评估!$V:$V)</f>
        <v/>
      </c>
      <c r="J154" s="187" t="str">
        <f>_xlfn.XLOOKUP($D154,需求评估!$T:$T,需求评估!$W:$W)</f>
        <v/>
      </c>
      <c r="K154" s="127" t="s">
        <v>508</v>
      </c>
      <c r="M154" t="str">
        <f>IFERROR(_xlfn.XLOOKUP(N154,需求评估!A:A,需求评估!T:T),"")</f>
        <v/>
      </c>
      <c r="N154" s="296">
        <v>17</v>
      </c>
      <c r="O154" s="201" t="s">
        <v>516</v>
      </c>
      <c r="P154" s="200"/>
    </row>
    <row r="155" spans="2:16" ht="16.5" x14ac:dyDescent="0.4">
      <c r="B155" s="228" t="s">
        <v>464</v>
      </c>
      <c r="C155" s="76">
        <f>_xlfn.XLOOKUP(D155,需求评估!$T:$T,需求评估!$A:$A)</f>
        <v>0</v>
      </c>
      <c r="D155" s="76" t="s">
        <v>139</v>
      </c>
      <c r="E155" s="75">
        <f>_xlfn.XLOOKUP(D155,需求评估!$T:$T,需求评估!$L:$L)</f>
        <v>20</v>
      </c>
      <c r="F155" s="251" t="e">
        <f>VLOOKUP(Pivot!C155,$R$41:$T$74,2,0)</f>
        <v>#N/A</v>
      </c>
      <c r="G155" s="80" t="str">
        <f>VLOOKUP(C155,需求评估!$A:$B,2,0)</f>
        <v>Billing</v>
      </c>
      <c r="H155" s="80" t="str">
        <f>_xlfn.XLOOKUP(D155,需求评估!$T:$T,需求评估!$U:$U)</f>
        <v>2526 Q3</v>
      </c>
      <c r="I155" s="187" t="str">
        <f>_xlfn.XLOOKUP($D155,需求评估!$T:$T,需求评估!$V:$V)</f>
        <v/>
      </c>
      <c r="J155" s="187" t="str">
        <f>_xlfn.XLOOKUP($D155,需求评估!$T:$T,需求评估!$W:$W)</f>
        <v/>
      </c>
      <c r="K155" s="127" t="s">
        <v>508</v>
      </c>
      <c r="M155" t="str">
        <f>IFERROR(_xlfn.XLOOKUP(N155,需求评估!A:A,需求评估!T:T),"")</f>
        <v>Compliance Certificate Management</v>
      </c>
      <c r="N155" s="296">
        <v>18</v>
      </c>
      <c r="O155" s="202" t="s">
        <v>517</v>
      </c>
      <c r="P155" s="200"/>
    </row>
    <row r="156" spans="2:16" x14ac:dyDescent="0.4">
      <c r="B156" s="228" t="s">
        <v>464</v>
      </c>
      <c r="C156" s="76">
        <f>_xlfn.XLOOKUP(D156,需求评估!$T:$T,需求评估!$A:$A)</f>
        <v>0</v>
      </c>
      <c r="D156" s="76" t="s">
        <v>43</v>
      </c>
      <c r="E156" s="76">
        <f>_xlfn.XLOOKUP(D156,需求评估!$T:$T,需求评估!$L:$L)</f>
        <v>12</v>
      </c>
      <c r="F156" s="250" t="e">
        <f>VLOOKUP(Pivot!C156,$R$41:$T$74,2,0)</f>
        <v>#N/A</v>
      </c>
      <c r="G156" s="76" t="str">
        <f>VLOOKUP(C156,需求评估!$A:$B,2,0)</f>
        <v>Billing</v>
      </c>
      <c r="H156" s="183" t="str">
        <f>_xlfn.XLOOKUP(D156,需求评估!$T:$T,需求评估!$U:$U)</f>
        <v>2526 Q4</v>
      </c>
      <c r="I156" s="183" t="str">
        <f>_xlfn.XLOOKUP($D156,需求评估!$T:$T,需求评估!$V:$V)</f>
        <v/>
      </c>
      <c r="J156" s="183" t="str">
        <f>_xlfn.XLOOKUP($D156,需求评估!$T:$T,需求评估!$W:$W)</f>
        <v/>
      </c>
      <c r="K156" s="127" t="s">
        <v>508</v>
      </c>
      <c r="M156" t="str">
        <f>IFERROR(_xlfn.XLOOKUP(N156,需求评估!A:A,需求评估!T:T),"")</f>
        <v/>
      </c>
      <c r="N156" s="296">
        <v>19</v>
      </c>
      <c r="O156" s="201" t="s">
        <v>518</v>
      </c>
      <c r="P156" s="200"/>
    </row>
    <row r="157" spans="2:16" x14ac:dyDescent="0.4">
      <c r="B157" s="228" t="s">
        <v>464</v>
      </c>
      <c r="C157" s="76">
        <f>_xlfn.XLOOKUP(D157,需求评估!$T:$T,需求评估!$A:$A)</f>
        <v>0</v>
      </c>
      <c r="D157" s="76" t="s">
        <v>59</v>
      </c>
      <c r="E157" s="76">
        <f>_xlfn.XLOOKUP(D157,需求评估!$T:$T,需求评估!$L:$L)</f>
        <v>12</v>
      </c>
      <c r="F157" s="250" t="e">
        <f>VLOOKUP(Pivot!C157,$R$41:$T$74,2,0)</f>
        <v>#N/A</v>
      </c>
      <c r="G157" s="80" t="str">
        <f>VLOOKUP(C157,需求评估!$A:$B,2,0)</f>
        <v>Billing</v>
      </c>
      <c r="H157" s="80" t="str">
        <f>_xlfn.XLOOKUP(D157,需求评估!$T:$T,需求评估!$U:$U)</f>
        <v>2526 Q4</v>
      </c>
      <c r="I157" s="187" t="str">
        <f>_xlfn.XLOOKUP($D157,需求评估!$T:$T,需求评估!$V:$V)</f>
        <v/>
      </c>
      <c r="J157" s="187" t="str">
        <f>_xlfn.XLOOKUP($D157,需求评估!$T:$T,需求评估!$W:$W)</f>
        <v/>
      </c>
      <c r="K157" s="127" t="s">
        <v>508</v>
      </c>
      <c r="M157" t="str">
        <f>IFERROR(_xlfn.XLOOKUP(N157,需求评估!A:A,需求评估!T:T),"")</f>
        <v/>
      </c>
      <c r="N157" s="296">
        <v>20</v>
      </c>
      <c r="O157" s="201" t="s">
        <v>519</v>
      </c>
      <c r="P157" s="200"/>
    </row>
    <row r="158" spans="2:16" x14ac:dyDescent="0.4">
      <c r="B158" s="228" t="s">
        <v>464</v>
      </c>
      <c r="C158" s="75">
        <f>_xlfn.XLOOKUP(D158,需求评估!$T:$T,需求评估!$A:$A)</f>
        <v>11</v>
      </c>
      <c r="D158" s="75" t="s">
        <v>474</v>
      </c>
      <c r="E158" s="75">
        <f>_xlfn.XLOOKUP(D158,需求评估!$T:$T,需求评估!$L:$L)</f>
        <v>40</v>
      </c>
      <c r="F158" s="251" t="str">
        <f>VLOOKUP(Pivot!C158,$R$41:$T$74,2,0)</f>
        <v>Platform Data Integration</v>
      </c>
      <c r="G158" s="75" t="str">
        <f>VLOOKUP(C158,需求评估!$A:$B,2,0)</f>
        <v>Warehouse</v>
      </c>
      <c r="H158" s="183" t="str">
        <f>_xlfn.XLOOKUP(D158,需求评估!$T:$T,需求评估!$U:$U)</f>
        <v>2526 Q2</v>
      </c>
      <c r="I158" s="183">
        <f>_xlfn.XLOOKUP($D158,需求评估!$T:$T,需求评估!$V:$V)</f>
        <v>45883</v>
      </c>
      <c r="J158" s="183">
        <f>_xlfn.XLOOKUP($D158,需求评估!$T:$T,需求评估!$W:$W)</f>
        <v>46086</v>
      </c>
      <c r="K158" s="127" t="s">
        <v>508</v>
      </c>
      <c r="M158" t="str">
        <f>IFERROR(_xlfn.XLOOKUP(N158,需求评估!A:A,需求评估!T:T),"")</f>
        <v>Intelligent Stamp Management Platform</v>
      </c>
      <c r="N158" s="296">
        <v>21</v>
      </c>
      <c r="O158" s="3" t="s">
        <v>520</v>
      </c>
    </row>
    <row r="159" spans="2:16" x14ac:dyDescent="0.4">
      <c r="B159" s="228" t="s">
        <v>464</v>
      </c>
      <c r="C159" s="76">
        <f>_xlfn.XLOOKUP(D159,需求评估!$T:$T,需求评估!$A:$A)</f>
        <v>13</v>
      </c>
      <c r="D159" s="76" t="s">
        <v>521</v>
      </c>
      <c r="E159" s="75">
        <f>_xlfn.XLOOKUP(D159,需求评估!$T:$T,需求评估!$L:$L)</f>
        <v>8</v>
      </c>
      <c r="F159" s="251" t="str">
        <f>VLOOKUP(Pivot!C159,$R$41:$T$74,2,0)</f>
        <v>Automated Email Generation</v>
      </c>
      <c r="G159" s="80" t="str">
        <f>VLOOKUP(C159,需求评估!$A:$B,2,0)</f>
        <v>Warehouse</v>
      </c>
      <c r="H159" s="80" t="str">
        <f>_xlfn.XLOOKUP(D159,需求评估!$T:$T,需求评估!$U:$U)</f>
        <v>2627 Q3</v>
      </c>
      <c r="I159" s="187" t="str">
        <f>_xlfn.XLOOKUP($D159,需求评估!$T:$T,需求评估!$V:$V)</f>
        <v/>
      </c>
      <c r="J159" s="187" t="str">
        <f>_xlfn.XLOOKUP($D159,需求评估!$T:$T,需求评估!$W:$W)</f>
        <v/>
      </c>
      <c r="K159" s="127" t="s">
        <v>508</v>
      </c>
      <c r="M159" t="str">
        <f>IFERROR(_xlfn.XLOOKUP(N159,需求评估!A:A,需求评估!T:T),"")</f>
        <v/>
      </c>
      <c r="N159" s="4">
        <v>22</v>
      </c>
      <c r="O159" s="3" t="s">
        <v>522</v>
      </c>
    </row>
    <row r="160" spans="2:16" x14ac:dyDescent="0.4">
      <c r="B160" s="228" t="s">
        <v>464</v>
      </c>
      <c r="C160" s="76">
        <f>_xlfn.XLOOKUP(D160,需求评估!$T:$T,需求评估!$A:$A)</f>
        <v>14</v>
      </c>
      <c r="D160" s="76" t="s">
        <v>523</v>
      </c>
      <c r="E160" s="75">
        <f>_xlfn.XLOOKUP(D160,需求评估!$T:$T,需求评估!$L:$L)</f>
        <v>10</v>
      </c>
      <c r="F160" s="251" t="str">
        <f>VLOOKUP(Pivot!C160,$R$41:$T$74,2,0)</f>
        <v>Automated Data Processing</v>
      </c>
      <c r="G160" s="80" t="str">
        <f>VLOOKUP(C160,需求评估!$A:$B,2,0)</f>
        <v>Warehouse</v>
      </c>
      <c r="H160" s="80" t="str">
        <f>_xlfn.XLOOKUP(D160,需求评估!$T:$T,需求评估!$U:$U)</f>
        <v>2526 Q3</v>
      </c>
      <c r="I160" s="187" t="str">
        <f>_xlfn.XLOOKUP($D160,需求评估!$T:$T,需求评估!$V:$V)</f>
        <v/>
      </c>
      <c r="J160" s="187" t="str">
        <f>_xlfn.XLOOKUP($D160,需求评估!$T:$T,需求评估!$W:$W)</f>
        <v/>
      </c>
      <c r="K160" s="127" t="s">
        <v>508</v>
      </c>
      <c r="M160" t="str">
        <f>IFERROR(_xlfn.XLOOKUP(N160,需求评估!A:A,需求评估!T:T),"")</f>
        <v/>
      </c>
      <c r="N160" s="4">
        <v>23</v>
      </c>
      <c r="O160" s="3" t="s">
        <v>524</v>
      </c>
    </row>
    <row r="161" spans="2:16" x14ac:dyDescent="0.4">
      <c r="B161" s="228" t="s">
        <v>464</v>
      </c>
      <c r="C161" s="76">
        <f>_xlfn.XLOOKUP(D161,需求评估!$T:$T,需求评估!$A:$A)</f>
        <v>15</v>
      </c>
      <c r="D161" s="76" t="s">
        <v>254</v>
      </c>
      <c r="E161" s="75">
        <f>_xlfn.XLOOKUP(D161,需求评估!$T:$T,需求评估!$L:$L)</f>
        <v>15</v>
      </c>
      <c r="F161" s="251" t="str">
        <f>VLOOKUP(Pivot!C161,$R$41:$T$74,2,0)</f>
        <v>Platform Data Integration</v>
      </c>
      <c r="G161" s="80" t="str">
        <f>VLOOKUP(C161,需求评估!$A:$B,2,0)</f>
        <v>Compliance</v>
      </c>
      <c r="H161" s="80" t="str">
        <f>_xlfn.XLOOKUP(D161,需求评估!$T:$T,需求评估!$U:$U)</f>
        <v>2627 Q1</v>
      </c>
      <c r="I161" s="187">
        <f>_xlfn.XLOOKUP($D161,需求评估!$T:$T,需求评估!$V:$V)</f>
        <v>0</v>
      </c>
      <c r="J161" s="187" t="str">
        <f>_xlfn.XLOOKUP($D161,需求评估!$T:$T,需求评估!$W:$W)</f>
        <v/>
      </c>
      <c r="K161" s="127" t="s">
        <v>508</v>
      </c>
      <c r="M161" t="str">
        <f>IFERROR(_xlfn.XLOOKUP(N161,需求评估!A:A,需求评估!T:T),"")</f>
        <v/>
      </c>
      <c r="N161" s="4">
        <v>25</v>
      </c>
      <c r="O161" s="3" t="s">
        <v>525</v>
      </c>
    </row>
    <row r="162" spans="2:16" ht="16.5" x14ac:dyDescent="0.4">
      <c r="B162" s="228" t="s">
        <v>464</v>
      </c>
      <c r="C162" s="76">
        <f>_xlfn.XLOOKUP(D162,需求评估!$T:$T,需求评估!$A:$A)</f>
        <v>0</v>
      </c>
      <c r="D162" s="76" t="s">
        <v>526</v>
      </c>
      <c r="E162" s="75">
        <f>_xlfn.XLOOKUP(D162,需求评估!$T:$T,需求评估!$L:$L)</f>
        <v>15</v>
      </c>
      <c r="F162" s="251" t="e">
        <f>VLOOKUP(Pivot!C162,$R$41:$T$74,2,0)</f>
        <v>#N/A</v>
      </c>
      <c r="G162" s="80" t="str">
        <f>VLOOKUP(C162,需求评估!$A:$B,2,0)</f>
        <v>Billing</v>
      </c>
      <c r="H162" s="80" t="str">
        <f>_xlfn.XLOOKUP(D162,需求评估!$T:$T,需求评估!$U:$U)</f>
        <v>2627 Q1</v>
      </c>
      <c r="I162" s="187" t="str">
        <f>_xlfn.XLOOKUP($D162,需求评估!$T:$T,需求评估!$V:$V)</f>
        <v/>
      </c>
      <c r="J162" s="187" t="str">
        <f>_xlfn.XLOOKUP($D162,需求评估!$T:$T,需求评估!$W:$W)</f>
        <v/>
      </c>
      <c r="K162" s="127" t="s">
        <v>508</v>
      </c>
      <c r="M162" t="str">
        <f>IFERROR(_xlfn.XLOOKUP(N162,需求评估!A:A,需求评估!T:T),"")</f>
        <v>LaaS Website and App</v>
      </c>
      <c r="N162" s="4">
        <v>26</v>
      </c>
      <c r="O162" s="123" t="s">
        <v>527</v>
      </c>
    </row>
    <row r="163" spans="2:16" x14ac:dyDescent="0.4">
      <c r="B163" s="228" t="s">
        <v>464</v>
      </c>
      <c r="C163" s="76">
        <f>_xlfn.XLOOKUP(D163,需求评估!$T:$T,需求评估!$A:$A)</f>
        <v>0</v>
      </c>
      <c r="D163" s="76" t="s">
        <v>528</v>
      </c>
      <c r="E163" s="75">
        <f>_xlfn.XLOOKUP(D163,需求评估!$T:$T,需求评估!$L:$L)</f>
        <v>20</v>
      </c>
      <c r="F163" s="251" t="e">
        <f>VLOOKUP(Pivot!C163,$R$41:$T$74,2,0)</f>
        <v>#N/A</v>
      </c>
      <c r="G163" s="80" t="str">
        <f>VLOOKUP(C163,需求评估!$A:$B,2,0)</f>
        <v>Billing</v>
      </c>
      <c r="H163" s="80" t="str">
        <f>_xlfn.XLOOKUP(D163,需求评估!$T:$T,需求评估!$U:$U)</f>
        <v>2526 Q3</v>
      </c>
      <c r="I163" s="187" t="str">
        <f>_xlfn.XLOOKUP($D163,需求评估!$T:$T,需求评估!$V:$V)</f>
        <v/>
      </c>
      <c r="J163" s="187" t="str">
        <f>_xlfn.XLOOKUP($D163,需求评估!$T:$T,需求评估!$W:$W)</f>
        <v/>
      </c>
      <c r="K163" s="127" t="s">
        <v>508</v>
      </c>
      <c r="M163" t="str">
        <f>IFERROR(_xlfn.XLOOKUP(N163,需求评估!A:A,需求评估!T:T),"")</f>
        <v/>
      </c>
      <c r="N163" s="4">
        <v>27</v>
      </c>
      <c r="O163" s="3" t="s">
        <v>529</v>
      </c>
    </row>
    <row r="164" spans="2:16" x14ac:dyDescent="0.4">
      <c r="B164" s="228" t="s">
        <v>464</v>
      </c>
      <c r="C164" s="76">
        <f>_xlfn.XLOOKUP(D164,需求评估!$T:$T,需求评估!$A:$A)</f>
        <v>0</v>
      </c>
      <c r="D164" s="76" t="s">
        <v>530</v>
      </c>
      <c r="E164" s="75">
        <f>_xlfn.XLOOKUP(D164,需求评估!$T:$T,需求评估!$L:$L)</f>
        <v>60</v>
      </c>
      <c r="F164" s="251" t="e">
        <f>VLOOKUP(Pivot!C164,$R$41:$T$74,2,0)</f>
        <v>#N/A</v>
      </c>
      <c r="G164" s="80" t="str">
        <f>VLOOKUP(C164,需求评估!$A:$B,2,0)</f>
        <v>Billing</v>
      </c>
      <c r="H164" s="80" t="str">
        <f>_xlfn.XLOOKUP(D164,需求评估!$T:$T,需求评估!$U:$U)</f>
        <v>2526 Q4</v>
      </c>
      <c r="I164" s="187" t="str">
        <f>_xlfn.XLOOKUP($D164,需求评估!$T:$T,需求评估!$V:$V)</f>
        <v/>
      </c>
      <c r="J164" s="187" t="str">
        <f>_xlfn.XLOOKUP($D164,需求评估!$T:$T,需求评估!$W:$W)</f>
        <v/>
      </c>
      <c r="K164" s="127" t="s">
        <v>508</v>
      </c>
      <c r="M164" t="str">
        <f>IFERROR(_xlfn.XLOOKUP(N164,需求评估!A:A,需求评估!T:T),"")</f>
        <v/>
      </c>
      <c r="N164" s="4">
        <v>28</v>
      </c>
      <c r="O164" s="3" t="s">
        <v>531</v>
      </c>
    </row>
    <row r="165" spans="2:16" x14ac:dyDescent="0.4">
      <c r="B165" s="228" t="s">
        <v>464</v>
      </c>
      <c r="C165" s="76">
        <f>_xlfn.XLOOKUP(D165,需求评估!$T:$T,需求评估!$A:$A)</f>
        <v>0</v>
      </c>
      <c r="D165" s="76" t="s">
        <v>532</v>
      </c>
      <c r="E165" s="75">
        <f>_xlfn.XLOOKUP(D165,需求评估!$T:$T,需求评估!$L:$L)</f>
        <v>50</v>
      </c>
      <c r="F165" s="251" t="e">
        <f>VLOOKUP(Pivot!C165,$R$41:$T$74,2,0)</f>
        <v>#N/A</v>
      </c>
      <c r="G165" s="80" t="str">
        <f>VLOOKUP(C165,需求评估!$A:$B,2,0)</f>
        <v>Billing</v>
      </c>
      <c r="H165" s="80" t="str">
        <f>_xlfn.XLOOKUP(D165,需求评估!$T:$T,需求评估!$U:$U)</f>
        <v>2526 Q3</v>
      </c>
      <c r="I165" s="187" t="str">
        <f>_xlfn.XLOOKUP($D165,需求评估!$T:$T,需求评估!$V:$V)</f>
        <v/>
      </c>
      <c r="J165" s="187" t="str">
        <f>_xlfn.XLOOKUP($D165,需求评估!$T:$T,需求评估!$W:$W)</f>
        <v/>
      </c>
      <c r="K165" s="127" t="s">
        <v>508</v>
      </c>
      <c r="M165" t="str">
        <f>IFERROR(_xlfn.XLOOKUP(N165,需求评估!A:A,需求评估!T:T),"")</f>
        <v>ISG Service FRU</v>
      </c>
      <c r="N165" s="4">
        <v>29</v>
      </c>
      <c r="O165" s="3" t="s">
        <v>533</v>
      </c>
    </row>
    <row r="166" spans="2:16" x14ac:dyDescent="0.4">
      <c r="B166" s="228" t="s">
        <v>464</v>
      </c>
      <c r="C166" s="76">
        <f>_xlfn.XLOOKUP(D166,需求评估!$T:$T,需求评估!$A:$A)</f>
        <v>21</v>
      </c>
      <c r="D166" s="217" t="s">
        <v>266</v>
      </c>
      <c r="E166" s="75">
        <f>_xlfn.XLOOKUP(D166,需求评估!$T:$T,需求评估!$L:$L)</f>
        <v>40</v>
      </c>
      <c r="F166" s="251" t="str">
        <f>VLOOKUP(Pivot!C166,$R$41:$T$74,2,0)</f>
        <v>Large Model Algorithm</v>
      </c>
      <c r="G166" s="76" t="str">
        <f>VLOOKUP(C166,需求评估!$A:$B,2,0)</f>
        <v>Warehouse</v>
      </c>
      <c r="H166" s="80" t="str">
        <f>_xlfn.XLOOKUP(D166,需求评估!$T:$T,需求评估!$U:$U)</f>
        <v>2526 Q1</v>
      </c>
      <c r="I166" s="187">
        <f>_xlfn.XLOOKUP($D166,需求评估!$T:$T,需求评估!$V:$V)</f>
        <v>45768</v>
      </c>
      <c r="J166" s="187"/>
      <c r="K166" s="218" t="s">
        <v>497</v>
      </c>
      <c r="M166" t="str">
        <f>IFERROR(_xlfn.XLOOKUP(N166,需求评估!A:A,需求评估!T:T),"")</f>
        <v>Live Interception Platform V1</v>
      </c>
      <c r="N166" s="4">
        <v>30</v>
      </c>
      <c r="O166" s="3" t="s">
        <v>534</v>
      </c>
    </row>
    <row r="167" spans="2:16" x14ac:dyDescent="0.4">
      <c r="B167" s="228" t="s">
        <v>464</v>
      </c>
      <c r="C167" s="76">
        <f>_xlfn.XLOOKUP(D167,需求评估!$T:$T,需求评估!$A:$A)</f>
        <v>0</v>
      </c>
      <c r="D167" s="76" t="s">
        <v>96</v>
      </c>
      <c r="E167" s="75">
        <f>_xlfn.XLOOKUP(D167,需求评估!$T:$T,需求评估!$L:$L)</f>
        <v>50</v>
      </c>
      <c r="F167" s="251" t="e">
        <f>VLOOKUP(Pivot!C167,$R$41:$T$74,2,0)</f>
        <v>#N/A</v>
      </c>
      <c r="G167" s="80" t="str">
        <f>VLOOKUP(C167,需求评估!$A:$B,2,0)</f>
        <v>Billing</v>
      </c>
      <c r="H167" s="80" t="str">
        <f>_xlfn.XLOOKUP(D167,需求评估!$T:$T,需求评估!$U:$U)</f>
        <v>2526 Q4</v>
      </c>
      <c r="I167" s="187">
        <f>_xlfn.XLOOKUP($D167,需求评估!$T:$T,需求评估!$V:$V)</f>
        <v>0</v>
      </c>
      <c r="J167" s="187" t="str">
        <f>_xlfn.XLOOKUP($D167,需求评估!$T:$T,需求评估!$W:$W)</f>
        <v/>
      </c>
      <c r="K167" s="127" t="s">
        <v>510</v>
      </c>
      <c r="M167" t="str">
        <f>IFERROR(_xlfn.XLOOKUP(N167,需求评估!A:A,需求评估!T:T),"")</f>
        <v>Automated Invoice Data Extraction and Parsing V1</v>
      </c>
      <c r="N167" s="4">
        <v>0</v>
      </c>
      <c r="O167" s="201" t="s">
        <v>535</v>
      </c>
    </row>
    <row r="168" spans="2:16" ht="16.899999999999999" thickBot="1" x14ac:dyDescent="0.45">
      <c r="B168" s="229" t="s">
        <v>464</v>
      </c>
      <c r="C168" s="78">
        <f>_xlfn.XLOOKUP(D168,需求评估!$T:$T,需求评估!$A:$A)</f>
        <v>0</v>
      </c>
      <c r="D168" s="78" t="s">
        <v>536</v>
      </c>
      <c r="E168" s="78">
        <f>_xlfn.XLOOKUP(D168,需求评估!$T:$T,需求评估!$L:$L)</f>
        <v>40</v>
      </c>
      <c r="F168" s="252" t="e">
        <f>VLOOKUP(Pivot!C168,$R$41:$T$74,2,0)</f>
        <v>#N/A</v>
      </c>
      <c r="G168" s="81" t="str">
        <f>VLOOKUP(C168,需求评估!$A:$B,2,0)</f>
        <v>Billing</v>
      </c>
      <c r="H168" s="81" t="str">
        <f>_xlfn.XLOOKUP(D168,需求评估!$T:$T,需求评估!$U:$U)</f>
        <v>2526 Q3</v>
      </c>
      <c r="I168" s="189">
        <f>_xlfn.XLOOKUP($D168,需求评估!$T:$T,需求评估!$V:$V)</f>
        <v>45992</v>
      </c>
      <c r="J168" s="189" t="str">
        <f>_xlfn.XLOOKUP($D168,需求评估!$T:$T,需求评估!$W:$W)</f>
        <v/>
      </c>
      <c r="K168" s="128" t="s">
        <v>508</v>
      </c>
      <c r="M168" t="str">
        <f>IFERROR(_xlfn.XLOOKUP(N168,需求评估!A:A,需求评估!T:T),"")</f>
        <v>Automated Invoice Data Extraction and Parsing V1</v>
      </c>
      <c r="N168" s="4">
        <v>0</v>
      </c>
      <c r="O168" s="123" t="s">
        <v>537</v>
      </c>
      <c r="P168" s="200"/>
    </row>
    <row r="169" spans="2:16" ht="14.25" customHeight="1" x14ac:dyDescent="0.4">
      <c r="B169" s="227" t="s">
        <v>466</v>
      </c>
      <c r="C169" s="74">
        <f>_xlfn.XLOOKUP(D169,需求评估!$T:$T,需求评估!$A:$A)</f>
        <v>0</v>
      </c>
      <c r="D169" s="74" t="s">
        <v>126</v>
      </c>
      <c r="E169" s="76">
        <f>_xlfn.XLOOKUP(D169,需求评估!$T:$T,需求评估!$L:$L)</f>
        <v>60</v>
      </c>
      <c r="F169" s="240" t="e">
        <f>VLOOKUP(Pivot!C169,$R$41:$T$74,2,0)</f>
        <v>#N/A</v>
      </c>
      <c r="G169" s="80" t="str">
        <f>VLOOKUP(C169,需求评估!$A:$B,2,0)</f>
        <v>Billing</v>
      </c>
      <c r="H169" s="80" t="str">
        <f>_xlfn.XLOOKUP(D169,需求评估!$T:$T,需求评估!$U:$U)</f>
        <v>2627 Q2</v>
      </c>
      <c r="I169" s="187" t="str">
        <f>_xlfn.XLOOKUP($D169,需求评估!$T:$T,需求评估!$V:$V)</f>
        <v/>
      </c>
      <c r="J169" s="187" t="str">
        <f>_xlfn.XLOOKUP($D169,需求评估!$T:$T,需求评估!$W:$W)</f>
        <v/>
      </c>
      <c r="K169" s="127" t="s">
        <v>508</v>
      </c>
      <c r="O169" s="123"/>
    </row>
    <row r="170" spans="2:16" x14ac:dyDescent="0.4">
      <c r="B170" s="228" t="s">
        <v>481</v>
      </c>
      <c r="C170" s="75">
        <f>_xlfn.XLOOKUP(D170,需求评估!$T:$T,需求评估!$A:$A)</f>
        <v>0</v>
      </c>
      <c r="D170" s="75" t="s">
        <v>72</v>
      </c>
      <c r="E170" s="75">
        <f>_xlfn.XLOOKUP(D170,需求评估!$T:$T,需求评估!$L:$L)</f>
        <v>15</v>
      </c>
      <c r="F170" s="253" t="e">
        <f>VLOOKUP(Pivot!C170,$R$41:$T$74,2,0)</f>
        <v>#N/A</v>
      </c>
      <c r="G170" s="180" t="str">
        <f>VLOOKUP(C170,需求评估!$A:$B,2,0)</f>
        <v>Billing</v>
      </c>
      <c r="H170" s="180" t="str">
        <f>_xlfn.XLOOKUP(D170,需求评估!$T:$T,需求评估!$U:$U)</f>
        <v>2627 Q1</v>
      </c>
      <c r="I170" s="188" t="str">
        <f>_xlfn.XLOOKUP($D170,需求评估!$T:$T,需求评估!$V:$V)</f>
        <v/>
      </c>
      <c r="J170" s="188" t="str">
        <f>_xlfn.XLOOKUP($D170,需求评估!$T:$T,需求评估!$W:$W)</f>
        <v/>
      </c>
      <c r="K170" s="181" t="s">
        <v>508</v>
      </c>
      <c r="N170" s="3"/>
    </row>
    <row r="171" spans="2:16" x14ac:dyDescent="0.4">
      <c r="B171" s="228" t="s">
        <v>466</v>
      </c>
      <c r="C171" s="76">
        <f>_xlfn.XLOOKUP(D171,需求评估!$T:$T,需求评估!$A:$A)</f>
        <v>0</v>
      </c>
      <c r="D171" s="76" t="s">
        <v>538</v>
      </c>
      <c r="E171" s="76">
        <f>_xlfn.XLOOKUP(D171,需求评估!$T:$T,需求评估!$L:$L)</f>
        <v>20</v>
      </c>
      <c r="F171" s="241" t="e">
        <f>VLOOKUP(Pivot!C171,$R$41:$T$74,2,0)</f>
        <v>#N/A</v>
      </c>
      <c r="G171" s="80" t="str">
        <f>VLOOKUP(C171,需求评估!$A:$B,2,0)</f>
        <v>Billing</v>
      </c>
      <c r="H171" s="80" t="str">
        <f>_xlfn.XLOOKUP(D171,需求评估!$T:$T,需求评估!$U:$U)</f>
        <v>2627 Q1</v>
      </c>
      <c r="I171" s="187" t="str">
        <f>_xlfn.XLOOKUP($D171,需求评估!$T:$T,需求评估!$V:$V)</f>
        <v/>
      </c>
      <c r="J171" s="187" t="str">
        <f>_xlfn.XLOOKUP($D171,需求评估!$T:$T,需求评估!$W:$W)</f>
        <v/>
      </c>
      <c r="K171" s="127" t="s">
        <v>508</v>
      </c>
      <c r="M171" s="203"/>
    </row>
    <row r="172" spans="2:16" x14ac:dyDescent="0.4">
      <c r="B172" s="228" t="s">
        <v>466</v>
      </c>
      <c r="C172" s="76">
        <f>_xlfn.XLOOKUP(D172,需求评估!$T:$T,需求评估!$A:$A)</f>
        <v>0</v>
      </c>
      <c r="D172" s="76" t="s">
        <v>539</v>
      </c>
      <c r="E172" s="76">
        <f>_xlfn.XLOOKUP(D172,需求评估!$T:$T,需求评估!$L:$L)</f>
        <v>30</v>
      </c>
      <c r="F172" s="241" t="e">
        <f>VLOOKUP(Pivot!C172,$R$41:$T$74,2,0)</f>
        <v>#N/A</v>
      </c>
      <c r="G172" s="80" t="str">
        <f>VLOOKUP(C172,需求评估!$A:$B,2,0)</f>
        <v>Billing</v>
      </c>
      <c r="H172" s="80" t="str">
        <f>_xlfn.XLOOKUP(D172,需求评估!$T:$T,需求评估!$U:$U)</f>
        <v>2627 Q1</v>
      </c>
      <c r="I172" s="187" t="str">
        <f>_xlfn.XLOOKUP($D172,需求评估!$T:$T,需求评估!$V:$V)</f>
        <v/>
      </c>
      <c r="J172" s="187" t="str">
        <f>_xlfn.XLOOKUP($D172,需求评估!$T:$T,需求评估!$W:$W)</f>
        <v/>
      </c>
      <c r="K172" s="127" t="s">
        <v>508</v>
      </c>
      <c r="M172" s="3"/>
    </row>
    <row r="173" spans="2:16" ht="14.25" thickBot="1" x14ac:dyDescent="0.45">
      <c r="B173" s="229" t="s">
        <v>466</v>
      </c>
      <c r="C173" s="77">
        <f>_xlfn.XLOOKUP(D173,需求评估!$T:$T,需求评估!$A:$A)</f>
        <v>26</v>
      </c>
      <c r="D173" s="77" t="s">
        <v>540</v>
      </c>
      <c r="E173" s="77">
        <f>_xlfn.XLOOKUP(D173,需求评估!$T:$T,需求评估!$L:$L)</f>
        <v>30</v>
      </c>
      <c r="F173" s="242" t="str">
        <f>VLOOKUP(Pivot!C173,$R$41:$T$74,2,0)</f>
        <v>Platform Data Integration</v>
      </c>
      <c r="G173" s="82" t="str">
        <f>VLOOKUP(C173,需求评估!$A:$B,2,0)</f>
        <v>Warehouse</v>
      </c>
      <c r="H173" s="82" t="str">
        <f>_xlfn.XLOOKUP(D173,需求评估!$T:$T,需求评估!$U:$U)</f>
        <v>2627 Q2</v>
      </c>
      <c r="I173" s="190" t="str">
        <f>_xlfn.XLOOKUP($D173,需求评估!$T:$T,需求评估!$V:$V)</f>
        <v/>
      </c>
      <c r="J173" s="190" t="str">
        <f>_xlfn.XLOOKUP($D173,需求评估!$T:$T,需求评估!$W:$W)</f>
        <v/>
      </c>
      <c r="K173" s="129" t="s">
        <v>508</v>
      </c>
      <c r="M173" s="3"/>
    </row>
    <row r="174" spans="2:16" x14ac:dyDescent="0.4">
      <c r="B174" s="227" t="s">
        <v>311</v>
      </c>
      <c r="C174" s="74">
        <f>_xlfn.XLOOKUP(D174,需求评估!$T:$T,需求评估!$A:$A)</f>
        <v>18</v>
      </c>
      <c r="D174" s="74" t="s">
        <v>263</v>
      </c>
      <c r="E174" s="74"/>
      <c r="F174" s="243" t="str">
        <f>VLOOKUP(Pivot!C174,$R$41:$T$74,2,0)</f>
        <v>OCR-LLM</v>
      </c>
      <c r="G174" s="79" t="str">
        <f>VLOOKUP(C174,需求评估!$A:$B,2,0)</f>
        <v>Compliance</v>
      </c>
      <c r="H174" s="79" t="str">
        <f>_xlfn.XLOOKUP(D174,需求评估!$T:$T,需求评估!$U:$U)</f>
        <v>TBD</v>
      </c>
      <c r="I174" s="186" t="str">
        <f>_xlfn.XLOOKUP($D174,需求评估!$T:$T,需求评估!$V:$V)</f>
        <v/>
      </c>
      <c r="J174" s="186" t="str">
        <f>_xlfn.XLOOKUP($D174,需求评估!$T:$T,需求评估!$W:$W)</f>
        <v/>
      </c>
      <c r="K174" s="130" t="s">
        <v>311</v>
      </c>
    </row>
    <row r="175" spans="2:16" ht="14.25" customHeight="1" x14ac:dyDescent="0.4">
      <c r="B175" s="228" t="s">
        <v>91</v>
      </c>
      <c r="C175" s="76">
        <f>_xlfn.XLOOKUP(D175,需求评估!$T:$T,需求评估!$A:$A)</f>
        <v>0</v>
      </c>
      <c r="D175" s="76" t="s">
        <v>482</v>
      </c>
      <c r="E175" s="76"/>
      <c r="F175" s="241" t="e">
        <f>VLOOKUP(Pivot!C175,$R$41:$T$74,2,0)</f>
        <v>#N/A</v>
      </c>
      <c r="G175" s="80" t="str">
        <f>VLOOKUP(C175,需求评估!$A:$B,2,0)</f>
        <v>Billing</v>
      </c>
      <c r="H175" s="80" t="str">
        <f>_xlfn.XLOOKUP(D175,需求评估!$T:$T,需求评估!$U:$U)</f>
        <v>TBD</v>
      </c>
      <c r="I175" s="187" t="str">
        <f>_xlfn.XLOOKUP($D175,需求评估!$T:$T,需求评估!$V:$V)</f>
        <v/>
      </c>
      <c r="J175" s="187" t="str">
        <f>_xlfn.XLOOKUP($D175,需求评估!$T:$T,需求评估!$W:$W)</f>
        <v/>
      </c>
      <c r="K175" s="131" t="s">
        <v>311</v>
      </c>
    </row>
    <row r="176" spans="2:16" ht="14.25" thickBot="1" x14ac:dyDescent="0.45">
      <c r="B176" s="229" t="s">
        <v>91</v>
      </c>
      <c r="C176" s="77">
        <f>_xlfn.XLOOKUP(D176,需求评估!$T:$T,需求评估!$A:$A)</f>
        <v>0</v>
      </c>
      <c r="D176" s="77" t="s">
        <v>152</v>
      </c>
      <c r="E176" s="77"/>
      <c r="F176" s="242" t="e">
        <f>VLOOKUP(Pivot!C176,$R$41:$T$74,2,0)</f>
        <v>#N/A</v>
      </c>
      <c r="G176" s="82" t="str">
        <f>VLOOKUP(C176,需求评估!$A:$B,2,0)</f>
        <v>Billing</v>
      </c>
      <c r="H176" s="82" t="str">
        <f>_xlfn.XLOOKUP(D176,需求评估!$T:$T,需求评估!$U:$U)</f>
        <v>TBD</v>
      </c>
      <c r="I176" s="190" t="str">
        <f>_xlfn.XLOOKUP($D176,需求评估!$T:$T,需求评估!$V:$V)</f>
        <v/>
      </c>
      <c r="J176" s="190" t="str">
        <f>_xlfn.XLOOKUP($D176,需求评估!$T:$T,需求评估!$W:$W)</f>
        <v/>
      </c>
      <c r="K176" s="132" t="s">
        <v>311</v>
      </c>
    </row>
    <row r="177" spans="2:18" x14ac:dyDescent="0.4">
      <c r="J177"/>
    </row>
    <row r="178" spans="2:18" x14ac:dyDescent="0.4">
      <c r="J178"/>
    </row>
    <row r="179" spans="2:18" x14ac:dyDescent="0.4">
      <c r="J179"/>
    </row>
    <row r="180" spans="2:18" x14ac:dyDescent="0.4">
      <c r="J180"/>
    </row>
    <row r="182" spans="2:18" ht="14.25" customHeight="1" thickBot="1" x14ac:dyDescent="0.45"/>
    <row r="183" spans="2:18" ht="14.25" thickBot="1" x14ac:dyDescent="0.45">
      <c r="B183" s="97" t="s">
        <v>483</v>
      </c>
      <c r="C183" s="98" t="s">
        <v>0</v>
      </c>
      <c r="D183" s="98" t="s">
        <v>541</v>
      </c>
      <c r="E183" s="98" t="s">
        <v>455</v>
      </c>
      <c r="F183" s="98" t="s">
        <v>542</v>
      </c>
      <c r="G183" s="98" t="s">
        <v>1</v>
      </c>
      <c r="H183" s="98" t="s">
        <v>543</v>
      </c>
      <c r="I183" s="98" t="s">
        <v>23</v>
      </c>
      <c r="J183" s="98" t="s">
        <v>151</v>
      </c>
      <c r="K183" s="122" t="s">
        <v>544</v>
      </c>
    </row>
    <row r="184" spans="2:18" ht="14.25" customHeight="1" x14ac:dyDescent="0.4">
      <c r="B184" s="235" t="s">
        <v>463</v>
      </c>
      <c r="C184" s="99">
        <f>_xlfn.XLOOKUP(D184,需求评估!$T:$T,需求评估!$A:$A)</f>
        <v>2</v>
      </c>
      <c r="D184" s="100" t="s">
        <v>169</v>
      </c>
      <c r="E184" s="99">
        <f>_xlfn.XLOOKUP(D184,需求评估!$T:$T,需求评估!$L:$L)</f>
        <v>15</v>
      </c>
      <c r="F184" s="101" t="str">
        <f>VLOOKUP(Pivot!C184,$R$41:$T$74,2,0)</f>
        <v>Automated Email Generation</v>
      </c>
      <c r="G184" s="99" t="str">
        <f>VLOOKUP(C184,需求评估!$A:$B,2,0)</f>
        <v>Warehouse</v>
      </c>
      <c r="H184" s="99" t="str">
        <f>_xlfn.XLOOKUP(D184,需求评估!$T:$T,需求评估!$U:$U)</f>
        <v>2425 Q2</v>
      </c>
      <c r="I184" s="102" t="str">
        <f>VLOOKUP(D184,$D$138:$K$176,8,0)</f>
        <v>Completed</v>
      </c>
      <c r="J184" s="105" cm="1">
        <f t="array" ref="J184">SUM(SUMIFS(需求评估!$Q1:$Q207,需求评估!$T$1:$T$207,D184:D190))</f>
        <v>86979.18</v>
      </c>
      <c r="K184" s="231" t="str">
        <f>IF(SUMIFS(需求评估!$Q:$Q,需求评估!$T:$T,D184)-SUMIFS(需求评估!$AB:$AB,需求评估!$T:$T,D184)=0,"Paid",IF(SUMIFS(需求评估!$Q:$Q,需求评估!$T:$T,D184)-SUMIFS(需求评估!$AB:$AB,需求评估!$T:$T,D184)&gt;0,"Not Paid"))</f>
        <v>Paid</v>
      </c>
    </row>
    <row r="185" spans="2:18" ht="14.25" customHeight="1" x14ac:dyDescent="0.4">
      <c r="B185" s="236" t="s">
        <v>463</v>
      </c>
      <c r="C185" s="107">
        <f>_xlfn.XLOOKUP(D185,需求评估!$T:$T,需求评估!$A:$A)</f>
        <v>3</v>
      </c>
      <c r="D185" s="108" t="s">
        <v>383</v>
      </c>
      <c r="E185" s="107">
        <f>_xlfn.XLOOKUP(D185,需求评估!$T:$T,需求评估!$L:$L)</f>
        <v>20</v>
      </c>
      <c r="F185" s="109" t="str">
        <f>VLOOKUP(Pivot!C185,$R$41:$T$74,2,0)</f>
        <v>Platform Data Integration</v>
      </c>
      <c r="G185" s="107" t="str">
        <f>VLOOKUP(C185,需求评估!$A:$B,2,0)</f>
        <v>Warehouse</v>
      </c>
      <c r="H185" s="107" t="str">
        <f>_xlfn.XLOOKUP(D185,需求评估!$T:$T,需求评估!$U:$U)</f>
        <v>2425 Q3</v>
      </c>
      <c r="I185" s="146" t="str">
        <f t="shared" ref="I185:I221" si="4">VLOOKUP(D185,$D$138:$K$176,8,0)</f>
        <v>Completed</v>
      </c>
      <c r="J185" s="104" t="s">
        <v>545</v>
      </c>
      <c r="K185" s="232" t="str">
        <f>IF(SUMIFS(需求评估!$Q:$Q,需求评估!$T:$T,D185)-SUMIFS(需求评估!$AB:$AB,需求评估!$T:$T,D185)=0,"Paid",IF(SUMIFS(需求评估!$Q:$Q,需求评估!$T:$T,D185)-SUMIFS(需求评估!$AB:$AB,需求评估!$T:$T,D185)&gt;0,"Not Paid"))</f>
        <v>Paid</v>
      </c>
      <c r="O185" t="s">
        <v>546</v>
      </c>
      <c r="P185" t="s">
        <v>295</v>
      </c>
      <c r="Q185" t="s">
        <v>547</v>
      </c>
      <c r="R185" t="s">
        <v>548</v>
      </c>
    </row>
    <row r="186" spans="2:18" ht="14.25" customHeight="1" x14ac:dyDescent="0.4">
      <c r="B186" s="236" t="s">
        <v>463</v>
      </c>
      <c r="C186" s="107">
        <f>_xlfn.XLOOKUP(D186,需求评估!$T:$T,需求评估!$A:$A)</f>
        <v>4</v>
      </c>
      <c r="D186" s="108" t="s">
        <v>192</v>
      </c>
      <c r="E186" s="107">
        <f>_xlfn.XLOOKUP(D186,需求评估!$T:$T,需求评估!$L:$L)</f>
        <v>15</v>
      </c>
      <c r="F186" s="109" t="str">
        <f>VLOOKUP(Pivot!C186,$R$41:$T$74,2,0)</f>
        <v>OCR-LLM</v>
      </c>
      <c r="G186" s="107" t="str">
        <f>VLOOKUP(C186,需求评估!$A:$B,2,0)</f>
        <v>Warehouse</v>
      </c>
      <c r="H186" s="107" t="str">
        <f>_xlfn.XLOOKUP(D186,需求评估!$T:$T,需求评估!$U:$U)</f>
        <v>2425 Q2</v>
      </c>
      <c r="I186" s="146" t="str">
        <f t="shared" si="4"/>
        <v>Completed</v>
      </c>
      <c r="J186" s="95" t="s">
        <v>549</v>
      </c>
      <c r="K186" s="232" t="str">
        <f>IF(SUMIFS(需求评估!$Q:$Q,需求评估!$T:$T,D186)-SUMIFS(需求评估!$AB:$AB,需求评估!$T:$T,D186)=0,"Paid",IF(SUMIFS(需求评估!$Q:$Q,需求评估!$T:$T,D186)-SUMIFS(需求评估!$AB:$AB,需求评估!$T:$T,D186)&gt;0,"Not Paid"))</f>
        <v>Paid</v>
      </c>
      <c r="N186" t="s">
        <v>550</v>
      </c>
      <c r="O186">
        <f>需求评估!Q59</f>
        <v>98529.18</v>
      </c>
      <c r="P186">
        <f>需求评估!R59</f>
        <v>16248</v>
      </c>
      <c r="Q186">
        <f>需求评估!S59</f>
        <v>500</v>
      </c>
      <c r="R186">
        <f>需求评估!T59</f>
        <v>16748</v>
      </c>
    </row>
    <row r="187" spans="2:18" ht="14.25" customHeight="1" x14ac:dyDescent="0.4">
      <c r="B187" s="236" t="s">
        <v>463</v>
      </c>
      <c r="C187" s="107">
        <f>_xlfn.XLOOKUP(D187,需求评估!$T:$T,需求评估!$A:$A)</f>
        <v>6</v>
      </c>
      <c r="D187" s="108" t="s">
        <v>209</v>
      </c>
      <c r="E187" s="107">
        <f>_xlfn.XLOOKUP(D187,需求评估!$T:$T,需求评估!$L:$L)</f>
        <v>70</v>
      </c>
      <c r="F187" s="109" t="str">
        <f>VLOOKUP(Pivot!C187,$R$41:$T$74,2,0)</f>
        <v>Platform Large Model</v>
      </c>
      <c r="G187" s="107" t="str">
        <f>VLOOKUP(C187,需求评估!$A:$B,2,0)</f>
        <v>Warehouse</v>
      </c>
      <c r="H187" s="107" t="str">
        <f>_xlfn.XLOOKUP(D187,需求评估!$T:$T,需求评估!$U:$U)</f>
        <v>2425 Q3</v>
      </c>
      <c r="I187" s="110" t="str">
        <f t="shared" si="4"/>
        <v>In Progress</v>
      </c>
      <c r="J187" s="103" cm="1">
        <f t="array" ref="J187">SUM(SUMIFS(需求评估!$R1:$R207,需求评估!$T$1:$T$207,D184:D190))+SUM(SUMIFS(需求评估!$S1:$S207,需求评估!$T$1:$T$207,D184:D190))</f>
        <v>13398</v>
      </c>
      <c r="K187" s="232" t="str">
        <f>IF(SUMIFS(需求评估!$Q:$Q,需求评估!$T:$T,D187)-SUMIFS(需求评估!$AB:$AB,需求评估!$T:$T,D187)=0,"Paid",IF(SUMIFS(需求评估!$Q:$Q,需求评估!$T:$T,D187)-SUMIFS(需求评估!$AB:$AB,需求评估!$T:$T,D187)&gt;0,"Not Paid"))</f>
        <v>Paid</v>
      </c>
      <c r="N187" t="s">
        <v>551</v>
      </c>
      <c r="O187">
        <f>需求评估!Q60</f>
        <v>133797</v>
      </c>
      <c r="P187">
        <f>需求评估!R60</f>
        <v>28662</v>
      </c>
      <c r="Q187">
        <f>需求评估!S60</f>
        <v>550.5</v>
      </c>
      <c r="R187">
        <f>需求评估!T60</f>
        <v>29212.5</v>
      </c>
    </row>
    <row r="188" spans="2:18" ht="14.25" customHeight="1" x14ac:dyDescent="0.4">
      <c r="B188" s="236" t="s">
        <v>463</v>
      </c>
      <c r="C188" s="107">
        <f>_xlfn.XLOOKUP(D188,需求评估!$T:$T,需求评估!$A:$A)</f>
        <v>7</v>
      </c>
      <c r="D188" s="108" t="s">
        <v>223</v>
      </c>
      <c r="E188" s="107">
        <f>_xlfn.XLOOKUP(D188,需求评估!$T:$T,需求评估!$L:$L)</f>
        <v>24</v>
      </c>
      <c r="F188" s="109" t="str">
        <f>VLOOKUP(Pivot!C188,$R$41:$T$74,2,0)</f>
        <v>Large Model Algorithm</v>
      </c>
      <c r="G188" s="107" t="str">
        <f>VLOOKUP(C188,需求评估!$A:$B,2,0)</f>
        <v>Transport</v>
      </c>
      <c r="H188" s="107" t="str">
        <f>_xlfn.XLOOKUP(D188,需求评估!$T:$T,需求评估!$U:$U)</f>
        <v>2425 Q4</v>
      </c>
      <c r="I188" s="146" t="str">
        <f t="shared" si="4"/>
        <v>Completed</v>
      </c>
      <c r="J188" s="104" t="s">
        <v>552</v>
      </c>
      <c r="K188" s="232" t="str">
        <f>IF(SUMIFS(需求评估!$Q:$Q,需求评估!$T:$T,D188)-SUMIFS(需求评估!$AB:$AB,需求评估!$T:$T,D188)=0,"Paid",IF(SUMIFS(需求评估!$Q:$Q,需求评估!$T:$T,D188)-SUMIFS(需求评估!$AB:$AB,需求评估!$T:$T,D188)&gt;0,"Not Paid"))</f>
        <v>Paid</v>
      </c>
      <c r="N188" t="s">
        <v>553</v>
      </c>
      <c r="O188">
        <f>需求评估!Q61</f>
        <v>135795</v>
      </c>
      <c r="P188">
        <f>需求评估!R61</f>
        <v>27456</v>
      </c>
      <c r="Q188">
        <f>需求评估!S61</f>
        <v>450</v>
      </c>
      <c r="R188">
        <f>需求评估!T61</f>
        <v>27906</v>
      </c>
    </row>
    <row r="189" spans="2:18" ht="14.25" customHeight="1" x14ac:dyDescent="0.4">
      <c r="B189" s="236" t="s">
        <v>463</v>
      </c>
      <c r="C189" s="107">
        <f>_xlfn.XLOOKUP(D189,需求评估!$T:$T,需求评估!$A:$A)</f>
        <v>12</v>
      </c>
      <c r="D189" s="108" t="s">
        <v>240</v>
      </c>
      <c r="E189" s="107">
        <f>_xlfn.XLOOKUP(D189,需求评估!$T:$T,需求评估!$L:$L)</f>
        <v>5</v>
      </c>
      <c r="F189" s="109" t="str">
        <f>VLOOKUP(Pivot!C189,$R$41:$T$74,2,0)</f>
        <v>SAP System Integration</v>
      </c>
      <c r="G189" s="107" t="str">
        <f>VLOOKUP(C189,需求评估!$A:$B,2,0)</f>
        <v>Warehouse</v>
      </c>
      <c r="H189" s="107" t="str">
        <f>_xlfn.XLOOKUP(D189,需求评估!$T:$T,需求评估!$U:$U)</f>
        <v>2425 Q4</v>
      </c>
      <c r="I189" s="146" t="str">
        <f t="shared" si="4"/>
        <v>Completed</v>
      </c>
      <c r="J189" s="104"/>
      <c r="K189" s="232" t="str">
        <f>IF(SUMIFS(需求评估!$Q:$Q,需求评估!$T:$T,D189)-SUMIFS(需求评估!$AB:$AB,需求评估!$T:$T,D189)=0,"Paid",IF(SUMIFS(需求评估!$Q:$Q,需求评估!$T:$T,D189)-SUMIFS(需求评估!$AB:$AB,需求评估!$T:$T,D189)&gt;0,"Not Paid"))</f>
        <v>Paid</v>
      </c>
    </row>
    <row r="190" spans="2:18" ht="14.25" customHeight="1" thickBot="1" x14ac:dyDescent="0.45">
      <c r="B190" s="237" t="s">
        <v>463</v>
      </c>
      <c r="C190" s="107">
        <f>_xlfn.XLOOKUP(D190,需求评估!$T:$T,需求评估!$A:$A)</f>
        <v>30</v>
      </c>
      <c r="D190" s="108" t="s">
        <v>288</v>
      </c>
      <c r="E190" s="117">
        <f>_xlfn.XLOOKUP(D190,需求评估!$T:$T,需求评估!$L:$L)</f>
        <v>40</v>
      </c>
      <c r="F190" s="109" t="str">
        <f>VLOOKUP(Pivot!C190,$R$41:$T$74,2,0)</f>
        <v>Large Model Algorithm</v>
      </c>
      <c r="G190" s="107" t="str">
        <f>VLOOKUP(C190,需求评估!$A:$B,2,0)</f>
        <v>Data</v>
      </c>
      <c r="H190" s="107" t="str">
        <f>_xlfn.XLOOKUP(D190,需求评估!$T:$T,需求评估!$U:$U)</f>
        <v>2425 Q2</v>
      </c>
      <c r="I190" s="160" t="str">
        <f t="shared" si="4"/>
        <v>Completed</v>
      </c>
      <c r="J190" s="10"/>
      <c r="K190" s="233" t="str">
        <f>IF(SUMIFS(需求评估!$Q:$Q,需求评估!$T:$T,D190)-SUMIFS(需求评估!$AB:$AB,需求评估!$T:$T,D190)=0,"Paid",IF(SUMIFS(需求评估!$Q:$Q,需求评估!$T:$T,D190)-SUMIFS(需求评估!$AB:$AB,需求评估!$T:$T,D190)&gt;0,"Not Paid"))</f>
        <v>Paid</v>
      </c>
    </row>
    <row r="191" spans="2:18" ht="14.25" customHeight="1" thickBot="1" x14ac:dyDescent="0.45">
      <c r="B191" s="235" t="s">
        <v>476</v>
      </c>
      <c r="C191" s="99">
        <f>_xlfn.XLOOKUP(D191,需求评估!$T:$T,需求评估!$A:$A)</f>
        <v>1</v>
      </c>
      <c r="D191" s="100" t="s">
        <v>164</v>
      </c>
      <c r="E191" s="99">
        <f>_xlfn.XLOOKUP(D191,需求评估!$T:$T,需求评估!$L:$L)</f>
        <v>12</v>
      </c>
      <c r="F191" s="101" t="str">
        <f>VLOOKUP(Pivot!C191,$R$41:$T$74,2,0)</f>
        <v>Automated Data Processing</v>
      </c>
      <c r="G191" s="99" t="str">
        <f>VLOOKUP(C191,需求评估!$A:$B,2,0)</f>
        <v>Warehouse</v>
      </c>
      <c r="H191" s="99" t="str">
        <f>_xlfn.XLOOKUP(D191,需求评估!$T:$T,需求评估!$U:$U)</f>
        <v>2526 Q1</v>
      </c>
      <c r="I191" s="293" t="str">
        <f t="shared" si="4"/>
        <v>In Progress</v>
      </c>
      <c r="J191" s="105" cm="1">
        <f t="array" ref="J191">SUM(SUMIFS(需求评估!$Q1:$Q207,需求评估!$T$1:$T$207,D191:D213))</f>
        <v>252486</v>
      </c>
      <c r="K191" s="254" t="str">
        <f>IF(SUMIFS(需求评估!$Q:$Q,需求评估!$T:$T,D191)-SUMIFS(需求评估!$AB:$AB,需求评估!$T:$T,D191)=0,"Paid",IF(SUMIFS(需求评估!$Q:$Q,需求评估!$T:$T,D191)-SUMIFS(需求评估!$AB:$AB,需求评估!$T:$T,D191)&gt;0,"Not Paid"))</f>
        <v>Paid</v>
      </c>
    </row>
    <row r="192" spans="2:18" ht="14.25" customHeight="1" x14ac:dyDescent="0.4">
      <c r="B192" s="236" t="s">
        <v>464</v>
      </c>
      <c r="C192" s="107">
        <f>_xlfn.XLOOKUP(D192,需求评估!$T:$T,需求评估!$A:$A)</f>
        <v>3</v>
      </c>
      <c r="D192" s="108" t="s">
        <v>385</v>
      </c>
      <c r="E192" s="107">
        <f>_xlfn.XLOOKUP(D192,需求评估!$T:$T,需求评估!$L:$L)</f>
        <v>30</v>
      </c>
      <c r="F192" s="109" t="str">
        <f>VLOOKUP(Pivot!C192,$R$41:$T$74,2,0)</f>
        <v>Platform Data Integration</v>
      </c>
      <c r="G192" s="107" t="str">
        <f>VLOOKUP(C192,需求评估!$A:$B,2,0)</f>
        <v>Warehouse</v>
      </c>
      <c r="H192" s="107" t="str">
        <f>_xlfn.XLOOKUP(D192,需求评估!$T:$T,需求评估!$U:$U)</f>
        <v>2526 Q1</v>
      </c>
      <c r="I192" s="294" t="str">
        <f t="shared" si="4"/>
        <v>In Progress</v>
      </c>
      <c r="J192" s="104" t="s">
        <v>545</v>
      </c>
      <c r="K192" s="255" t="str">
        <f>IF(SUMIFS(需求评估!$Q:$Q,需求评估!$T:$T,D192)-SUMIFS(需求评估!$AB:$AB,需求评估!$T:$T,D192)=0,"Paid",IF(SUMIFS(需求评估!$Q:$Q,需求评估!$T:$T,D192)-SUMIFS(需求评估!$AB:$AB,需求评估!$T:$T,D192)&gt;0,"Not Paid"))</f>
        <v>Paid</v>
      </c>
      <c r="M192" s="396" t="s">
        <v>554</v>
      </c>
      <c r="N192" s="267" t="s">
        <v>555</v>
      </c>
      <c r="O192" s="369" t="s">
        <v>556</v>
      </c>
      <c r="P192" s="369" t="s">
        <v>459</v>
      </c>
    </row>
    <row r="193" spans="2:16" ht="14.25" customHeight="1" x14ac:dyDescent="0.4">
      <c r="B193" s="236" t="s">
        <v>464</v>
      </c>
      <c r="C193" s="107">
        <f>_xlfn.XLOOKUP(D193,需求评估!$T:$T,需求评估!$A:$A)</f>
        <v>4</v>
      </c>
      <c r="D193" s="108" t="s">
        <v>387</v>
      </c>
      <c r="E193" s="107">
        <f>_xlfn.XLOOKUP(D193,需求评估!$T:$T,需求评估!$L:$L)</f>
        <v>50</v>
      </c>
      <c r="F193" s="109" t="str">
        <f>VLOOKUP(Pivot!C193,$R$41:$T$74,2,0)</f>
        <v>OCR-LLM</v>
      </c>
      <c r="G193" s="107" t="str">
        <f>VLOOKUP(C193,需求评估!$A:$B,2,0)</f>
        <v>Warehouse</v>
      </c>
      <c r="H193" s="107" t="str">
        <f>_xlfn.XLOOKUP(D193,需求评估!$T:$T,需求评估!$U:$U)</f>
        <v>2425 Q4</v>
      </c>
      <c r="I193" s="294" t="str">
        <f t="shared" si="4"/>
        <v>In Progress</v>
      </c>
      <c r="J193" s="95" t="s">
        <v>549</v>
      </c>
      <c r="K193" s="255" t="str">
        <f>IF(SUMIFS(需求评估!$Q:$Q,需求评估!$T:$T,D193)-SUMIFS(需求评估!$AB:$AB,需求评估!$T:$T,D193)=0,"Paid",IF(SUMIFS(需求评估!$Q:$Q,需求评估!$T:$T,D193)-SUMIFS(需求评估!$AB:$AB,需求评估!$T:$T,D193)&gt;0,"Not Paid"))</f>
        <v>Paid</v>
      </c>
      <c r="M193" s="397"/>
      <c r="N193" s="268" t="s">
        <v>557</v>
      </c>
      <c r="O193" s="370"/>
      <c r="P193" s="370"/>
    </row>
    <row r="194" spans="2:16" ht="14.25" customHeight="1" x14ac:dyDescent="0.4">
      <c r="B194" s="236" t="s">
        <v>464</v>
      </c>
      <c r="C194" s="107">
        <f>_xlfn.XLOOKUP(D194,需求评估!$T:$T,需求评估!$A:$A)</f>
        <v>4</v>
      </c>
      <c r="D194" s="108" t="s">
        <v>189</v>
      </c>
      <c r="E194" s="107">
        <f>_xlfn.XLOOKUP(D194,需求评估!$T:$T,需求评估!$L:$L)</f>
        <v>20</v>
      </c>
      <c r="F194" s="109" t="str">
        <f>VLOOKUP(Pivot!C194,$R$41:$T$74,2,0)</f>
        <v>OCR-LLM</v>
      </c>
      <c r="G194" s="107" t="str">
        <f>VLOOKUP(C194,需求评估!$A:$B,2,0)</f>
        <v>Warehouse</v>
      </c>
      <c r="H194" s="107" t="str">
        <f>_xlfn.XLOOKUP(D194,需求评估!$T:$T,需求评估!$U:$U)</f>
        <v>2526 Q4</v>
      </c>
      <c r="I194" s="111" t="str">
        <f t="shared" si="4"/>
        <v>Not Started</v>
      </c>
      <c r="J194" s="103" cm="1">
        <f t="array" ref="J194">SUM(SUMIFS(需求评估!$R1:$R207,需求评估!$T$1:$T$207,D191:D213))+SUM(SUMIFS(需求评估!$S1:$S207,需求评估!$T$1:$T$207,D191:D213))</f>
        <v>56136</v>
      </c>
      <c r="K194" s="255" t="str">
        <f>IF(SUMIFS(需求评估!$Q:$Q,需求评估!$T:$T,D194)-SUMIFS(需求评估!$AB:$AB,需求评估!$T:$T,D194)=0,"Paid",IF(SUMIFS(需求评估!$Q:$Q,需求评估!$T:$T,D194)-SUMIFS(需求评估!$AB:$AB,需求评估!$T:$T,D194)&gt;0,"Not Paid"))</f>
        <v>Paid</v>
      </c>
      <c r="M194" s="269" t="s">
        <v>463</v>
      </c>
      <c r="N194" s="270">
        <v>42588</v>
      </c>
      <c r="O194" s="271"/>
      <c r="P194" s="272">
        <f>SUM(N194:O194)</f>
        <v>42588</v>
      </c>
    </row>
    <row r="195" spans="2:16" ht="14.25" customHeight="1" x14ac:dyDescent="0.4">
      <c r="B195" s="236" t="s">
        <v>464</v>
      </c>
      <c r="C195" s="107">
        <f>_xlfn.XLOOKUP(D195,需求评估!$T:$T,需求评估!$A:$A)</f>
        <v>5</v>
      </c>
      <c r="D195" s="108" t="s">
        <v>371</v>
      </c>
      <c r="E195" s="107">
        <f>_xlfn.XLOOKUP(D195,需求评估!$T:$T,需求评估!$L:$L)</f>
        <v>5</v>
      </c>
      <c r="F195" s="109" t="str">
        <f>VLOOKUP(Pivot!C195,$R$41:$T$74,2,0)</f>
        <v>Automated Email Generation</v>
      </c>
      <c r="G195" s="107" t="str">
        <f>VLOOKUP(C195,需求评估!$A:$B,2,0)</f>
        <v>Warehouse</v>
      </c>
      <c r="H195" s="107" t="str">
        <f>_xlfn.XLOOKUP(D195,需求评估!$T:$T,需求评估!$U:$U)</f>
        <v>2526 Q1</v>
      </c>
      <c r="I195" s="111" t="str">
        <f t="shared" si="4"/>
        <v>Not Started</v>
      </c>
      <c r="J195" s="104" t="s">
        <v>552</v>
      </c>
      <c r="K195" s="232" t="str">
        <f>IF(SUMIFS(需求评估!$Q:$Q,需求评估!$T:$T,D195)-SUMIFS(需求评估!$AB:$AB,需求评估!$T:$T,D195)=0,"Paid",IF(SUMIFS(需求评估!$Q:$Q,需求评估!$T:$T,D195)-SUMIFS(需求评估!$AB:$AB,需求评估!$T:$T,D195)&gt;0,"Not Paid"))</f>
        <v>Paid</v>
      </c>
      <c r="M195" s="273" t="s">
        <v>464</v>
      </c>
      <c r="N195" s="274">
        <v>114408</v>
      </c>
      <c r="O195" s="275">
        <v>12668</v>
      </c>
      <c r="P195" s="272">
        <f>SUM(N195:O195)</f>
        <v>127076</v>
      </c>
    </row>
    <row r="196" spans="2:16" ht="14.25" customHeight="1" x14ac:dyDescent="0.4">
      <c r="B196" s="236" t="s">
        <v>464</v>
      </c>
      <c r="C196" s="107">
        <f>_xlfn.XLOOKUP(D196,需求评估!$T:$T,需求评估!$A:$A)</f>
        <v>6</v>
      </c>
      <c r="D196" s="108" t="s">
        <v>512</v>
      </c>
      <c r="E196" s="107">
        <f>_xlfn.XLOOKUP(D196,需求评估!$T:$T,需求评估!$L:$L)</f>
        <v>180</v>
      </c>
      <c r="F196" s="109" t="str">
        <f>VLOOKUP(Pivot!C196,$R$41:$T$74,2,0)</f>
        <v>Platform Large Model</v>
      </c>
      <c r="G196" s="107" t="str">
        <f>VLOOKUP(C196,需求评估!$A:$B,2,0)</f>
        <v>Warehouse</v>
      </c>
      <c r="H196" s="107" t="str">
        <f>_xlfn.XLOOKUP(D196,需求评估!$T:$T,需求评估!$U:$U)</f>
        <v>2526 Q1</v>
      </c>
      <c r="I196" s="111" t="str">
        <f t="shared" si="4"/>
        <v>Not Started</v>
      </c>
      <c r="K196" s="255" t="str">
        <f>IF(SUMIFS(需求评估!$Q:$Q,需求评估!$T:$T,D196)-SUMIFS(需求评估!$AB:$AB,需求评估!$T:$T,D196)=0,"Paid",IF(SUMIFS(需求评估!$Q:$Q,需求评估!$T:$T,D196)-SUMIFS(需求评估!$AB:$AB,需求评估!$T:$T,D196)&gt;0,"Not Paid"))</f>
        <v>Not Paid</v>
      </c>
      <c r="M196" s="273" t="s">
        <v>466</v>
      </c>
      <c r="N196" s="274">
        <v>23940</v>
      </c>
      <c r="O196" s="275">
        <v>46256</v>
      </c>
      <c r="P196" s="272">
        <f>SUM(N196:O196)</f>
        <v>70196</v>
      </c>
    </row>
    <row r="197" spans="2:16" ht="14.25" customHeight="1" x14ac:dyDescent="0.4">
      <c r="B197" s="236" t="s">
        <v>464</v>
      </c>
      <c r="C197" s="107">
        <f>_xlfn.XLOOKUP(D197,需求评估!$T:$T,需求评估!$A:$A)</f>
        <v>0</v>
      </c>
      <c r="D197" s="108" t="s">
        <v>43</v>
      </c>
      <c r="E197" s="107">
        <f>_xlfn.XLOOKUP(D197,需求评估!$T:$T,需求评估!$L:$L)</f>
        <v>12</v>
      </c>
      <c r="F197" s="109" t="e">
        <f>VLOOKUP(Pivot!C197,$R$41:$T$74,2,0)</f>
        <v>#N/A</v>
      </c>
      <c r="G197" s="107" t="str">
        <f>VLOOKUP(C197,需求评估!$A:$B,2,0)</f>
        <v>Billing</v>
      </c>
      <c r="H197" s="107" t="str">
        <f>_xlfn.XLOOKUP(D197,需求评估!$T:$T,需求评估!$U:$U)</f>
        <v>2526 Q4</v>
      </c>
      <c r="I197" s="111" t="str">
        <f t="shared" si="4"/>
        <v>Not Started</v>
      </c>
      <c r="J197" s="10"/>
      <c r="K197" s="232" t="str">
        <f>IF(SUMIFS(需求评估!$Q:$Q,需求评估!$T:$T,D197)-SUMIFS(需求评估!$AB:$AB,需求评估!$T:$T,D197)=0,"Paid",IF(SUMIFS(需求评估!$Q:$Q,需求评估!$T:$T,D197)-SUMIFS(需求评估!$AB:$AB,需求评估!$T:$T,D197)&gt;0,"Not Paid"))</f>
        <v>Paid</v>
      </c>
      <c r="M197" s="276" t="s">
        <v>459</v>
      </c>
      <c r="N197" s="277">
        <f>SUM(N194:N196)</f>
        <v>180936</v>
      </c>
      <c r="O197" s="278">
        <f>SUM(O194:O196)</f>
        <v>58924</v>
      </c>
      <c r="P197" s="277">
        <f>SUM(P194:P196)</f>
        <v>239860</v>
      </c>
    </row>
    <row r="198" spans="2:16" ht="14.25" customHeight="1" x14ac:dyDescent="0.4">
      <c r="B198" s="236" t="s">
        <v>464</v>
      </c>
      <c r="C198" s="107">
        <f>_xlfn.XLOOKUP(D198,需求评估!$T:$T,需求评估!$A:$A)</f>
        <v>11</v>
      </c>
      <c r="D198" s="108" t="s">
        <v>474</v>
      </c>
      <c r="E198" s="107">
        <f>_xlfn.XLOOKUP(D198,需求评估!$T:$T,需求评估!$L:$L)</f>
        <v>40</v>
      </c>
      <c r="F198" s="109" t="str">
        <f>VLOOKUP(Pivot!C198,$R$41:$T$74,2,0)</f>
        <v>Platform Data Integration</v>
      </c>
      <c r="G198" s="107" t="str">
        <f>VLOOKUP(C198,需求评估!$A:$B,2,0)</f>
        <v>Warehouse</v>
      </c>
      <c r="H198" s="107" t="str">
        <f>_xlfn.XLOOKUP(D198,需求评估!$T:$T,需求评估!$U:$U)</f>
        <v>2526 Q2</v>
      </c>
      <c r="I198" s="111" t="str">
        <f t="shared" si="4"/>
        <v>Not Started</v>
      </c>
      <c r="J198" s="10"/>
      <c r="K198" s="232" t="str">
        <f>IF(SUMIFS(需求评估!$Q:$Q,需求评估!$T:$T,D198)-SUMIFS(需求评估!$AB:$AB,需求评估!$T:$T,D198)=0,"Paid",IF(SUMIFS(需求评估!$Q:$Q,需求评估!$T:$T,D198)-SUMIFS(需求评估!$AB:$AB,需求评估!$T:$T,D198)&gt;0,"Not Paid"))</f>
        <v>Paid</v>
      </c>
      <c r="M198" s="279" t="s">
        <v>558</v>
      </c>
      <c r="N198" s="398"/>
      <c r="O198" s="371">
        <v>53296</v>
      </c>
      <c r="P198" s="371">
        <f>SUM(N198:O199)</f>
        <v>53296</v>
      </c>
    </row>
    <row r="199" spans="2:16" ht="14.25" customHeight="1" thickBot="1" x14ac:dyDescent="0.45">
      <c r="B199" s="236" t="s">
        <v>464</v>
      </c>
      <c r="C199" s="107">
        <f>_xlfn.XLOOKUP(D199,需求评估!$T:$T,需求评估!$A:$A)</f>
        <v>0</v>
      </c>
      <c r="D199" s="108" t="s">
        <v>123</v>
      </c>
      <c r="E199" s="107">
        <f>_xlfn.XLOOKUP(D199,需求评估!$T:$T,需求评估!$L:$L)</f>
        <v>60</v>
      </c>
      <c r="F199" s="109" t="e">
        <f>VLOOKUP(Pivot!C199,$R$41:$T$74,2,0)</f>
        <v>#N/A</v>
      </c>
      <c r="G199" s="107" t="str">
        <f>VLOOKUP(C199,需求评估!$A:$B,2,0)</f>
        <v>Billing</v>
      </c>
      <c r="H199" s="107" t="str">
        <f>_xlfn.XLOOKUP(D199,需求评估!$T:$T,需求评估!$U:$U)</f>
        <v>2526 Q4</v>
      </c>
      <c r="I199" s="111" t="str">
        <f t="shared" si="4"/>
        <v>Not Started</v>
      </c>
      <c r="J199" s="10"/>
      <c r="K199" s="255" t="str">
        <f>IF(SUMIFS(需求评估!$Q:$Q,需求评估!$T:$T,D199)-SUMIFS(需求评估!$AB:$AB,需求评估!$T:$T,D199)=0,"Paid",IF(SUMIFS(需求评估!$Q:$Q,需求评估!$T:$T,D199)-SUMIFS(需求评估!$AB:$AB,需求评估!$T:$T,D199)&gt;0,"Not Paid"))</f>
        <v>Not Paid</v>
      </c>
      <c r="M199" s="280" t="s">
        <v>559</v>
      </c>
      <c r="N199" s="399"/>
      <c r="O199" s="372"/>
      <c r="P199" s="372"/>
    </row>
    <row r="200" spans="2:16" ht="14.25" customHeight="1" x14ac:dyDescent="0.4">
      <c r="B200" s="236" t="s">
        <v>464</v>
      </c>
      <c r="C200" s="107">
        <f>_xlfn.XLOOKUP(D200,需求评估!$T:$T,需求评估!$A:$A)</f>
        <v>0</v>
      </c>
      <c r="D200" s="108" t="s">
        <v>130</v>
      </c>
      <c r="E200" s="107">
        <f>_xlfn.XLOOKUP(D200,需求评估!$T:$T,需求评估!$L:$L)</f>
        <v>20</v>
      </c>
      <c r="F200" s="109" t="e">
        <f>VLOOKUP(Pivot!C200,$R$41:$T$74,2,0)</f>
        <v>#N/A</v>
      </c>
      <c r="G200" s="107" t="str">
        <f>VLOOKUP(C200,需求评估!$A:$B,2,0)</f>
        <v>Billing</v>
      </c>
      <c r="H200" s="107" t="str">
        <f>_xlfn.XLOOKUP(D200,需求评估!$T:$T,需求评估!$U:$U)</f>
        <v>2526 Q3</v>
      </c>
      <c r="I200" s="111" t="str">
        <f t="shared" si="4"/>
        <v>Not Started</v>
      </c>
      <c r="J200" s="10"/>
      <c r="K200" s="255" t="str">
        <f>IF(SUMIFS(需求评估!$Q:$Q,需求评估!$T:$T,D200)-SUMIFS(需求评估!$AB:$AB,需求评估!$T:$T,D200)=0,"Paid",IF(SUMIFS(需求评估!$Q:$Q,需求评估!$T:$T,D200)-SUMIFS(需求评估!$AB:$AB,需求评估!$T:$T,D200)&gt;0,"Not Paid"))</f>
        <v>Not Paid</v>
      </c>
    </row>
    <row r="201" spans="2:16" ht="14.25" customHeight="1" thickBot="1" x14ac:dyDescent="0.45">
      <c r="B201" s="236" t="s">
        <v>464</v>
      </c>
      <c r="C201" s="107">
        <f>_xlfn.XLOOKUP(D201,需求评估!$T:$T,需求评估!$A:$A)</f>
        <v>0</v>
      </c>
      <c r="D201" s="108" t="s">
        <v>136</v>
      </c>
      <c r="E201" s="107">
        <f>_xlfn.XLOOKUP(D201,需求评估!$T:$T,需求评估!$L:$L)</f>
        <v>20</v>
      </c>
      <c r="F201" s="109" t="e">
        <f>VLOOKUP(Pivot!C201,$R$41:$T$74,2,0)</f>
        <v>#N/A</v>
      </c>
      <c r="G201" s="107" t="str">
        <f>VLOOKUP(C201,需求评估!$A:$B,2,0)</f>
        <v>Billing</v>
      </c>
      <c r="H201" s="107" t="str">
        <f>_xlfn.XLOOKUP(D201,需求评估!$T:$T,需求评估!$U:$U)</f>
        <v>2526 Q3</v>
      </c>
      <c r="I201" s="111" t="str">
        <f t="shared" si="4"/>
        <v>Not Started</v>
      </c>
      <c r="J201" s="10"/>
      <c r="K201" s="255" t="str">
        <f>IF(SUMIFS(需求评估!$Q:$Q,需求评估!$T:$T,D201)-SUMIFS(需求评估!$AB:$AB,需求评估!$T:$T,D201)=0,"Paid",IF(SUMIFS(需求评估!$Q:$Q,需求评估!$T:$T,D201)-SUMIFS(需求评估!$AB:$AB,需求评估!$T:$T,D201)&gt;0,"Not Paid"))</f>
        <v>Not Paid</v>
      </c>
    </row>
    <row r="202" spans="2:16" ht="14.25" customHeight="1" x14ac:dyDescent="0.4">
      <c r="B202" s="236" t="s">
        <v>464</v>
      </c>
      <c r="C202" s="107">
        <f>_xlfn.XLOOKUP(D202,需求评估!$T:$T,需求评估!$A:$A)</f>
        <v>0</v>
      </c>
      <c r="D202" s="108" t="s">
        <v>139</v>
      </c>
      <c r="E202" s="107">
        <f>_xlfn.XLOOKUP(D202,需求评估!$T:$T,需求评估!$L:$L)</f>
        <v>20</v>
      </c>
      <c r="F202" s="109" t="e">
        <f>VLOOKUP(Pivot!C202,$R$41:$T$74,2,0)</f>
        <v>#N/A</v>
      </c>
      <c r="G202" s="107" t="str">
        <f>VLOOKUP(C202,需求评估!$A:$B,2,0)</f>
        <v>Billing</v>
      </c>
      <c r="H202" s="107" t="str">
        <f>_xlfn.XLOOKUP(D202,需求评估!$T:$T,需求评估!$U:$U)</f>
        <v>2526 Q3</v>
      </c>
      <c r="I202" s="111" t="str">
        <f t="shared" si="4"/>
        <v>Not Started</v>
      </c>
      <c r="J202" s="10"/>
      <c r="K202" s="255" t="str">
        <f>IF(SUMIFS(需求评估!$Q:$Q,需求评估!$T:$T,D202)-SUMIFS(需求评估!$AB:$AB,需求评估!$T:$T,D202)=0,"Paid",IF(SUMIFS(需求评估!$Q:$Q,需求评估!$T:$T,D202)-SUMIFS(需求评估!$AB:$AB,需求评估!$T:$T,D202)&gt;0,"Not Paid"))</f>
        <v>Not Paid</v>
      </c>
      <c r="M202" s="351" t="s">
        <v>560</v>
      </c>
      <c r="N202" s="42" t="s">
        <v>555</v>
      </c>
      <c r="O202" s="353" t="s">
        <v>556</v>
      </c>
      <c r="P202" s="353" t="s">
        <v>459</v>
      </c>
    </row>
    <row r="203" spans="2:16" ht="14.25" customHeight="1" x14ac:dyDescent="0.4">
      <c r="B203" s="236" t="s">
        <v>464</v>
      </c>
      <c r="C203" s="107">
        <f>_xlfn.XLOOKUP(D203,需求评估!$T:$T,需求评估!$A:$A)</f>
        <v>0</v>
      </c>
      <c r="D203" s="108" t="s">
        <v>59</v>
      </c>
      <c r="E203" s="107">
        <f>_xlfn.XLOOKUP(D203,需求评估!$T:$T,需求评估!$L:$L)</f>
        <v>12</v>
      </c>
      <c r="F203" s="109" t="e">
        <f>VLOOKUP(Pivot!C203,$R$41:$T$74,2,0)</f>
        <v>#N/A</v>
      </c>
      <c r="G203" s="107" t="str">
        <f>VLOOKUP(C203,需求评估!$A:$B,2,0)</f>
        <v>Billing</v>
      </c>
      <c r="H203" s="107" t="str">
        <f>_xlfn.XLOOKUP(D203,需求评估!$T:$T,需求评估!$U:$U)</f>
        <v>2526 Q4</v>
      </c>
      <c r="I203" s="111" t="str">
        <f t="shared" si="4"/>
        <v>Not Started</v>
      </c>
      <c r="J203" s="10"/>
      <c r="K203" s="255" t="str">
        <f>IF(SUMIFS(需求评估!$Q:$Q,需求评估!$T:$T,D203)-SUMIFS(需求评估!$AB:$AB,需求评估!$T:$T,D203)=0,"Paid",IF(SUMIFS(需求评估!$Q:$Q,需求评估!$T:$T,D203)-SUMIFS(需求评估!$AB:$AB,需求评估!$T:$T,D203)&gt;0,"Not Paid"))</f>
        <v>Not Paid</v>
      </c>
      <c r="M203" s="352"/>
      <c r="N203" s="43" t="s">
        <v>557</v>
      </c>
      <c r="O203" s="354"/>
      <c r="P203" s="354"/>
    </row>
    <row r="204" spans="2:16" ht="14.25" customHeight="1" x14ac:dyDescent="0.4">
      <c r="B204" s="236" t="s">
        <v>464</v>
      </c>
      <c r="C204" s="107">
        <f>_xlfn.XLOOKUP(D204,需求评估!$T:$T,需求评估!$A:$A)</f>
        <v>13</v>
      </c>
      <c r="D204" s="108" t="s">
        <v>245</v>
      </c>
      <c r="E204" s="107">
        <f>_xlfn.XLOOKUP(D204,需求评估!$T:$T,需求评估!$L:$L)</f>
        <v>8</v>
      </c>
      <c r="F204" s="109" t="str">
        <f>VLOOKUP(Pivot!C204,$R$41:$T$74,2,0)</f>
        <v>Automated Email Generation</v>
      </c>
      <c r="G204" s="107" t="str">
        <f>VLOOKUP(C204,需求评估!$A:$B,2,0)</f>
        <v>Warehouse</v>
      </c>
      <c r="H204" s="107" t="str">
        <f>_xlfn.XLOOKUP(D204,需求评估!$T:$T,需求评估!$U:$U)</f>
        <v>2627 Q3</v>
      </c>
      <c r="I204" s="111" t="str">
        <f t="shared" si="4"/>
        <v>Not Started</v>
      </c>
      <c r="J204" s="10"/>
      <c r="K204" s="255" t="str">
        <f>IF(SUMIFS(需求评估!$Q:$Q,需求评估!$T:$T,D204)-SUMIFS(需求评估!$AB:$AB,需求评估!$T:$T,D204)=0,"Paid",IF(SUMIFS(需求评估!$Q:$Q,需求评估!$T:$T,D204)-SUMIFS(需求评估!$AB:$AB,需求评估!$T:$T,D204)&gt;0,"Not Paid"))</f>
        <v>Not Paid</v>
      </c>
      <c r="M204" s="31" t="s">
        <v>463</v>
      </c>
      <c r="N204" s="32">
        <f>J184</f>
        <v>86979.18</v>
      </c>
      <c r="O204" s="44"/>
      <c r="P204" s="45">
        <f>SUM(N204:O204)</f>
        <v>86979.18</v>
      </c>
    </row>
    <row r="205" spans="2:16" ht="14.25" customHeight="1" x14ac:dyDescent="0.4">
      <c r="B205" s="236" t="s">
        <v>464</v>
      </c>
      <c r="C205" s="107">
        <f>_xlfn.XLOOKUP(D205,需求评估!$T:$T,需求评估!$A:$A)</f>
        <v>14</v>
      </c>
      <c r="D205" s="108" t="s">
        <v>250</v>
      </c>
      <c r="E205" s="107">
        <f>_xlfn.XLOOKUP(D205,需求评估!$T:$T,需求评估!$L:$L)</f>
        <v>10</v>
      </c>
      <c r="F205" s="109" t="str">
        <f>VLOOKUP(Pivot!C205,$R$41:$T$74,2,0)</f>
        <v>Automated Data Processing</v>
      </c>
      <c r="G205" s="107" t="str">
        <f>VLOOKUP(C205,需求评估!$A:$B,2,0)</f>
        <v>Warehouse</v>
      </c>
      <c r="H205" s="107" t="str">
        <f>_xlfn.XLOOKUP(D205,需求评估!$T:$T,需求评估!$U:$U)</f>
        <v>2526 Q3</v>
      </c>
      <c r="I205" s="111" t="str">
        <f t="shared" si="4"/>
        <v>Not Started</v>
      </c>
      <c r="J205" s="10"/>
      <c r="K205" s="255" t="str">
        <f>IF(SUMIFS(需求评估!$Q:$Q,需求评估!$T:$T,D205)-SUMIFS(需求评估!$AB:$AB,需求评估!$T:$T,D205)=0,"Paid",IF(SUMIFS(需求评估!$Q:$Q,需求评估!$T:$T,D205)-SUMIFS(需求评估!$AB:$AB,需求评估!$T:$T,D205)&gt;0,"Not Paid"))</f>
        <v>Not Paid</v>
      </c>
      <c r="M205" s="35" t="s">
        <v>464</v>
      </c>
      <c r="N205" s="36">
        <f>J191</f>
        <v>252486</v>
      </c>
      <c r="O205" s="37">
        <f>J187</f>
        <v>13398</v>
      </c>
      <c r="P205" s="45">
        <f>SUM(N205:O205)</f>
        <v>265884</v>
      </c>
    </row>
    <row r="206" spans="2:16" ht="14.25" customHeight="1" x14ac:dyDescent="0.4">
      <c r="B206" s="236" t="s">
        <v>464</v>
      </c>
      <c r="C206" s="107">
        <f>_xlfn.XLOOKUP(D206,需求评估!$T:$T,需求评估!$A:$A)</f>
        <v>15</v>
      </c>
      <c r="D206" s="108" t="s">
        <v>402</v>
      </c>
      <c r="E206" s="107">
        <f>_xlfn.XLOOKUP(D206,需求评估!$T:$T,需求评估!$L:$L)</f>
        <v>15</v>
      </c>
      <c r="F206" s="109" t="str">
        <f>VLOOKUP(Pivot!C206,$R$41:$T$74,2,0)</f>
        <v>Platform Data Integration</v>
      </c>
      <c r="G206" s="107" t="str">
        <f>VLOOKUP(C206,需求评估!$A:$B,2,0)</f>
        <v>Compliance</v>
      </c>
      <c r="H206" s="107" t="str">
        <f>_xlfn.XLOOKUP(D206,需求评估!$T:$T,需求评估!$U:$U)</f>
        <v>2627 Q1</v>
      </c>
      <c r="I206" s="111" t="str">
        <f t="shared" si="4"/>
        <v>Not Started</v>
      </c>
      <c r="J206" s="10"/>
      <c r="K206" s="255" t="str">
        <f>IF(SUMIFS(需求评估!$Q:$Q,需求评估!$T:$T,D206)-SUMIFS(需求评估!$AB:$AB,需求评估!$T:$T,D206)=0,"Paid",IF(SUMIFS(需求评估!$Q:$Q,需求评估!$T:$T,D206)-SUMIFS(需求评估!$AB:$AB,需求评估!$T:$T,D206)&gt;0,"Not Paid"))</f>
        <v>Paid</v>
      </c>
      <c r="M206" s="35" t="s">
        <v>466</v>
      </c>
      <c r="N206" s="36">
        <f>J214</f>
        <v>51150</v>
      </c>
      <c r="O206" s="37">
        <f>J194</f>
        <v>56136</v>
      </c>
      <c r="P206" s="45">
        <f>SUM(N206:O206)</f>
        <v>107286</v>
      </c>
    </row>
    <row r="207" spans="2:16" ht="14.25" customHeight="1" x14ac:dyDescent="0.4">
      <c r="B207" s="236" t="s">
        <v>464</v>
      </c>
      <c r="C207" s="107">
        <f>_xlfn.XLOOKUP(D207,需求评估!$T:$T,需求评估!$A:$A)</f>
        <v>0</v>
      </c>
      <c r="D207" s="108" t="s">
        <v>53</v>
      </c>
      <c r="E207" s="107">
        <f>_xlfn.XLOOKUP(D207,需求评估!$T:$T,需求评估!$L:$L)</f>
        <v>15</v>
      </c>
      <c r="F207" s="109" t="e">
        <f>VLOOKUP(Pivot!C207,$R$41:$T$74,2,0)</f>
        <v>#N/A</v>
      </c>
      <c r="G207" s="107" t="str">
        <f>VLOOKUP(C207,需求评估!$A:$B,2,0)</f>
        <v>Billing</v>
      </c>
      <c r="H207" s="107" t="str">
        <f>_xlfn.XLOOKUP(D207,需求评估!$T:$T,需求评估!$U:$U)</f>
        <v>2627 Q1</v>
      </c>
      <c r="I207" s="111" t="str">
        <f t="shared" si="4"/>
        <v>Not Started</v>
      </c>
      <c r="J207" s="10"/>
      <c r="K207" s="255" t="str">
        <f>IF(SUMIFS(需求评估!$Q:$Q,需求评估!$T:$T,D207)-SUMIFS(需求评估!$AB:$AB,需求评估!$T:$T,D207)=0,"Paid",IF(SUMIFS(需求评估!$Q:$Q,需求评估!$T:$T,D207)-SUMIFS(需求评估!$AB:$AB,需求评估!$T:$T,D207)&gt;0,"Not Paid"))</f>
        <v>Paid</v>
      </c>
      <c r="M207" s="46" t="s">
        <v>459</v>
      </c>
      <c r="N207" s="47">
        <f>SUM(N204:N206)</f>
        <v>390615.18</v>
      </c>
      <c r="O207" s="48">
        <f>SUM(O204:O206)</f>
        <v>69534</v>
      </c>
      <c r="P207" s="47">
        <f>SUM(P204:P206)</f>
        <v>460149.18</v>
      </c>
    </row>
    <row r="208" spans="2:16" ht="14.25" customHeight="1" x14ac:dyDescent="0.4">
      <c r="B208" s="236" t="s">
        <v>464</v>
      </c>
      <c r="C208" s="107">
        <f>_xlfn.XLOOKUP(D208,需求评估!$T:$T,需求评估!$A:$A)</f>
        <v>0</v>
      </c>
      <c r="D208" s="108" t="s">
        <v>66</v>
      </c>
      <c r="E208" s="107">
        <f>_xlfn.XLOOKUP(D208,需求评估!$T:$T,需求评估!$L:$L)</f>
        <v>20</v>
      </c>
      <c r="F208" s="109" t="e">
        <f>VLOOKUP(Pivot!C208,$R$41:$T$74,2,0)</f>
        <v>#N/A</v>
      </c>
      <c r="G208" s="107" t="str">
        <f>VLOOKUP(C208,需求评估!$A:$B,2,0)</f>
        <v>Billing</v>
      </c>
      <c r="H208" s="107" t="str">
        <f>_xlfn.XLOOKUP(D208,需求评估!$T:$T,需求评估!$U:$U)</f>
        <v>2526 Q3</v>
      </c>
      <c r="I208" s="111" t="str">
        <f t="shared" si="4"/>
        <v>Not Started</v>
      </c>
      <c r="J208" s="10"/>
      <c r="K208" s="255" t="str">
        <f>IF(SUMIFS(需求评估!$Q:$Q,需求评估!$T:$T,D208)-SUMIFS(需求评估!$AB:$AB,需求评估!$T:$T,D208)=0,"Paid",IF(SUMIFS(需求评估!$Q:$Q,需求评估!$T:$T,D208)-SUMIFS(需求评估!$AB:$AB,需求评估!$T:$T,D208)&gt;0,"Not Paid"))</f>
        <v>Not Paid</v>
      </c>
      <c r="M208" s="49" t="s">
        <v>558</v>
      </c>
      <c r="N208" s="385"/>
      <c r="O208" s="355">
        <f>SUM(J187,J194,J217)</f>
        <v>80014</v>
      </c>
      <c r="P208" s="349">
        <f>SUM(N208:O209)</f>
        <v>80014</v>
      </c>
    </row>
    <row r="209" spans="2:16" ht="14.25" customHeight="1" thickBot="1" x14ac:dyDescent="0.45">
      <c r="B209" s="236" t="s">
        <v>464</v>
      </c>
      <c r="C209" s="107">
        <f>_xlfn.XLOOKUP(D209,需求评估!$T:$T,需求评估!$A:$A)</f>
        <v>0</v>
      </c>
      <c r="D209" s="108" t="s">
        <v>144</v>
      </c>
      <c r="E209" s="107">
        <f>_xlfn.XLOOKUP(D209,需求评估!$T:$T,需求评估!$L:$L)</f>
        <v>60</v>
      </c>
      <c r="F209" s="109" t="e">
        <f>VLOOKUP(Pivot!C209,$R$41:$T$74,2,0)</f>
        <v>#N/A</v>
      </c>
      <c r="G209" s="107" t="str">
        <f>VLOOKUP(C209,需求评估!$A:$B,2,0)</f>
        <v>Billing</v>
      </c>
      <c r="H209" s="107" t="str">
        <f>_xlfn.XLOOKUP(D209,需求评估!$T:$T,需求评估!$U:$U)</f>
        <v>2526 Q4</v>
      </c>
      <c r="I209" s="111" t="str">
        <f t="shared" si="4"/>
        <v>Not Started</v>
      </c>
      <c r="J209" s="10"/>
      <c r="K209" s="255" t="str">
        <f>IF(SUMIFS(需求评估!$Q:$Q,需求评估!$T:$T,D209)-SUMIFS(需求评估!$AB:$AB,需求评估!$T:$T,D209)=0,"Paid",IF(SUMIFS(需求评估!$Q:$Q,需求评估!$T:$T,D209)-SUMIFS(需求评估!$AB:$AB,需求评估!$T:$T,D209)&gt;0,"Not Paid"))</f>
        <v>Not Paid</v>
      </c>
      <c r="M209" s="50" t="s">
        <v>559</v>
      </c>
      <c r="N209" s="386"/>
      <c r="O209" s="356"/>
      <c r="P209" s="350"/>
    </row>
    <row r="210" spans="2:16" ht="14.25" customHeight="1" x14ac:dyDescent="0.4">
      <c r="B210" s="236" t="s">
        <v>464</v>
      </c>
      <c r="C210" s="107">
        <f>_xlfn.XLOOKUP(D210,需求评估!$T:$T,需求评估!$A:$A)</f>
        <v>0</v>
      </c>
      <c r="D210" s="108" t="s">
        <v>150</v>
      </c>
      <c r="E210" s="107">
        <f>_xlfn.XLOOKUP(D210,需求评估!$T:$T,需求评估!$L:$L)</f>
        <v>50</v>
      </c>
      <c r="F210" s="138" t="e">
        <f>VLOOKUP(Pivot!C210,$R$41:$T$74,2,0)</f>
        <v>#N/A</v>
      </c>
      <c r="G210" s="116" t="str">
        <f>VLOOKUP(C210,需求评估!$A:$B,2,0)</f>
        <v>Billing</v>
      </c>
      <c r="H210" s="116" t="str">
        <f>_xlfn.XLOOKUP(D210,需求评估!$T:$T,需求评估!$U:$U)</f>
        <v>2526 Q3</v>
      </c>
      <c r="I210" s="139" t="str">
        <f t="shared" si="4"/>
        <v>Not Started</v>
      </c>
      <c r="J210" s="10"/>
      <c r="K210" s="255" t="str">
        <f>IF(SUMIFS(需求评估!$Q:$Q,需求评估!$T:$T,D210)-SUMIFS(需求评估!$AB:$AB,需求评估!$T:$T,D210)=0,"Paid",IF(SUMIFS(需求评估!$Q:$Q,需求评估!$T:$T,D210)-SUMIFS(需求评估!$AB:$AB,需求评估!$T:$T,D210)&gt;0,"Not Paid"))</f>
        <v>Not Paid</v>
      </c>
    </row>
    <row r="211" spans="2:16" ht="14.25" customHeight="1" x14ac:dyDescent="0.4">
      <c r="B211" s="236" t="s">
        <v>464</v>
      </c>
      <c r="C211" s="107">
        <f>_xlfn.XLOOKUP(D211,需求评估!$T:$T,需求评估!$A:$A)</f>
        <v>21</v>
      </c>
      <c r="D211" s="108" t="s">
        <v>266</v>
      </c>
      <c r="E211" s="107">
        <f>_xlfn.XLOOKUP(D211,需求评估!$T:$T,需求评估!$L:$L)</f>
        <v>40</v>
      </c>
      <c r="F211" s="138" t="str">
        <f>VLOOKUP(Pivot!C211,$R$41:$T$74,2,0)</f>
        <v>Large Model Algorithm</v>
      </c>
      <c r="G211" s="116" t="str">
        <f>VLOOKUP(C211,需求评估!$A:$B,2,0)</f>
        <v>Warehouse</v>
      </c>
      <c r="H211" s="116" t="str">
        <f>_xlfn.XLOOKUP(D211,需求评估!$T:$T,需求评估!$U:$U)</f>
        <v>2526 Q1</v>
      </c>
      <c r="I211" s="295" t="str">
        <f t="shared" si="4"/>
        <v>In Progress</v>
      </c>
      <c r="K211" s="255" t="str">
        <f>IF(SUMIFS(需求评估!$Q:$Q,需求评估!$T:$T,D211)-SUMIFS(需求评估!$AB:$AB,需求评估!$T:$T,D211)=0,"Paid",IF(SUMIFS(需求评估!$Q:$Q,需求评估!$T:$T,D211)-SUMIFS(需求评估!$AB:$AB,需求评估!$T:$T,D211)&gt;0,"Not Paid"))</f>
        <v>Paid</v>
      </c>
    </row>
    <row r="212" spans="2:16" ht="13.5" customHeight="1" x14ac:dyDescent="0.4">
      <c r="B212" s="236" t="s">
        <v>464</v>
      </c>
      <c r="C212" s="107">
        <f>_xlfn.XLOOKUP(D212,需求评估!$T:$T,需求评估!$A:$A)</f>
        <v>0</v>
      </c>
      <c r="D212" s="108" t="s">
        <v>96</v>
      </c>
      <c r="E212" s="107">
        <f>_xlfn.XLOOKUP(D212,需求评估!$T:$T,需求评估!$L:$L)</f>
        <v>50</v>
      </c>
      <c r="F212" s="138" t="e">
        <f>VLOOKUP(Pivot!C212,$R$41:$T$74,2,0)</f>
        <v>#N/A</v>
      </c>
      <c r="G212" s="116" t="str">
        <f>VLOOKUP(C212,需求评估!$A:$B,2,0)</f>
        <v>Billing</v>
      </c>
      <c r="H212" s="116" t="str">
        <f>_xlfn.XLOOKUP(D212,需求评估!$T:$T,需求评估!$U:$U)</f>
        <v>2526 Q4</v>
      </c>
      <c r="I212" s="139" t="str">
        <f t="shared" si="4"/>
        <v>Not Started</v>
      </c>
      <c r="J212" s="10"/>
      <c r="K212" s="255" t="str">
        <f>IF(SUMIFS(需求评估!$Q:$Q,需求评估!$T:$T,D212)-SUMIFS(需求评估!$AB:$AB,需求评估!$T:$T,D212)=0,"Paid",IF(SUMIFS(需求评估!$Q:$Q,需求评估!$T:$T,D212)-SUMIFS(需求评估!$AB:$AB,需求评估!$T:$T,D212)&gt;0,"Not Paid"))</f>
        <v>Not Paid</v>
      </c>
    </row>
    <row r="213" spans="2:16" ht="14.25" customHeight="1" thickBot="1" x14ac:dyDescent="0.45">
      <c r="B213" s="237" t="s">
        <v>464</v>
      </c>
      <c r="C213" s="112">
        <f>_xlfn.XLOOKUP(D213,需求评估!$T:$T,需求评估!$A:$A)</f>
        <v>0</v>
      </c>
      <c r="D213" s="113" t="s">
        <v>536</v>
      </c>
      <c r="E213" s="107">
        <f>_xlfn.XLOOKUP(D213,需求评估!$T:$T,需求评估!$L:$L)</f>
        <v>40</v>
      </c>
      <c r="F213" s="114" t="e">
        <f>VLOOKUP(Pivot!C213,$R$41:$T$74,2,0)</f>
        <v>#N/A</v>
      </c>
      <c r="G213" s="112" t="str">
        <f>VLOOKUP(C213,需求评估!$A:$B,2,0)</f>
        <v>Billing</v>
      </c>
      <c r="H213" s="112" t="str">
        <f>_xlfn.XLOOKUP(D213,需求评估!$T:$T,需求评估!$U:$U)</f>
        <v>2526 Q3</v>
      </c>
      <c r="I213" s="115" t="str">
        <f t="shared" si="4"/>
        <v>Not Started</v>
      </c>
      <c r="J213" s="106"/>
      <c r="K213" s="256" t="str">
        <f>IF(SUMIFS(需求评估!$Q:$Q,需求评估!$T:$T,D213)-SUMIFS(需求评估!$AB:$AB,需求评估!$T:$T,D213)=0,"Paid",IF(SUMIFS(需求评估!$Q:$Q,需求评估!$T:$T,D213)-SUMIFS(需求评估!$AB:$AB,需求评估!$T:$T,D213)&gt;0,"Not Paid"))</f>
        <v>Paid</v>
      </c>
    </row>
    <row r="214" spans="2:16" ht="14.25" customHeight="1" x14ac:dyDescent="0.4">
      <c r="B214" s="235" t="s">
        <v>466</v>
      </c>
      <c r="C214" s="262">
        <v>8</v>
      </c>
      <c r="D214" s="263" t="s">
        <v>126</v>
      </c>
      <c r="E214" s="262">
        <f>_xlfn.XLOOKUP(D214,需求评估!$T:$T,需求评估!$L:$L)</f>
        <v>60</v>
      </c>
      <c r="F214" s="265" t="str">
        <f>VLOOKUP(Pivot!C214,$R$41:$T$74,2,0)</f>
        <v>Platform Large Model</v>
      </c>
      <c r="G214" s="262" t="str">
        <f>VLOOKUP(C214,需求评估!$A:$B,2,0)</f>
        <v>Sourcing</v>
      </c>
      <c r="H214" s="262" t="str">
        <f>_xlfn.XLOOKUP(D214,需求评估!$T:$T,需求评估!$U:$U)</f>
        <v>2627 Q2</v>
      </c>
      <c r="I214" s="264" t="str">
        <f t="shared" si="4"/>
        <v>Not Started</v>
      </c>
      <c r="J214" s="105" cm="1">
        <f t="array" ref="J214">SUM(SUMIFS(需求评估!$Q1:$Q207,需求评估!$T$1:$T$207,D214:D218))</f>
        <v>51150</v>
      </c>
      <c r="K214" s="257" t="str">
        <f>IF(SUMIFS(需求评估!$Q:$Q,需求评估!$T:$T,D214)-SUMIFS(需求评估!$AB:$AB,需求评估!$T:$T,D214)=0,"Paid",IF(SUMIFS(需求评估!$Q:$Q,需求评估!$T:$T,D214)-SUMIFS(需求评估!$AB:$AB,需求评估!$T:$T,D214)&gt;0,"Not Paid"))</f>
        <v>Not Paid</v>
      </c>
      <c r="M214" s="408" t="s">
        <v>561</v>
      </c>
      <c r="N214" s="281" t="s">
        <v>555</v>
      </c>
      <c r="O214" s="410" t="s">
        <v>556</v>
      </c>
      <c r="P214" s="410" t="s">
        <v>459</v>
      </c>
    </row>
    <row r="215" spans="2:16" ht="14.25" customHeight="1" x14ac:dyDescent="0.4">
      <c r="B215" s="236" t="s">
        <v>466</v>
      </c>
      <c r="C215" s="260">
        <f>_xlfn.XLOOKUP(D215,需求评估!$T:$T,需求评估!$A:$A)</f>
        <v>0</v>
      </c>
      <c r="D215" s="239" t="s">
        <v>72</v>
      </c>
      <c r="E215" s="260">
        <f>_xlfn.XLOOKUP(D215,需求评估!$T:$T,需求评估!$L:$L)</f>
        <v>15</v>
      </c>
      <c r="F215" s="266" t="e">
        <f>VLOOKUP(Pivot!C215,$R$41:$T$74,2,0)</f>
        <v>#N/A</v>
      </c>
      <c r="G215" s="260" t="str">
        <f>VLOOKUP(C215,需求评估!$A:$B,2,0)</f>
        <v>Billing</v>
      </c>
      <c r="H215" s="260" t="str">
        <f>_xlfn.XLOOKUP(D215,需求评估!$T:$T,需求评估!$U:$U)</f>
        <v>2627 Q1</v>
      </c>
      <c r="I215" s="261" t="str">
        <f t="shared" ref="I215" si="5">VLOOKUP(D215,$D$138:$K$176,8,0)</f>
        <v>Not Started</v>
      </c>
      <c r="J215" s="104" t="s">
        <v>545</v>
      </c>
      <c r="K215" s="258" t="str">
        <f>IF(SUMIFS(需求评估!$Q:$Q,需求评估!$T:$T,D215)-SUMIFS(需求评估!$AB:$AB,需求评估!$T:$T,D215)=0,"Paid",IF(SUMIFS(需求评估!$Q:$Q,需求评估!$T:$T,D215)-SUMIFS(需求评估!$AB:$AB,需求评估!$T:$T,D215)&gt;0,"Not Paid"))</f>
        <v>Not Paid</v>
      </c>
      <c r="M215" s="409"/>
      <c r="N215" s="282" t="s">
        <v>557</v>
      </c>
      <c r="O215" s="411"/>
      <c r="P215" s="411"/>
    </row>
    <row r="216" spans="2:16" ht="14.25" customHeight="1" x14ac:dyDescent="0.4">
      <c r="B216" s="236" t="s">
        <v>466</v>
      </c>
      <c r="C216" s="107">
        <f>_xlfn.XLOOKUP(D216,需求评估!$T:$T,需求评估!$A:$A)</f>
        <v>0</v>
      </c>
      <c r="D216" s="108" t="s">
        <v>78</v>
      </c>
      <c r="E216" s="107">
        <f>_xlfn.XLOOKUP(D216,需求评估!$T:$T,需求评估!$L:$L)</f>
        <v>20</v>
      </c>
      <c r="F216" s="109" t="e">
        <f>VLOOKUP(Pivot!C216,$R$41:$T$74,2,0)</f>
        <v>#N/A</v>
      </c>
      <c r="G216" s="107" t="str">
        <f>VLOOKUP(C216,需求评估!$A:$B,2,0)</f>
        <v>Billing</v>
      </c>
      <c r="H216" s="107" t="str">
        <f>_xlfn.XLOOKUP(D216,需求评估!$T:$T,需求评估!$U:$U)</f>
        <v>2627 Q1</v>
      </c>
      <c r="I216" s="111" t="str">
        <f t="shared" si="4"/>
        <v>Not Started</v>
      </c>
      <c r="J216" s="95" t="s">
        <v>549</v>
      </c>
      <c r="K216" s="258" t="str">
        <f>IF(SUMIFS(需求评估!$Q:$Q,需求评估!$T:$T,D216)-SUMIFS(需求评估!$AB:$AB,需求评估!$T:$T,D216)=0,"Paid",IF(SUMIFS(需求评估!$Q:$Q,需求评估!$T:$T,D216)-SUMIFS(需求评估!$AB:$AB,需求评估!$T:$T,D216)&gt;0,"Not Paid"))</f>
        <v>Not Paid</v>
      </c>
      <c r="M216" s="283" t="s">
        <v>463</v>
      </c>
      <c r="N216" s="284">
        <f>N204-N194</f>
        <v>44391.179999999993</v>
      </c>
      <c r="O216" s="284">
        <f>O204-O194</f>
        <v>0</v>
      </c>
      <c r="P216" s="292">
        <f>SUM(N216:O216)</f>
        <v>44391.179999999993</v>
      </c>
    </row>
    <row r="217" spans="2:16" ht="14.25" customHeight="1" x14ac:dyDescent="0.4">
      <c r="B217" s="236" t="s">
        <v>466</v>
      </c>
      <c r="C217" s="107">
        <f>_xlfn.XLOOKUP(D217,需求评估!$T:$T,需求评估!$A:$A)</f>
        <v>0</v>
      </c>
      <c r="D217" s="108" t="s">
        <v>84</v>
      </c>
      <c r="E217" s="107">
        <f>_xlfn.XLOOKUP(D217,需求评估!$T:$T,需求评估!$L:$L)</f>
        <v>30</v>
      </c>
      <c r="F217" s="109" t="e">
        <f>VLOOKUP(Pivot!C217,$R$41:$T$74,2,0)</f>
        <v>#N/A</v>
      </c>
      <c r="G217" s="107" t="str">
        <f>VLOOKUP(C217,需求评估!$A:$B,2,0)</f>
        <v>Billing</v>
      </c>
      <c r="H217" s="107" t="str">
        <f>_xlfn.XLOOKUP(D217,需求评估!$T:$T,需求评估!$U:$U)</f>
        <v>2627 Q1</v>
      </c>
      <c r="I217" s="111" t="str">
        <f t="shared" si="4"/>
        <v>Not Started</v>
      </c>
      <c r="J217" s="103" cm="1">
        <f t="array" ref="J217">SUM(SUMIFS(需求评估!$R1:$R207,需求评估!$T$1:$T$207,D214:D218))+SUM(SUMIFS(需求评估!$S1:$S207,需求评估!$T$1:$T$207,D214:D218))</f>
        <v>10480</v>
      </c>
      <c r="K217" s="258" t="str">
        <f>IF(SUMIFS(需求评估!$Q:$Q,需求评估!$T:$T,D217)-SUMIFS(需求评估!$AB:$AB,需求评估!$T:$T,D217)=0,"Paid",IF(SUMIFS(需求评估!$Q:$Q,需求评估!$T:$T,D217)-SUMIFS(需求评估!$AB:$AB,需求评估!$T:$T,D217)&gt;0,"Not Paid"))</f>
        <v>Not Paid</v>
      </c>
      <c r="M217" s="285" t="s">
        <v>464</v>
      </c>
      <c r="N217" s="284">
        <f t="shared" ref="N217:O217" si="6">N205-N195</f>
        <v>138078</v>
      </c>
      <c r="O217" s="284">
        <f t="shared" si="6"/>
        <v>730</v>
      </c>
      <c r="P217" s="292">
        <f>SUM(N217:O217)</f>
        <v>138808</v>
      </c>
    </row>
    <row r="218" spans="2:16" ht="15" customHeight="1" thickBot="1" x14ac:dyDescent="0.45">
      <c r="B218" s="237" t="s">
        <v>466</v>
      </c>
      <c r="C218" s="112">
        <f>_xlfn.XLOOKUP(D218,需求评估!$T:$T,需求评估!$A:$A)</f>
        <v>26</v>
      </c>
      <c r="D218" s="113" t="s">
        <v>277</v>
      </c>
      <c r="E218" s="112">
        <f>_xlfn.XLOOKUP(D218,需求评估!$T:$T,需求评估!$L:$L)</f>
        <v>30</v>
      </c>
      <c r="F218" s="114" t="str">
        <f>VLOOKUP(Pivot!C218,$R$41:$T$74,2,0)</f>
        <v>Platform Data Integration</v>
      </c>
      <c r="G218" s="112" t="str">
        <f>VLOOKUP(C218,需求评估!$A:$B,2,0)</f>
        <v>Warehouse</v>
      </c>
      <c r="H218" s="112" t="str">
        <f>_xlfn.XLOOKUP(D218,需求评估!$T:$T,需求评估!$U:$U)</f>
        <v>2627 Q2</v>
      </c>
      <c r="I218" s="115" t="str">
        <f t="shared" si="4"/>
        <v>Not Started</v>
      </c>
      <c r="J218" s="96" t="s">
        <v>552</v>
      </c>
      <c r="K218" s="259" t="str">
        <f>IF(SUMIFS(需求评估!$Q:$Q,需求评估!$T:$T,D218)-SUMIFS(需求评估!$AB:$AB,需求评估!$T:$T,D218)=0,"Paid",IF(SUMIFS(需求评估!$Q:$Q,需求评估!$T:$T,D218)-SUMIFS(需求评估!$AB:$AB,需求评估!$T:$T,D218)&gt;0,"Not Paid"))</f>
        <v>Not Paid</v>
      </c>
      <c r="M218" s="285" t="s">
        <v>466</v>
      </c>
      <c r="N218" s="284">
        <f t="shared" ref="N218:O218" si="7">N206-N196</f>
        <v>27210</v>
      </c>
      <c r="O218" s="284">
        <f t="shared" si="7"/>
        <v>9880</v>
      </c>
      <c r="P218" s="292">
        <f>SUM(N218:O218)</f>
        <v>37090</v>
      </c>
    </row>
    <row r="219" spans="2:16" x14ac:dyDescent="0.4">
      <c r="B219" s="227" t="s">
        <v>311</v>
      </c>
      <c r="C219" s="74">
        <f>_xlfn.XLOOKUP(D219,需求评估!$T:$T,需求评估!$A:$A)</f>
        <v>18</v>
      </c>
      <c r="D219" s="74" t="s">
        <v>263</v>
      </c>
      <c r="E219" s="74">
        <f>_xlfn.XLOOKUP(D219,需求评估!$T:$T,需求评估!$L:$L)</f>
        <v>0</v>
      </c>
      <c r="F219" s="84" t="str">
        <f>VLOOKUP(Pivot!C219,$R$41:$T$74,2,0)</f>
        <v>OCR-LLM</v>
      </c>
      <c r="G219" s="79" t="str">
        <f>VLOOKUP(C219,需求评估!$A:$B,2,0)</f>
        <v>Compliance</v>
      </c>
      <c r="H219" s="79" t="str">
        <f>_xlfn.XLOOKUP(D219,需求评估!$T:$T,需求评估!$U:$U)</f>
        <v>TBD</v>
      </c>
      <c r="I219" s="140" t="str">
        <f t="shared" si="4"/>
        <v>TBD</v>
      </c>
      <c r="J219" s="99" t="s">
        <v>91</v>
      </c>
      <c r="K219" s="143" t="s">
        <v>91</v>
      </c>
      <c r="M219" s="286" t="s">
        <v>459</v>
      </c>
      <c r="N219" s="287">
        <f>SUM(N216:N218)</f>
        <v>209679.18</v>
      </c>
      <c r="O219" s="288">
        <f>SUM(O216:O218)</f>
        <v>10610</v>
      </c>
      <c r="P219" s="291">
        <f>SUM(P216:P218)</f>
        <v>220289.18</v>
      </c>
    </row>
    <row r="220" spans="2:16" x14ac:dyDescent="0.4">
      <c r="B220" s="228" t="s">
        <v>91</v>
      </c>
      <c r="C220" s="76">
        <f>_xlfn.XLOOKUP(D220,需求评估!$T:$T,需求评估!$A:$A)</f>
        <v>0</v>
      </c>
      <c r="D220" s="76" t="s">
        <v>482</v>
      </c>
      <c r="E220" s="76">
        <f>_xlfn.XLOOKUP(D220,需求评估!$T:$T,需求评估!$L:$L)</f>
        <v>0</v>
      </c>
      <c r="F220" s="85" t="e">
        <f>VLOOKUP(Pivot!C220,$R$41:$T$74,2,0)</f>
        <v>#N/A</v>
      </c>
      <c r="G220" s="80" t="str">
        <f>VLOOKUP(C220,需求评估!$A:$B,2,0)</f>
        <v>Billing</v>
      </c>
      <c r="H220" s="80" t="str">
        <f>_xlfn.XLOOKUP(D220,需求评估!$T:$T,需求评估!$U:$U)</f>
        <v>TBD</v>
      </c>
      <c r="I220" s="141" t="str">
        <f t="shared" si="4"/>
        <v>TBD</v>
      </c>
      <c r="J220" s="107" t="s">
        <v>91</v>
      </c>
      <c r="K220" s="144" t="s">
        <v>91</v>
      </c>
      <c r="M220" s="289" t="s">
        <v>558</v>
      </c>
      <c r="N220" s="412"/>
      <c r="O220" s="414">
        <f>O208-O198</f>
        <v>26718</v>
      </c>
      <c r="P220" s="416">
        <f>SUM(N220:O221)</f>
        <v>26718</v>
      </c>
    </row>
    <row r="221" spans="2:16" ht="14.25" thickBot="1" x14ac:dyDescent="0.45">
      <c r="B221" s="229" t="s">
        <v>91</v>
      </c>
      <c r="C221" s="77">
        <f>_xlfn.XLOOKUP(D221,需求评估!$T:$T,需求评估!$A:$A)</f>
        <v>0</v>
      </c>
      <c r="D221" s="77" t="s">
        <v>152</v>
      </c>
      <c r="E221" s="77">
        <f>_xlfn.XLOOKUP(D221,需求评估!$T:$T,需求评估!$L:$L)</f>
        <v>0</v>
      </c>
      <c r="F221" s="86" t="e">
        <f>VLOOKUP(Pivot!C221,$R$41:$T$74,2,0)</f>
        <v>#N/A</v>
      </c>
      <c r="G221" s="82" t="str">
        <f>VLOOKUP(C221,需求评估!$A:$B,2,0)</f>
        <v>Billing</v>
      </c>
      <c r="H221" s="82" t="str">
        <f>_xlfn.XLOOKUP(D221,需求评估!$T:$T,需求评估!$U:$U)</f>
        <v>TBD</v>
      </c>
      <c r="I221" s="142" t="str">
        <f t="shared" si="4"/>
        <v>TBD</v>
      </c>
      <c r="J221" s="112" t="s">
        <v>91</v>
      </c>
      <c r="K221" s="145" t="s">
        <v>91</v>
      </c>
      <c r="M221" s="290" t="s">
        <v>559</v>
      </c>
      <c r="N221" s="413"/>
      <c r="O221" s="415"/>
      <c r="P221" s="417"/>
    </row>
  </sheetData>
  <autoFilter ref="B138:K138" xr:uid="{3D97D80C-7F7E-4AE0-9717-ED11C16BC767}"/>
  <sortState xmlns:xlrd2="http://schemas.microsoft.com/office/spreadsheetml/2017/richdata2" ref="B139:K176">
    <sortCondition ref="B139:B176"/>
    <sortCondition ref="C139:C176"/>
    <sortCondition ref="K139:K176" customList="Completed,In Progress,Not Started,TBD"/>
    <sortCondition ref="H139:H176"/>
  </sortState>
  <mergeCells count="62">
    <mergeCell ref="M214:M215"/>
    <mergeCell ref="O214:O215"/>
    <mergeCell ref="P214:P215"/>
    <mergeCell ref="N220:N221"/>
    <mergeCell ref="O220:O221"/>
    <mergeCell ref="P220:P221"/>
    <mergeCell ref="G52:H52"/>
    <mergeCell ref="B81:B84"/>
    <mergeCell ref="F81:F84"/>
    <mergeCell ref="G81:G84"/>
    <mergeCell ref="H81:H84"/>
    <mergeCell ref="B52:B53"/>
    <mergeCell ref="C52:C53"/>
    <mergeCell ref="D52:D53"/>
    <mergeCell ref="E52:E53"/>
    <mergeCell ref="H65:H79"/>
    <mergeCell ref="G65:G79"/>
    <mergeCell ref="F65:F79"/>
    <mergeCell ref="B65:B79"/>
    <mergeCell ref="B54:B63"/>
    <mergeCell ref="F54:F63"/>
    <mergeCell ref="B99:B108"/>
    <mergeCell ref="F99:F108"/>
    <mergeCell ref="B86:B89"/>
    <mergeCell ref="N208:N209"/>
    <mergeCell ref="F86:H89"/>
    <mergeCell ref="B96:B98"/>
    <mergeCell ref="C96:C98"/>
    <mergeCell ref="D96:D98"/>
    <mergeCell ref="E96:E98"/>
    <mergeCell ref="F97:F98"/>
    <mergeCell ref="B110:B124"/>
    <mergeCell ref="F110:F124"/>
    <mergeCell ref="M192:M193"/>
    <mergeCell ref="N198:N199"/>
    <mergeCell ref="B126:B129"/>
    <mergeCell ref="F126:F129"/>
    <mergeCell ref="N62:N63"/>
    <mergeCell ref="O62:O63"/>
    <mergeCell ref="P62:P63"/>
    <mergeCell ref="H54:H63"/>
    <mergeCell ref="G54:G63"/>
    <mergeCell ref="H110:H124"/>
    <mergeCell ref="G110:G124"/>
    <mergeCell ref="O192:O193"/>
    <mergeCell ref="P192:P193"/>
    <mergeCell ref="O198:O199"/>
    <mergeCell ref="P198:P199"/>
    <mergeCell ref="G126:G129"/>
    <mergeCell ref="H126:H129"/>
    <mergeCell ref="G96:H96"/>
    <mergeCell ref="G97:G98"/>
    <mergeCell ref="H97:H98"/>
    <mergeCell ref="G99:G108"/>
    <mergeCell ref="H99:H108"/>
    <mergeCell ref="B131:B133"/>
    <mergeCell ref="F131:H133"/>
    <mergeCell ref="P208:P209"/>
    <mergeCell ref="M202:M203"/>
    <mergeCell ref="O202:O203"/>
    <mergeCell ref="P202:P203"/>
    <mergeCell ref="O208:O209"/>
  </mergeCells>
  <phoneticPr fontId="1" type="noConversion"/>
  <conditionalFormatting sqref="K183:K221">
    <cfRule type="beginsWith" dxfId="44" priority="1" operator="beginsWith" text="Paid">
      <formula>LEFT(K183,LEN("Paid"))="Paid"</formula>
    </cfRule>
    <cfRule type="beginsWith" dxfId="43" priority="2" operator="beginsWith" text="Not">
      <formula>LEFT(K183,LEN("Not"))="Not"</formula>
    </cfRule>
  </conditionalFormatting>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09B88-E35E-4135-98E2-8549C376AA61}">
  <dimension ref="A1:R56"/>
  <sheetViews>
    <sheetView workbookViewId="0">
      <selection activeCell="Q48" sqref="Q48:Q55"/>
    </sheetView>
  </sheetViews>
  <sheetFormatPr defaultRowHeight="13.9" x14ac:dyDescent="0.4"/>
  <cols>
    <col min="15" max="15" width="26.265625" customWidth="1"/>
  </cols>
  <sheetData>
    <row r="1" spans="1:1" x14ac:dyDescent="0.4">
      <c r="A1" s="5">
        <v>1</v>
      </c>
    </row>
    <row r="2" spans="1:1" x14ac:dyDescent="0.4">
      <c r="A2" s="5">
        <v>2</v>
      </c>
    </row>
    <row r="3" spans="1:1" x14ac:dyDescent="0.4">
      <c r="A3" s="5">
        <v>3</v>
      </c>
    </row>
    <row r="4" spans="1:1" x14ac:dyDescent="0.4">
      <c r="A4" s="5">
        <v>4</v>
      </c>
    </row>
    <row r="5" spans="1:1" x14ac:dyDescent="0.4">
      <c r="A5" s="5">
        <v>5</v>
      </c>
    </row>
    <row r="6" spans="1:1" x14ac:dyDescent="0.4">
      <c r="A6" s="5">
        <v>6</v>
      </c>
    </row>
    <row r="7" spans="1:1" x14ac:dyDescent="0.4">
      <c r="A7" s="5">
        <v>7</v>
      </c>
    </row>
    <row r="8" spans="1:1" x14ac:dyDescent="0.4">
      <c r="A8" s="5">
        <v>8</v>
      </c>
    </row>
    <row r="9" spans="1:1" x14ac:dyDescent="0.4">
      <c r="A9" s="195">
        <v>9</v>
      </c>
    </row>
    <row r="10" spans="1:1" x14ac:dyDescent="0.4">
      <c r="A10" s="5">
        <v>11</v>
      </c>
    </row>
    <row r="11" spans="1:1" x14ac:dyDescent="0.4">
      <c r="A11" s="5">
        <v>12</v>
      </c>
    </row>
    <row r="12" spans="1:1" x14ac:dyDescent="0.4">
      <c r="A12" s="210">
        <v>13</v>
      </c>
    </row>
    <row r="13" spans="1:1" x14ac:dyDescent="0.4">
      <c r="A13" s="5">
        <v>14</v>
      </c>
    </row>
    <row r="14" spans="1:1" x14ac:dyDescent="0.4">
      <c r="A14" s="5">
        <v>15</v>
      </c>
    </row>
    <row r="15" spans="1:1" x14ac:dyDescent="0.4">
      <c r="A15" s="5">
        <v>16</v>
      </c>
    </row>
    <row r="16" spans="1:1" x14ac:dyDescent="0.4">
      <c r="A16" s="5">
        <v>19</v>
      </c>
    </row>
    <row r="17" spans="1:18" ht="14.25" thickBot="1" x14ac:dyDescent="0.45">
      <c r="A17" s="5">
        <v>20</v>
      </c>
    </row>
    <row r="18" spans="1:18" ht="14.25" thickBot="1" x14ac:dyDescent="0.45">
      <c r="A18" s="5">
        <v>21</v>
      </c>
      <c r="M18" s="332" t="s">
        <v>339</v>
      </c>
      <c r="N18" s="435" t="s">
        <v>2</v>
      </c>
      <c r="O18" s="436"/>
      <c r="P18" s="333" t="s">
        <v>11</v>
      </c>
      <c r="Q18" s="333" t="s">
        <v>562</v>
      </c>
      <c r="R18" s="334" t="s">
        <v>563</v>
      </c>
    </row>
    <row r="19" spans="1:18" ht="14.25" thickBot="1" x14ac:dyDescent="0.45">
      <c r="A19" s="5">
        <v>24</v>
      </c>
      <c r="M19" s="335">
        <v>1</v>
      </c>
      <c r="N19" s="336" t="s">
        <v>564</v>
      </c>
      <c r="O19" s="336" t="s">
        <v>230</v>
      </c>
      <c r="P19" s="311">
        <v>30</v>
      </c>
      <c r="Q19" s="311">
        <v>9900</v>
      </c>
      <c r="R19" s="337" t="s">
        <v>565</v>
      </c>
    </row>
    <row r="20" spans="1:18" x14ac:dyDescent="0.4">
      <c r="A20" s="5">
        <v>26</v>
      </c>
    </row>
    <row r="21" spans="1:18" x14ac:dyDescent="0.4">
      <c r="A21" s="5">
        <v>30</v>
      </c>
    </row>
    <row r="23" spans="1:18" ht="14.25" thickBot="1" x14ac:dyDescent="0.45">
      <c r="G23" s="310">
        <v>15</v>
      </c>
      <c r="H23" s="311">
        <v>4950</v>
      </c>
      <c r="I23" s="309"/>
    </row>
    <row r="24" spans="1:18" ht="14.25" thickBot="1" x14ac:dyDescent="0.45">
      <c r="G24" s="310">
        <v>5</v>
      </c>
      <c r="H24" s="311">
        <v>1650</v>
      </c>
      <c r="I24" s="309"/>
    </row>
    <row r="25" spans="1:18" ht="14.25" thickBot="1" x14ac:dyDescent="0.45">
      <c r="G25" s="310">
        <v>8</v>
      </c>
      <c r="H25" s="311">
        <v>2640</v>
      </c>
      <c r="I25" s="309"/>
    </row>
    <row r="26" spans="1:18" x14ac:dyDescent="0.4">
      <c r="G26" s="424">
        <v>10</v>
      </c>
      <c r="H26" s="426">
        <v>3300</v>
      </c>
      <c r="I26" s="309"/>
    </row>
    <row r="27" spans="1:18" ht="14.25" thickBot="1" x14ac:dyDescent="0.45">
      <c r="G27" s="425"/>
      <c r="H27" s="427"/>
      <c r="I27" s="309"/>
    </row>
    <row r="28" spans="1:18" ht="14.25" thickBot="1" x14ac:dyDescent="0.45">
      <c r="G28" s="310">
        <v>10</v>
      </c>
      <c r="H28" s="311">
        <v>3300</v>
      </c>
      <c r="I28" s="309"/>
    </row>
    <row r="29" spans="1:18" ht="14.25" thickBot="1" x14ac:dyDescent="0.45">
      <c r="G29" s="310">
        <v>5</v>
      </c>
      <c r="H29" s="311">
        <v>1650</v>
      </c>
      <c r="I29" s="309"/>
    </row>
    <row r="34" spans="13:18" ht="14.25" thickBot="1" x14ac:dyDescent="0.45"/>
    <row r="35" spans="13:18" ht="14.25" thickBot="1" x14ac:dyDescent="0.45">
      <c r="M35" s="332" t="s">
        <v>339</v>
      </c>
      <c r="N35" s="435" t="s">
        <v>2</v>
      </c>
      <c r="O35" s="436"/>
      <c r="P35" s="333" t="s">
        <v>11</v>
      </c>
      <c r="Q35" s="333" t="s">
        <v>562</v>
      </c>
      <c r="R35" s="334" t="s">
        <v>563</v>
      </c>
    </row>
    <row r="36" spans="13:18" ht="14.25" thickBot="1" x14ac:dyDescent="0.45">
      <c r="M36" s="335">
        <v>1</v>
      </c>
      <c r="N36" s="336" t="s">
        <v>564</v>
      </c>
      <c r="O36" s="336" t="s">
        <v>230</v>
      </c>
      <c r="P36" s="311">
        <v>30</v>
      </c>
      <c r="Q36" s="311">
        <v>9900</v>
      </c>
      <c r="R36" s="334" t="s">
        <v>565</v>
      </c>
    </row>
    <row r="37" spans="13:18" ht="14.25" thickBot="1" x14ac:dyDescent="0.45">
      <c r="M37" s="426">
        <v>2</v>
      </c>
      <c r="N37" s="432" t="s">
        <v>566</v>
      </c>
      <c r="O37" s="336" t="s">
        <v>567</v>
      </c>
      <c r="P37" s="311">
        <v>65</v>
      </c>
      <c r="Q37" s="311">
        <v>21450</v>
      </c>
      <c r="R37" s="313">
        <v>43890</v>
      </c>
    </row>
    <row r="38" spans="13:18" ht="14.25" thickBot="1" x14ac:dyDescent="0.45">
      <c r="M38" s="430"/>
      <c r="N38" s="433"/>
      <c r="O38" s="336" t="s">
        <v>568</v>
      </c>
      <c r="P38" s="311">
        <v>30</v>
      </c>
      <c r="Q38" s="311">
        <v>9900</v>
      </c>
      <c r="R38" s="314"/>
    </row>
    <row r="39" spans="13:18" ht="14.25" thickBot="1" x14ac:dyDescent="0.45">
      <c r="M39" s="430"/>
      <c r="N39" s="433"/>
      <c r="O39" s="336" t="s">
        <v>569</v>
      </c>
      <c r="P39" s="311">
        <v>60</v>
      </c>
      <c r="Q39" s="311">
        <v>19800</v>
      </c>
      <c r="R39" s="314"/>
    </row>
    <row r="40" spans="13:18" ht="14.25" thickBot="1" x14ac:dyDescent="0.45">
      <c r="M40" s="431"/>
      <c r="N40" s="437"/>
      <c r="O40" s="336" t="s">
        <v>570</v>
      </c>
      <c r="P40" s="311">
        <v>15</v>
      </c>
      <c r="Q40" s="311">
        <v>4950</v>
      </c>
      <c r="R40" s="314"/>
    </row>
    <row r="41" spans="13:18" ht="28.15" thickBot="1" x14ac:dyDescent="0.45">
      <c r="M41" s="426">
        <v>3</v>
      </c>
      <c r="N41" s="432" t="s">
        <v>571</v>
      </c>
      <c r="O41" s="338" t="s">
        <v>572</v>
      </c>
      <c r="P41" s="310">
        <v>15</v>
      </c>
      <c r="Q41" s="311">
        <v>4950</v>
      </c>
      <c r="R41" s="314"/>
    </row>
    <row r="42" spans="13:18" ht="14.25" thickBot="1" x14ac:dyDescent="0.45">
      <c r="M42" s="430"/>
      <c r="N42" s="433"/>
      <c r="O42" s="338" t="s">
        <v>573</v>
      </c>
      <c r="P42" s="310">
        <v>5</v>
      </c>
      <c r="Q42" s="311">
        <v>1650</v>
      </c>
      <c r="R42" s="314"/>
    </row>
    <row r="43" spans="13:18" ht="14.25" thickBot="1" x14ac:dyDescent="0.45">
      <c r="M43" s="430"/>
      <c r="N43" s="433"/>
      <c r="O43" s="338" t="s">
        <v>574</v>
      </c>
      <c r="P43" s="310">
        <v>8</v>
      </c>
      <c r="Q43" s="311">
        <v>2640</v>
      </c>
      <c r="R43" s="314"/>
    </row>
    <row r="44" spans="13:18" ht="14.25" thickBot="1" x14ac:dyDescent="0.45">
      <c r="M44" s="430"/>
      <c r="N44" s="433"/>
      <c r="O44" s="338" t="s">
        <v>575</v>
      </c>
      <c r="P44" s="438">
        <v>10</v>
      </c>
      <c r="Q44" s="426">
        <v>3300</v>
      </c>
      <c r="R44" s="314"/>
    </row>
    <row r="45" spans="13:18" ht="28.15" thickBot="1" x14ac:dyDescent="0.45">
      <c r="M45" s="430"/>
      <c r="N45" s="433"/>
      <c r="O45" s="338" t="s">
        <v>576</v>
      </c>
      <c r="P45" s="439"/>
      <c r="Q45" s="427"/>
      <c r="R45" s="314"/>
    </row>
    <row r="46" spans="13:18" ht="14.25" thickBot="1" x14ac:dyDescent="0.45">
      <c r="M46" s="430"/>
      <c r="N46" s="433"/>
      <c r="O46" s="338" t="s">
        <v>577</v>
      </c>
      <c r="P46" s="310">
        <v>10</v>
      </c>
      <c r="Q46" s="311">
        <v>3300</v>
      </c>
      <c r="R46" s="314"/>
    </row>
    <row r="47" spans="13:18" ht="42" thickBot="1" x14ac:dyDescent="0.45">
      <c r="M47" s="431"/>
      <c r="N47" s="434"/>
      <c r="O47" s="338" t="s">
        <v>578</v>
      </c>
      <c r="P47" s="310">
        <v>5</v>
      </c>
      <c r="Q47" s="311">
        <v>1650</v>
      </c>
      <c r="R47" s="314"/>
    </row>
    <row r="48" spans="13:18" ht="14.25" thickBot="1" x14ac:dyDescent="0.45">
      <c r="M48" s="418">
        <v>4</v>
      </c>
      <c r="N48" s="421" t="s">
        <v>579</v>
      </c>
      <c r="O48" s="339" t="s">
        <v>580</v>
      </c>
      <c r="P48" s="316">
        <v>10</v>
      </c>
      <c r="Q48" s="317">
        <v>-3300</v>
      </c>
      <c r="R48" s="314"/>
    </row>
    <row r="49" spans="13:18" ht="14.25" thickBot="1" x14ac:dyDescent="0.45">
      <c r="M49" s="419"/>
      <c r="N49" s="422"/>
      <c r="O49" s="339" t="s">
        <v>581</v>
      </c>
      <c r="P49" s="316">
        <v>15</v>
      </c>
      <c r="Q49" s="317">
        <v>-4950</v>
      </c>
      <c r="R49" s="314"/>
    </row>
    <row r="50" spans="13:18" ht="14.25" thickBot="1" x14ac:dyDescent="0.45">
      <c r="M50" s="420"/>
      <c r="N50" s="423"/>
      <c r="O50" s="339" t="s">
        <v>582</v>
      </c>
      <c r="P50" s="316">
        <v>10</v>
      </c>
      <c r="Q50" s="317">
        <v>-3300</v>
      </c>
      <c r="R50" s="314"/>
    </row>
    <row r="51" spans="13:18" ht="14.25" thickBot="1" x14ac:dyDescent="0.45">
      <c r="M51" s="428">
        <v>5</v>
      </c>
      <c r="N51" s="429" t="s">
        <v>583</v>
      </c>
      <c r="O51" s="339" t="s">
        <v>584</v>
      </c>
      <c r="P51" s="318">
        <v>30</v>
      </c>
      <c r="Q51" s="317">
        <v>-9900</v>
      </c>
      <c r="R51" s="314"/>
    </row>
    <row r="52" spans="13:18" ht="14.25" thickBot="1" x14ac:dyDescent="0.45">
      <c r="M52" s="419"/>
      <c r="N52" s="422"/>
      <c r="O52" s="339" t="s">
        <v>585</v>
      </c>
      <c r="P52" s="318">
        <v>8</v>
      </c>
      <c r="Q52" s="317">
        <v>-2640</v>
      </c>
      <c r="R52" s="314"/>
    </row>
    <row r="53" spans="13:18" ht="14.25" thickBot="1" x14ac:dyDescent="0.45">
      <c r="M53" s="419"/>
      <c r="N53" s="422"/>
      <c r="O53" s="339" t="s">
        <v>586</v>
      </c>
      <c r="P53" s="318">
        <v>18</v>
      </c>
      <c r="Q53" s="317">
        <v>-5940</v>
      </c>
      <c r="R53" s="314"/>
    </row>
    <row r="54" spans="13:18" ht="42" thickBot="1" x14ac:dyDescent="0.45">
      <c r="M54" s="419"/>
      <c r="N54" s="422"/>
      <c r="O54" s="340" t="s">
        <v>587</v>
      </c>
      <c r="P54" s="318">
        <v>9</v>
      </c>
      <c r="Q54" s="317">
        <v>-2970</v>
      </c>
      <c r="R54" s="314"/>
    </row>
    <row r="55" spans="13:18" ht="14.25" thickBot="1" x14ac:dyDescent="0.45">
      <c r="M55" s="420"/>
      <c r="N55" s="423"/>
      <c r="O55" s="339" t="s">
        <v>588</v>
      </c>
      <c r="P55" s="318">
        <v>20</v>
      </c>
      <c r="Q55" s="317">
        <v>-6600</v>
      </c>
      <c r="R55" s="315"/>
    </row>
    <row r="56" spans="13:18" x14ac:dyDescent="0.4">
      <c r="M56" s="319"/>
    </row>
  </sheetData>
  <mergeCells count="14">
    <mergeCell ref="N18:O18"/>
    <mergeCell ref="N35:O35"/>
    <mergeCell ref="M37:M40"/>
    <mergeCell ref="N37:N40"/>
    <mergeCell ref="Q44:Q45"/>
    <mergeCell ref="P44:P45"/>
    <mergeCell ref="M48:M50"/>
    <mergeCell ref="N48:N50"/>
    <mergeCell ref="G26:G27"/>
    <mergeCell ref="H26:H27"/>
    <mergeCell ref="M51:M55"/>
    <mergeCell ref="N51:N55"/>
    <mergeCell ref="M41:M47"/>
    <mergeCell ref="N41:N47"/>
  </mergeCells>
  <phoneticPr fontId="1" type="noConversion"/>
  <conditionalFormatting sqref="A1">
    <cfRule type="containsText" dxfId="42" priority="19" operator="containsText" text="BI">
      <formula>NOT(ISERROR(SEARCH("BI",A1)))</formula>
    </cfRule>
    <cfRule type="containsText" dxfId="41" priority="20" operator="containsText" text="Warehouse">
      <formula>NOT(ISERROR(SEARCH("Warehouse",A1)))</formula>
    </cfRule>
  </conditionalFormatting>
  <conditionalFormatting sqref="A1:A16">
    <cfRule type="containsText" dxfId="40" priority="16" operator="containsText" text="Compliance">
      <formula>NOT(ISERROR(SEARCH("Compliance",A1)))</formula>
    </cfRule>
    <cfRule type="containsText" dxfId="39" priority="17" operator="containsText" text="Billing">
      <formula>NOT(ISERROR(SEARCH("Billing",A1)))</formula>
    </cfRule>
    <cfRule type="containsText" dxfId="38" priority="18" operator="containsText" text="Transport">
      <formula>NOT(ISERROR(SEARCH("Transport",A1)))</formula>
    </cfRule>
  </conditionalFormatting>
  <conditionalFormatting sqref="A1:A18">
    <cfRule type="cellIs" dxfId="37" priority="15" operator="equal">
      <formula>"Cost"</formula>
    </cfRule>
  </conditionalFormatting>
  <conditionalFormatting sqref="A1:A21">
    <cfRule type="expression" dxfId="36" priority="7">
      <formula>AND($A1=0,NOT($A1=""))</formula>
    </cfRule>
  </conditionalFormatting>
  <conditionalFormatting sqref="A2:A12">
    <cfRule type="containsText" dxfId="35" priority="26" operator="containsText" text="Warehouse">
      <formula>NOT(ISERROR(SEARCH("Warehouse",A2)))</formula>
    </cfRule>
  </conditionalFormatting>
  <conditionalFormatting sqref="A2:A18">
    <cfRule type="containsText" dxfId="34" priority="25" operator="containsText" text="Data">
      <formula>NOT(ISERROR(SEARCH("Data",A2)))</formula>
    </cfRule>
  </conditionalFormatting>
  <conditionalFormatting sqref="A13:A21">
    <cfRule type="containsText" dxfId="33" priority="13" operator="containsText" text="Warehouse">
      <formula>NOT(ISERROR(SEARCH("Warehouse",A13)))</formula>
    </cfRule>
  </conditionalFormatting>
  <conditionalFormatting sqref="A17:A19">
    <cfRule type="containsText" dxfId="32" priority="9" operator="containsText" text="Compliance">
      <formula>NOT(ISERROR(SEARCH("Compliance",A17)))</formula>
    </cfRule>
    <cfRule type="containsText" dxfId="31" priority="10" operator="containsText" text="Billing">
      <formula>NOT(ISERROR(SEARCH("Billing",A17)))</formula>
    </cfRule>
    <cfRule type="containsText" dxfId="30" priority="11" operator="containsText" text="Transport">
      <formula>NOT(ISERROR(SEARCH("Transport",A17)))</formula>
    </cfRule>
  </conditionalFormatting>
  <conditionalFormatting sqref="A19">
    <cfRule type="cellIs" dxfId="29" priority="8" operator="equal">
      <formula>"Cost"</formula>
    </cfRule>
    <cfRule type="containsText" dxfId="28" priority="12" operator="containsText" text="BI">
      <formula>NOT(ISERROR(SEARCH("BI",A19)))</formula>
    </cfRule>
  </conditionalFormatting>
  <conditionalFormatting sqref="A20:A21">
    <cfRule type="cellIs" dxfId="27" priority="27" operator="equal">
      <formula>"Cost"</formula>
    </cfRule>
    <cfRule type="containsText" dxfId="26" priority="28" operator="containsText" text="Compliance">
      <formula>NOT(ISERROR(SEARCH("Compliance",A20)))</formula>
    </cfRule>
    <cfRule type="containsText" dxfId="25" priority="29" operator="containsText" text="Billing">
      <formula>NOT(ISERROR(SEARCH("Billing",A20)))</formula>
    </cfRule>
    <cfRule type="containsText" dxfId="24" priority="30" operator="containsText" text="Transport">
      <formula>NOT(ISERROR(SEARCH("Transport",A20)))</formula>
    </cfRule>
    <cfRule type="containsText" dxfId="23" priority="31" operator="containsText" text="Data">
      <formula>NOT(ISERROR(SEARCH("Data",A20)))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A6AA2-3CA5-4CA7-9B3A-C9722B36B494}">
  <sheetPr>
    <tabColor theme="9"/>
  </sheetPr>
  <dimension ref="E1:P45"/>
  <sheetViews>
    <sheetView zoomScale="85" zoomScaleNormal="85" workbookViewId="0">
      <selection activeCell="E46" sqref="E46"/>
    </sheetView>
  </sheetViews>
  <sheetFormatPr defaultRowHeight="13.9" x14ac:dyDescent="0.4"/>
  <cols>
    <col min="2" max="2" width="17.73046875" customWidth="1"/>
    <col min="3" max="3" width="10.73046875" bestFit="1" customWidth="1"/>
    <col min="4" max="4" width="24" customWidth="1"/>
    <col min="5" max="5" width="43.73046875" bestFit="1" customWidth="1"/>
    <col min="6" max="6" width="37.73046875" customWidth="1"/>
    <col min="7" max="7" width="11.265625" bestFit="1" customWidth="1"/>
    <col min="8" max="8" width="20.265625" bestFit="1" customWidth="1"/>
    <col min="9" max="10" width="21.73046875" bestFit="1" customWidth="1"/>
    <col min="11" max="11" width="21.73046875" customWidth="1"/>
    <col min="12" max="12" width="17.1328125" bestFit="1" customWidth="1"/>
    <col min="13" max="13" width="12.265625" bestFit="1" customWidth="1"/>
    <col min="14" max="14" width="17.1328125" bestFit="1" customWidth="1"/>
    <col min="15" max="15" width="11.59765625" customWidth="1"/>
    <col min="16" max="16" width="22.265625" customWidth="1"/>
    <col min="17" max="17" width="15.3984375" customWidth="1"/>
    <col min="18" max="18" width="14" customWidth="1"/>
    <col min="19" max="19" width="11" customWidth="1"/>
    <col min="20" max="20" width="13.265625" customWidth="1"/>
  </cols>
  <sheetData>
    <row r="1" spans="5:8" ht="14.25" thickBot="1" x14ac:dyDescent="0.45"/>
    <row r="2" spans="5:8" x14ac:dyDescent="0.4">
      <c r="E2" s="440"/>
      <c r="F2" s="42" t="s">
        <v>555</v>
      </c>
      <c r="G2" s="353" t="s">
        <v>556</v>
      </c>
      <c r="H2" s="353" t="s">
        <v>459</v>
      </c>
    </row>
    <row r="3" spans="5:8" x14ac:dyDescent="0.4">
      <c r="E3" s="441"/>
      <c r="F3" s="43" t="s">
        <v>557</v>
      </c>
      <c r="G3" s="354"/>
      <c r="H3" s="354"/>
    </row>
    <row r="4" spans="5:8" ht="22.5" x14ac:dyDescent="0.4">
      <c r="E4" s="31" t="s">
        <v>463</v>
      </c>
      <c r="F4" s="32">
        <f>42588+500000</f>
        <v>542588</v>
      </c>
      <c r="G4" s="44"/>
      <c r="H4" s="45">
        <f>SUM(F4:G4)</f>
        <v>542588</v>
      </c>
    </row>
    <row r="5" spans="5:8" x14ac:dyDescent="0.4">
      <c r="E5" s="35" t="s">
        <v>464</v>
      </c>
      <c r="F5" s="36">
        <f>114408+200000</f>
        <v>314408</v>
      </c>
      <c r="G5" s="37">
        <v>112668</v>
      </c>
      <c r="H5" s="45">
        <f t="shared" ref="H5:H6" si="0">SUM(F5:G5)</f>
        <v>427076</v>
      </c>
    </row>
    <row r="6" spans="5:8" x14ac:dyDescent="0.4">
      <c r="E6" s="35" t="s">
        <v>466</v>
      </c>
      <c r="F6" s="36">
        <v>323940</v>
      </c>
      <c r="G6" s="37">
        <v>146256</v>
      </c>
      <c r="H6" s="45">
        <f t="shared" si="0"/>
        <v>470196</v>
      </c>
    </row>
    <row r="7" spans="5:8" x14ac:dyDescent="0.4">
      <c r="E7" s="46" t="s">
        <v>459</v>
      </c>
      <c r="F7" s="47">
        <f>SUM(F4:F6)</f>
        <v>1180936</v>
      </c>
      <c r="G7" s="48">
        <f>SUM(G5:G6)</f>
        <v>258924</v>
      </c>
      <c r="H7" s="45">
        <f>SUM(H4:H6)</f>
        <v>1439860</v>
      </c>
    </row>
    <row r="8" spans="5:8" x14ac:dyDescent="0.4">
      <c r="E8" s="49" t="s">
        <v>558</v>
      </c>
      <c r="F8" s="385"/>
      <c r="G8" s="355">
        <v>153296</v>
      </c>
      <c r="H8" s="349">
        <f>SUM(F8:G9)</f>
        <v>153296</v>
      </c>
    </row>
    <row r="9" spans="5:8" ht="14.25" thickBot="1" x14ac:dyDescent="0.45">
      <c r="E9" s="50" t="s">
        <v>559</v>
      </c>
      <c r="F9" s="386"/>
      <c r="G9" s="356"/>
      <c r="H9" s="350"/>
    </row>
    <row r="41" spans="11:16" ht="14.25" customHeight="1" x14ac:dyDescent="0.4"/>
    <row r="42" spans="11:16" x14ac:dyDescent="0.4">
      <c r="K42" s="159"/>
      <c r="L42" s="159"/>
      <c r="M42" s="159"/>
      <c r="N42" s="159"/>
      <c r="O42" s="159"/>
      <c r="P42" s="159"/>
    </row>
    <row r="43" spans="11:16" x14ac:dyDescent="0.4">
      <c r="K43" s="157"/>
      <c r="L43" s="157"/>
      <c r="M43" s="157"/>
      <c r="N43" s="149"/>
    </row>
    <row r="44" spans="11:16" x14ac:dyDescent="0.4">
      <c r="K44" s="157"/>
      <c r="L44" s="157"/>
      <c r="M44" s="158"/>
      <c r="N44" s="149"/>
    </row>
    <row r="45" spans="11:16" x14ac:dyDescent="0.4">
      <c r="K45" s="157"/>
      <c r="L45" s="157"/>
      <c r="M45" s="198"/>
      <c r="N45" s="149"/>
    </row>
  </sheetData>
  <mergeCells count="6">
    <mergeCell ref="E2:E3"/>
    <mergeCell ref="H8:H9"/>
    <mergeCell ref="G8:G9"/>
    <mergeCell ref="F8:F9"/>
    <mergeCell ref="H2:H3"/>
    <mergeCell ref="G2:G3"/>
  </mergeCells>
  <phoneticPr fontId="1" type="noConversion"/>
  <conditionalFormatting sqref="K45:M45 O45:P45">
    <cfRule type="expression" dxfId="22" priority="1">
      <formula>AND($A45=0,NOT($A45=""))</formula>
    </cfRule>
  </conditionalFormatting>
  <pageMargins left="0.7" right="0.7" top="0.75" bottom="0.75" header="0.3" footer="0.3"/>
  <pageSetup paperSize="9" orientation="portrait"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35A3F-0A45-40EE-B9D1-37694ECB7FCB}">
  <dimension ref="A1:F44"/>
  <sheetViews>
    <sheetView workbookViewId="0">
      <selection activeCell="E8" sqref="E8"/>
    </sheetView>
  </sheetViews>
  <sheetFormatPr defaultRowHeight="13.9" x14ac:dyDescent="0.4"/>
  <cols>
    <col min="2" max="2" width="46.3984375" bestFit="1" customWidth="1"/>
    <col min="3" max="3" width="21.265625" customWidth="1"/>
    <col min="4" max="4" width="19.73046875" customWidth="1"/>
    <col min="5" max="5" width="20.46484375" customWidth="1"/>
    <col min="6" max="6" width="27.3984375" customWidth="1"/>
  </cols>
  <sheetData>
    <row r="1" spans="1:6" x14ac:dyDescent="0.4">
      <c r="A1" s="206" t="s">
        <v>589</v>
      </c>
      <c r="B1" s="207" t="s">
        <v>590</v>
      </c>
      <c r="C1" s="206" t="s">
        <v>316</v>
      </c>
      <c r="D1" s="206" t="s">
        <v>591</v>
      </c>
      <c r="E1" s="299" t="s">
        <v>592</v>
      </c>
      <c r="F1" s="299" t="s">
        <v>593</v>
      </c>
    </row>
    <row r="2" spans="1:6" x14ac:dyDescent="0.4">
      <c r="A2">
        <f>_xlfn.XLOOKUP(Table2[[#This Row],[Task Name]],需求评估!T:T,需求评估!A:A)</f>
        <v>0</v>
      </c>
      <c r="B2" s="1" t="s">
        <v>381</v>
      </c>
      <c r="C2" s="205" t="str">
        <f>_xlfn.XLOOKUP(Table2[[#This Row],[Task Name]],Table1[Task Name],Table1[需求])</f>
        <v>自动计算未开账单</v>
      </c>
      <c r="D2" t="s">
        <v>594</v>
      </c>
    </row>
    <row r="3" spans="1:6" x14ac:dyDescent="0.4">
      <c r="A3">
        <f>_xlfn.XLOOKUP(Table2[[#This Row],[Task Name]],需求评估!T:T,需求评估!A:A)</f>
        <v>0</v>
      </c>
      <c r="B3" s="1" t="s">
        <v>370</v>
      </c>
      <c r="C3" s="205" t="str">
        <f>_xlfn.XLOOKUP(Table2[[#This Row],[Task Name]],Table1[Task Name],Table1[需求])</f>
        <v>不同格式的报价统一化</v>
      </c>
      <c r="D3" t="s">
        <v>595</v>
      </c>
    </row>
    <row r="4" spans="1:6" ht="27.75" x14ac:dyDescent="0.4">
      <c r="A4">
        <f>_xlfn.XLOOKUP(Table2[[#This Row],[Task Name]],需求评估!T:T,需求评估!A:A)</f>
        <v>0</v>
      </c>
      <c r="B4" s="1" t="s">
        <v>101</v>
      </c>
      <c r="C4" s="205" t="str">
        <f>_xlfn.XLOOKUP(Table2[[#This Row],[Task Name]],Table1[Task Name],Table1[需求])</f>
        <v>Rebalance 自动提取open订单</v>
      </c>
      <c r="D4" t="s">
        <v>596</v>
      </c>
    </row>
    <row r="5" spans="1:6" ht="27.75" x14ac:dyDescent="0.4">
      <c r="A5">
        <f>_xlfn.XLOOKUP(Table2[[#This Row],[Task Name]],需求评估!T:T,需求评估!A:A)</f>
        <v>0</v>
      </c>
      <c r="B5" s="1" t="s">
        <v>106</v>
      </c>
      <c r="C5" s="205" t="str">
        <f>_xlfn.XLOOKUP(Table2[[#This Row],[Task Name]],Table1[Task Name],Table1[需求])</f>
        <v>Rebalance ASN生成自动提醒</v>
      </c>
      <c r="D5" t="s">
        <v>596</v>
      </c>
    </row>
    <row r="6" spans="1:6" x14ac:dyDescent="0.4">
      <c r="A6">
        <f>_xlfn.XLOOKUP(Table2[[#This Row],[Task Name]],需求评估!T:T,需求评估!A:A)</f>
        <v>1</v>
      </c>
      <c r="B6" s="1" t="s">
        <v>164</v>
      </c>
      <c r="C6" s="205" t="str">
        <f>_xlfn.XLOOKUP(Table2[[#This Row],[Task Name]],Table1[Task Name],Table1[需求])</f>
        <v>3PL运输账单比对</v>
      </c>
      <c r="D6" t="s">
        <v>597</v>
      </c>
    </row>
    <row r="7" spans="1:6" ht="27.75" x14ac:dyDescent="0.4">
      <c r="A7">
        <f>_xlfn.XLOOKUP(Table2[[#This Row],[Task Name]],需求评估!T:T,需求评估!A:A)</f>
        <v>2</v>
      </c>
      <c r="B7" s="1" t="s">
        <v>373</v>
      </c>
      <c r="C7" s="205" t="str">
        <f>_xlfn.XLOOKUP(Table2[[#This Row],[Task Name]],Table1[Task Name],Table1[需求])</f>
        <v>定期邮箱发送库存DB报告</v>
      </c>
      <c r="D7" t="s">
        <v>598</v>
      </c>
      <c r="E7" s="208" t="s">
        <v>599</v>
      </c>
    </row>
    <row r="8" spans="1:6" x14ac:dyDescent="0.4">
      <c r="A8">
        <f>_xlfn.XLOOKUP(Table2[[#This Row],[Task Name]],需求评估!T:T,需求评估!A:A)</f>
        <v>3</v>
      </c>
      <c r="B8" s="1" t="s">
        <v>175</v>
      </c>
      <c r="C8" s="205" t="str">
        <f>_xlfn.XLOOKUP(Table2[[#This Row],[Task Name]],Table1[Task Name],Table1[需求])</f>
        <v>电池主数据平台 V1</v>
      </c>
      <c r="D8" t="s">
        <v>600</v>
      </c>
      <c r="E8" s="208" t="s">
        <v>601</v>
      </c>
      <c r="F8" t="s">
        <v>602</v>
      </c>
    </row>
    <row r="9" spans="1:6" x14ac:dyDescent="0.4">
      <c r="A9">
        <f>_xlfn.XLOOKUP(Table2[[#This Row],[Task Name]],需求评估!T:T,需求评估!A:A)</f>
        <v>3</v>
      </c>
      <c r="B9" s="1" t="s">
        <v>181</v>
      </c>
      <c r="C9" s="205" t="str">
        <f>_xlfn.XLOOKUP(Table2[[#This Row],[Task Name]],Table1[Task Name],Table1[需求])</f>
        <v>电池主数据平台 V2</v>
      </c>
      <c r="D9" t="s">
        <v>600</v>
      </c>
      <c r="E9" t="s">
        <v>603</v>
      </c>
      <c r="F9" t="s">
        <v>602</v>
      </c>
    </row>
    <row r="10" spans="1:6" x14ac:dyDescent="0.4">
      <c r="A10">
        <f>_xlfn.XLOOKUP(Table2[[#This Row],[Task Name]],需求评估!T:T,需求评估!A:A)</f>
        <v>4</v>
      </c>
      <c r="B10" s="1" t="s">
        <v>192</v>
      </c>
      <c r="C10" s="205" t="str">
        <f>_xlfn.XLOOKUP(Table2[[#This Row],[Task Name]],Table1[Task Name],Table1[需求])</f>
        <v>电池证书识别 V1</v>
      </c>
      <c r="D10" t="s">
        <v>604</v>
      </c>
      <c r="E10" t="s">
        <v>605</v>
      </c>
    </row>
    <row r="11" spans="1:6" x14ac:dyDescent="0.4">
      <c r="A11">
        <f>_xlfn.XLOOKUP(Table2[[#This Row],[Task Name]],需求评估!T:T,需求评估!A:A)</f>
        <v>4</v>
      </c>
      <c r="B11" s="1" t="s">
        <v>196</v>
      </c>
      <c r="C11" s="205" t="str">
        <f>_xlfn.XLOOKUP(Table2[[#This Row],[Task Name]],Table1[Task Name],Table1[需求])</f>
        <v>电池证书识别 V2</v>
      </c>
      <c r="D11" t="s">
        <v>604</v>
      </c>
      <c r="E11" t="s">
        <v>605</v>
      </c>
    </row>
    <row r="12" spans="1:6" x14ac:dyDescent="0.4">
      <c r="A12">
        <f>_xlfn.XLOOKUP(Table2[[#This Row],[Task Name]],需求评估!T:T,需求评估!A:A)</f>
        <v>4</v>
      </c>
      <c r="B12" s="1" t="s">
        <v>189</v>
      </c>
      <c r="C12" s="205" t="str">
        <f>_xlfn.XLOOKUP(Table2[[#This Row],[Task Name]],Table1[Task Name],Table1[需求])</f>
        <v>电池证书识别 V3</v>
      </c>
      <c r="D12" t="s">
        <v>604</v>
      </c>
      <c r="E12" t="s">
        <v>605</v>
      </c>
    </row>
    <row r="13" spans="1:6" x14ac:dyDescent="0.4">
      <c r="A13">
        <f>_xlfn.XLOOKUP(Table2[[#This Row],[Task Name]],需求评估!T:T,需求评估!A:A)</f>
        <v>5</v>
      </c>
      <c r="B13" s="1" t="s">
        <v>199</v>
      </c>
      <c r="C13" s="205" t="str">
        <f>_xlfn.XLOOKUP(Table2[[#This Row],[Task Name]],Table1[Task Name],Table1[需求])</f>
        <v>电池供应商自动邮件</v>
      </c>
      <c r="D13" t="s">
        <v>606</v>
      </c>
    </row>
    <row r="14" spans="1:6" ht="27.75" x14ac:dyDescent="0.4">
      <c r="A14">
        <f>_xlfn.XLOOKUP(Table2[[#This Row],[Task Name]],需求评估!T:T,需求评估!A:A)</f>
        <v>6</v>
      </c>
      <c r="B14" s="1" t="s">
        <v>209</v>
      </c>
      <c r="C14" s="205" t="str">
        <f>_xlfn.XLOOKUP(Table2[[#This Row],[Task Name]],Table1[Task Name],Table1[需求])</f>
        <v>备件物流AI问答机器人 V1</v>
      </c>
      <c r="D14" t="s">
        <v>607</v>
      </c>
      <c r="E14" t="s">
        <v>608</v>
      </c>
      <c r="F14" t="s">
        <v>609</v>
      </c>
    </row>
    <row r="15" spans="1:6" ht="27.75" x14ac:dyDescent="0.4">
      <c r="A15">
        <f>_xlfn.XLOOKUP(Table2[[#This Row],[Task Name]],需求评估!T:T,需求评估!A:A)</f>
        <v>6</v>
      </c>
      <c r="B15" s="1" t="s">
        <v>512</v>
      </c>
      <c r="C15" s="205" t="str">
        <f>_xlfn.XLOOKUP(Table2[[#This Row],[Task Name]],Table1[Task Name],Table1[需求])</f>
        <v>备件物流AI问答机器人 V2</v>
      </c>
      <c r="D15" t="s">
        <v>607</v>
      </c>
      <c r="E15" t="s">
        <v>608</v>
      </c>
      <c r="F15" s="208" t="s">
        <v>610</v>
      </c>
    </row>
    <row r="16" spans="1:6" x14ac:dyDescent="0.4">
      <c r="A16">
        <f>_xlfn.XLOOKUP(Table2[[#This Row],[Task Name]],需求评估!T:T,需求评估!A:A)</f>
        <v>7</v>
      </c>
      <c r="B16" s="1" t="s">
        <v>223</v>
      </c>
      <c r="C16" s="205" t="str">
        <f>_xlfn.XLOOKUP(Table2[[#This Row],[Task Name]],Table1[Task Name],Table1[需求])</f>
        <v>智能报价搜集平台</v>
      </c>
      <c r="D16" t="s">
        <v>611</v>
      </c>
      <c r="F16" s="208" t="s">
        <v>612</v>
      </c>
    </row>
    <row r="17" spans="1:4" ht="27.75" x14ac:dyDescent="0.4">
      <c r="A17">
        <f>_xlfn.XLOOKUP(Table2[[#This Row],[Task Name]],需求评估!T:T,需求评估!A:A)</f>
        <v>0</v>
      </c>
      <c r="B17" s="1" t="s">
        <v>123</v>
      </c>
      <c r="C17" s="205" t="str">
        <f>_xlfn.XLOOKUP(Table2[[#This Row],[Task Name]],Table1[Task Name],Table1[需求])</f>
        <v>Smart Delivery UI Platform V1</v>
      </c>
      <c r="D17" t="s">
        <v>613</v>
      </c>
    </row>
    <row r="18" spans="1:4" ht="27.75" x14ac:dyDescent="0.4">
      <c r="A18">
        <f>_xlfn.XLOOKUP(Table2[[#This Row],[Task Name]],需求评估!T:T,需求评估!A:A)</f>
        <v>0</v>
      </c>
      <c r="B18" s="1" t="s">
        <v>126</v>
      </c>
      <c r="C18" s="205" t="str">
        <f>_xlfn.XLOOKUP(Table2[[#This Row],[Task Name]],Table1[Task Name],Table1[需求])</f>
        <v>Smart Delivery UI Platform V2</v>
      </c>
      <c r="D18" t="s">
        <v>613</v>
      </c>
    </row>
    <row r="19" spans="1:4" ht="27.75" x14ac:dyDescent="0.4">
      <c r="A19">
        <f>_xlfn.XLOOKUP(Table2[[#This Row],[Task Name]],需求评估!T:T,需求评估!A:A)</f>
        <v>0</v>
      </c>
      <c r="B19" s="1" t="s">
        <v>130</v>
      </c>
      <c r="C19" s="205" t="str">
        <f>_xlfn.XLOOKUP(Table2[[#This Row],[Task Name]],Table1[Task Name],Table1[需求])</f>
        <v>Smart GTC Management V1</v>
      </c>
      <c r="D19" t="s">
        <v>614</v>
      </c>
    </row>
    <row r="20" spans="1:4" ht="27.75" x14ac:dyDescent="0.4">
      <c r="A20">
        <f>_xlfn.XLOOKUP(Table2[[#This Row],[Task Name]],需求评估!T:T,需求评估!A:A)</f>
        <v>0</v>
      </c>
      <c r="B20" s="1" t="s">
        <v>136</v>
      </c>
      <c r="C20" s="205" t="str">
        <f>_xlfn.XLOOKUP(Table2[[#This Row],[Task Name]],Table1[Task Name],Table1[需求])</f>
        <v>Smart GTC Management V2</v>
      </c>
      <c r="D20" t="s">
        <v>614</v>
      </c>
    </row>
    <row r="21" spans="1:4" ht="27.75" x14ac:dyDescent="0.4">
      <c r="A21">
        <f>_xlfn.XLOOKUP(Table2[[#This Row],[Task Name]],需求评估!T:T,需求评估!A:A)</f>
        <v>0</v>
      </c>
      <c r="B21" s="1" t="s">
        <v>139</v>
      </c>
      <c r="C21" s="205" t="str">
        <f>_xlfn.XLOOKUP(Table2[[#This Row],[Task Name]],Table1[Task Name],Table1[需求])</f>
        <v>Smart GTC Management V3</v>
      </c>
      <c r="D21" t="s">
        <v>614</v>
      </c>
    </row>
    <row r="22" spans="1:4" ht="27.75" x14ac:dyDescent="0.4">
      <c r="A22">
        <f>_xlfn.XLOOKUP(Table2[[#This Row],[Task Name]],需求评估!T:T,需求评估!A:A)</f>
        <v>0</v>
      </c>
      <c r="B22" s="1" t="s">
        <v>43</v>
      </c>
      <c r="C22" s="205" t="str">
        <f>_xlfn.XLOOKUP(Table2[[#This Row],[Task Name]],Table1[Task Name],Table1[需求])</f>
        <v>发票信息自动抽取解析 V1</v>
      </c>
      <c r="D22" t="s">
        <v>615</v>
      </c>
    </row>
    <row r="23" spans="1:4" ht="27.75" x14ac:dyDescent="0.4">
      <c r="A23">
        <f>_xlfn.XLOOKUP(Table2[[#This Row],[Task Name]],需求评估!T:T,需求评估!A:A)</f>
        <v>0</v>
      </c>
      <c r="B23" s="1" t="s">
        <v>59</v>
      </c>
      <c r="C23" s="205" t="str">
        <f>_xlfn.XLOOKUP(Table2[[#This Row],[Task Name]],Table1[Task Name],Table1[需求])</f>
        <v>发票信息自动抽取解析 V2</v>
      </c>
      <c r="D23" t="s">
        <v>615</v>
      </c>
    </row>
    <row r="24" spans="1:4" x14ac:dyDescent="0.4">
      <c r="A24">
        <f>_xlfn.XLOOKUP(Table2[[#This Row],[Task Name]],需求评估!T:T,需求评估!A:A)</f>
        <v>11</v>
      </c>
      <c r="B24" s="1" t="s">
        <v>236</v>
      </c>
      <c r="C24" s="205" t="str">
        <f>_xlfn.XLOOKUP(Table2[[#This Row],[Task Name]],Table1[Task Name],Table1[需求])</f>
        <v>OA审批平台</v>
      </c>
      <c r="D24" t="s">
        <v>616</v>
      </c>
    </row>
    <row r="25" spans="1:4" x14ac:dyDescent="0.4">
      <c r="A25">
        <f>_xlfn.XLOOKUP(Table2[[#This Row],[Task Name]],需求评估!T:T,需求评估!A:A)</f>
        <v>12</v>
      </c>
      <c r="B25" s="1" t="s">
        <v>240</v>
      </c>
      <c r="C25" s="205" t="str">
        <f>_xlfn.XLOOKUP(Table2[[#This Row],[Task Name]],Table1[Task Name],Table1[需求])</f>
        <v>SAP自动批量调库</v>
      </c>
      <c r="D25" t="s">
        <v>617</v>
      </c>
    </row>
    <row r="26" spans="1:4" x14ac:dyDescent="0.4">
      <c r="A26">
        <f>_xlfn.XLOOKUP(Table2[[#This Row],[Task Name]],需求评估!T:T,需求评估!A:A)</f>
        <v>13</v>
      </c>
      <c r="B26" s="1" t="s">
        <v>245</v>
      </c>
      <c r="C26" s="205" t="str">
        <f>_xlfn.XLOOKUP(Table2[[#This Row],[Task Name]],Table1[Task Name],Table1[需求])</f>
        <v>国家假期邮件提醒</v>
      </c>
      <c r="D26" t="s">
        <v>618</v>
      </c>
    </row>
    <row r="27" spans="1:4" x14ac:dyDescent="0.4">
      <c r="A27">
        <f>_xlfn.XLOOKUP(Table2[[#This Row],[Task Name]],需求评估!T:T,需求评估!A:A)</f>
        <v>14</v>
      </c>
      <c r="B27" s="1" t="s">
        <v>250</v>
      </c>
      <c r="C27" s="205" t="str">
        <f>_xlfn.XLOOKUP(Table2[[#This Row],[Task Name]],Table1[Task Name],Table1[需求])</f>
        <v>CC主数据自动维护</v>
      </c>
      <c r="D27" t="s">
        <v>619</v>
      </c>
    </row>
    <row r="28" spans="1:4" x14ac:dyDescent="0.4">
      <c r="A28">
        <f>_xlfn.XLOOKUP(Table2[[#This Row],[Task Name]],需求评估!T:T,需求评估!A:A)</f>
        <v>15</v>
      </c>
      <c r="B28" s="1" t="s">
        <v>254</v>
      </c>
      <c r="C28" s="205" t="str">
        <f>_xlfn.XLOOKUP(Table2[[#This Row],[Task Name]],Table1[Task Name],Table1[需求])</f>
        <v>安规主数据平台</v>
      </c>
      <c r="D28" t="s">
        <v>620</v>
      </c>
    </row>
    <row r="29" spans="1:4" x14ac:dyDescent="0.4">
      <c r="A29">
        <f>_xlfn.XLOOKUP(Table2[[#This Row],[Task Name]],需求评估!T:T,需求评估!A:A)</f>
        <v>0</v>
      </c>
      <c r="B29" s="1" t="s">
        <v>53</v>
      </c>
      <c r="C29" s="205" t="str">
        <f>_xlfn.XLOOKUP(Table2[[#This Row],[Task Name]],Table1[Task Name],Table1[需求])</f>
        <v>关务账单审核</v>
      </c>
      <c r="D29" t="s">
        <v>621</v>
      </c>
    </row>
    <row r="30" spans="1:4" x14ac:dyDescent="0.4">
      <c r="A30">
        <f>_xlfn.XLOOKUP(Table2[[#This Row],[Task Name]],需求评估!T:T,需求评估!A:A)</f>
        <v>0</v>
      </c>
      <c r="B30" s="1" t="s">
        <v>66</v>
      </c>
      <c r="C30" s="205" t="str">
        <f>_xlfn.XLOOKUP(Table2[[#This Row],[Task Name]],Table1[Task Name],Table1[需求])</f>
        <v>报关信息汇总</v>
      </c>
      <c r="D30" t="s">
        <v>622</v>
      </c>
    </row>
    <row r="31" spans="1:4" x14ac:dyDescent="0.4">
      <c r="A31">
        <f>_xlfn.XLOOKUP(Table2[[#This Row],[Task Name]],需求评估!T:T,需求评估!A:A)</f>
        <v>18</v>
      </c>
      <c r="B31" s="1" t="s">
        <v>263</v>
      </c>
      <c r="C31" s="205" t="str">
        <f>_xlfn.XLOOKUP(Table2[[#This Row],[Task Name]],Table1[Task Name],Table1[需求])</f>
        <v>安规证书识别</v>
      </c>
      <c r="D31" t="s">
        <v>623</v>
      </c>
    </row>
    <row r="32" spans="1:4" x14ac:dyDescent="0.4">
      <c r="A32">
        <f>_xlfn.XLOOKUP(Table2[[#This Row],[Task Name]],需求评估!T:T,需求评估!A:A)</f>
        <v>0</v>
      </c>
      <c r="B32" s="1" t="s">
        <v>144</v>
      </c>
      <c r="C32" s="205" t="str">
        <f>_xlfn.XLOOKUP(Table2[[#This Row],[Task Name]],Table1[Task Name],Table1[需求])</f>
        <v>Logistics Smart KM</v>
      </c>
      <c r="D32" t="s">
        <v>624</v>
      </c>
    </row>
    <row r="33" spans="1:6" x14ac:dyDescent="0.4">
      <c r="A33">
        <f>_xlfn.XLOOKUP(Table2[[#This Row],[Task Name]],需求评估!T:T,需求评估!A:A)</f>
        <v>0</v>
      </c>
      <c r="B33" s="1" t="s">
        <v>150</v>
      </c>
      <c r="C33" s="205" t="str">
        <f>_xlfn.XLOOKUP(Table2[[#This Row],[Task Name]],Table1[Task Name],Table1[需求])</f>
        <v>智能成本预测模型</v>
      </c>
      <c r="D33" t="s">
        <v>625</v>
      </c>
    </row>
    <row r="34" spans="1:6" x14ac:dyDescent="0.4">
      <c r="A34">
        <f>_xlfn.XLOOKUP(Table2[[#This Row],[Task Name]],需求评估!T:T,需求评估!A:A)</f>
        <v>21</v>
      </c>
      <c r="B34" s="1" t="s">
        <v>266</v>
      </c>
      <c r="C34" s="205" t="str">
        <f>_xlfn.XLOOKUP(Table2[[#This Row],[Task Name]],Table1[Task Name],Table1[需求])</f>
        <v>智能印章管理平台</v>
      </c>
      <c r="D34" t="s">
        <v>626</v>
      </c>
      <c r="F34" s="208" t="s">
        <v>627</v>
      </c>
    </row>
    <row r="35" spans="1:6" x14ac:dyDescent="0.4">
      <c r="A35">
        <f>_xlfn.XLOOKUP(Table2[[#This Row],[Task Name]],需求评估!T:T,需求评估!A:A)</f>
        <v>0</v>
      </c>
      <c r="B35" s="1" t="s">
        <v>72</v>
      </c>
      <c r="C35" s="205" t="str">
        <f>_xlfn.XLOOKUP(Table2[[#This Row],[Task Name]],Table1[Task Name],Table1[需求])</f>
        <v>自动各国假期提醒</v>
      </c>
      <c r="D35" t="s">
        <v>628</v>
      </c>
    </row>
    <row r="36" spans="1:6" x14ac:dyDescent="0.4">
      <c r="A36">
        <f>_xlfn.XLOOKUP(Table2[[#This Row],[Task Name]],需求评估!T:T,需求评估!A:A)</f>
        <v>0</v>
      </c>
      <c r="B36" s="1" t="s">
        <v>78</v>
      </c>
      <c r="C36" s="205" t="str">
        <f>_xlfn.XLOOKUP(Table2[[#This Row],[Task Name]],Table1[Task Name],Table1[需求])</f>
        <v>料号估算计费重量</v>
      </c>
      <c r="D36" t="s">
        <v>629</v>
      </c>
    </row>
    <row r="37" spans="1:6" x14ac:dyDescent="0.4">
      <c r="A37">
        <f>_xlfn.XLOOKUP(Table2[[#This Row],[Task Name]],需求评估!T:T,需求评估!A:A)</f>
        <v>0</v>
      </c>
      <c r="B37" s="1" t="s">
        <v>84</v>
      </c>
      <c r="C37" s="205" t="str">
        <f>_xlfn.XLOOKUP(Table2[[#This Row],[Task Name]],Table1[Task Name],Table1[需求])</f>
        <v>运输实时线上监控平台</v>
      </c>
      <c r="D37" t="s">
        <v>630</v>
      </c>
    </row>
    <row r="38" spans="1:6" x14ac:dyDescent="0.4">
      <c r="A38">
        <f>_xlfn.XLOOKUP(Table2[[#This Row],[Task Name]],需求评估!T:T,需求评估!A:A)</f>
        <v>26</v>
      </c>
      <c r="B38" s="1" t="s">
        <v>277</v>
      </c>
      <c r="C38" s="205" t="str">
        <f>_xlfn.XLOOKUP(Table2[[#This Row],[Task Name]],Table1[Task Name],Table1[需求])</f>
        <v>LaaS网站和小程序</v>
      </c>
      <c r="D38" t="s">
        <v>631</v>
      </c>
    </row>
    <row r="39" spans="1:6" x14ac:dyDescent="0.4">
      <c r="A39">
        <f>_xlfn.XLOOKUP(Table2[[#This Row],[Task Name]],需求评估!T:T,需求评估!A:A)</f>
        <v>0</v>
      </c>
      <c r="B39" s="1" t="s">
        <v>90</v>
      </c>
      <c r="C39" s="205" t="str">
        <f>_xlfn.XLOOKUP(Table2[[#This Row],[Task Name]],Table1[Task Name],Table1[需求])</f>
        <v>电池图片智能识别</v>
      </c>
      <c r="D39" t="s">
        <v>632</v>
      </c>
    </row>
    <row r="40" spans="1:6" x14ac:dyDescent="0.4">
      <c r="A40">
        <f>_xlfn.XLOOKUP(Table2[[#This Row],[Task Name]],需求评估!T:T,需求评估!A:A)</f>
        <v>0</v>
      </c>
      <c r="B40" s="1" t="s">
        <v>378</v>
      </c>
      <c r="C40" s="205" t="str">
        <f>_xlfn.XLOOKUP(Table2[[#This Row],[Task Name]],Table1[Task Name],Table1[需求])</f>
        <v>账单报错解决方案</v>
      </c>
      <c r="D40" t="s">
        <v>633</v>
      </c>
    </row>
    <row r="41" spans="1:6" x14ac:dyDescent="0.4">
      <c r="A41">
        <f>_xlfn.XLOOKUP(Table2[[#This Row],[Task Name]],需求评估!T:T,需求评估!A:A)</f>
        <v>0</v>
      </c>
      <c r="B41" s="1" t="s">
        <v>365</v>
      </c>
      <c r="C41" s="205" t="str">
        <f>_xlfn.XLOOKUP(Table2[[#This Row],[Task Name]],Table1[Task Name],Table1[需求])</f>
        <v>Exceptions diagnosis</v>
      </c>
      <c r="D41" t="s">
        <v>634</v>
      </c>
    </row>
    <row r="42" spans="1:6" x14ac:dyDescent="0.4">
      <c r="A42">
        <f>_xlfn.XLOOKUP(Table2[[#This Row],[Task Name]],需求评估!T:T,需求评估!A:A)</f>
        <v>30</v>
      </c>
      <c r="B42" t="s">
        <v>288</v>
      </c>
      <c r="C42" s="205" t="str">
        <f>_xlfn.XLOOKUP(Table2[[#This Row],[Task Name]],Table1[Task Name],Table1[需求])</f>
        <v>干预模型 V1</v>
      </c>
      <c r="D42" t="s">
        <v>635</v>
      </c>
      <c r="E42" s="208" t="s">
        <v>636</v>
      </c>
      <c r="F42" t="s">
        <v>637</v>
      </c>
    </row>
    <row r="43" spans="1:6" x14ac:dyDescent="0.4">
      <c r="A43">
        <f>_xlfn.XLOOKUP(Table2[[#This Row],[Task Name]],需求评估!T:T,需求评估!A:A)</f>
        <v>0</v>
      </c>
      <c r="B43" t="s">
        <v>121</v>
      </c>
      <c r="C43" s="205" t="str">
        <f>_xlfn.XLOOKUP(Table2[[#This Row],[Task Name]],Table1[Task Name],Table1[需求])</f>
        <v>干预模型 V2</v>
      </c>
      <c r="D43" t="s">
        <v>635</v>
      </c>
      <c r="E43" s="208" t="s">
        <v>636</v>
      </c>
      <c r="F43" t="s">
        <v>637</v>
      </c>
    </row>
    <row r="44" spans="1:6" x14ac:dyDescent="0.4">
      <c r="C44" s="8"/>
      <c r="E44" s="208"/>
    </row>
  </sheetData>
  <phoneticPr fontId="1" type="noConversion"/>
  <conditionalFormatting sqref="B1:B41">
    <cfRule type="expression" dxfId="21" priority="1">
      <formula>AND($B1=0,NOT($B1=""))</formula>
    </cfRule>
  </conditionalFormatting>
  <conditionalFormatting sqref="C1:C44">
    <cfRule type="expression" dxfId="20" priority="2">
      <formula>AND($C1=0,NOT($C1=""))</formula>
    </cfRule>
  </conditionalFormatting>
  <conditionalFormatting sqref="C2:C44">
    <cfRule type="cellIs" dxfId="19" priority="9" operator="equal">
      <formula>"Cost"</formula>
    </cfRule>
    <cfRule type="containsText" dxfId="18" priority="10" operator="containsText" text="Compliance">
      <formula>NOT(ISERROR(SEARCH("Compliance",C2)))</formula>
    </cfRule>
    <cfRule type="containsText" dxfId="17" priority="11" operator="containsText" text="Billing">
      <formula>NOT(ISERROR(SEARCH("Billing",C2)))</formula>
    </cfRule>
    <cfRule type="containsText" dxfId="16" priority="12" operator="containsText" text="Transport">
      <formula>NOT(ISERROR(SEARCH("Transport",C2)))</formula>
    </cfRule>
    <cfRule type="containsText" dxfId="15" priority="13" operator="containsText" text="BI">
      <formula>NOT(ISERROR(SEARCH("BI",C2)))</formula>
    </cfRule>
    <cfRule type="containsText" dxfId="14" priority="14" operator="containsText" text="Warehouse">
      <formula>NOT(ISERROR(SEARCH("Warehouse",C2)))</formula>
    </cfRule>
  </conditionalFormatting>
  <conditionalFormatting sqref="C5 C11 C14 C27:C38">
    <cfRule type="containsText" dxfId="13" priority="38" operator="containsText" text="Warehouse">
      <formula>NOT(ISERROR(SEARCH("Warehouse",C5)))</formula>
    </cfRule>
  </conditionalFormatting>
  <conditionalFormatting sqref="C16:C26">
    <cfRule type="containsText" dxfId="12" priority="19" operator="containsText" text="Data">
      <formula>NOT(ISERROR(SEARCH("Data",C16)))</formula>
    </cfRule>
    <cfRule type="containsText" dxfId="11" priority="20" operator="containsText" text="Warehouse">
      <formula>NOT(ISERROR(SEARCH("Warehouse",C16)))</formula>
    </cfRule>
  </conditionalFormatting>
  <conditionalFormatting sqref="C27:C38 C5 C11 C14">
    <cfRule type="containsText" dxfId="10" priority="37" operator="containsText" text="Data">
      <formula>NOT(ISERROR(SEARCH("Data",C5)))</formula>
    </cfRule>
  </conditionalFormatting>
  <conditionalFormatting sqref="C27:C38">
    <cfRule type="cellIs" dxfId="9" priority="33" operator="equal">
      <formula>"Cost"</formula>
    </cfRule>
    <cfRule type="containsText" dxfId="8" priority="34" operator="containsText" text="Compliance">
      <formula>NOT(ISERROR(SEARCH("Compliance",C27)))</formula>
    </cfRule>
    <cfRule type="containsText" dxfId="7" priority="35" operator="containsText" text="Billing">
      <formula>NOT(ISERROR(SEARCH("Billing",C27)))</formula>
    </cfRule>
    <cfRule type="containsText" dxfId="6" priority="36" operator="containsText" text="Transport">
      <formula>NOT(ISERROR(SEARCH("Transport",C27)))</formula>
    </cfRule>
  </conditionalFormatting>
  <conditionalFormatting sqref="C38 C42:C44">
    <cfRule type="cellIs" dxfId="5" priority="27" operator="equal">
      <formula>"Cost"</formula>
    </cfRule>
    <cfRule type="containsText" dxfId="4" priority="28" operator="containsText" text="Compliance">
      <formula>NOT(ISERROR(SEARCH("Compliance",C38)))</formula>
    </cfRule>
    <cfRule type="containsText" dxfId="3" priority="29" operator="containsText" text="Billing">
      <formula>NOT(ISERROR(SEARCH("Billing",C38)))</formula>
    </cfRule>
    <cfRule type="containsText" dxfId="2" priority="30" operator="containsText" text="Transport">
      <formula>NOT(ISERROR(SEARCH("Transport",C38)))</formula>
    </cfRule>
    <cfRule type="containsText" dxfId="1" priority="31" operator="containsText" text="Data">
      <formula>NOT(ISERROR(SEARCH("Data",C38)))</formula>
    </cfRule>
    <cfRule type="containsText" dxfId="0" priority="32" operator="containsText" text="Warehouse">
      <formula>NOT(ISERROR(SEARCH("Warehouse",C38)))</formula>
    </cfRule>
  </conditionalFormatting>
  <hyperlinks>
    <hyperlink ref="E42" r:id="rId1" xr:uid="{57FA9C0E-D82E-482B-AEA2-9B2E93DDD4F4}"/>
    <hyperlink ref="E43" r:id="rId2" xr:uid="{AD5BBD38-1FDC-4606-8DF9-1E9470B65BE0}"/>
    <hyperlink ref="F15" r:id="rId3" xr:uid="{228C623D-4306-4433-A6B8-EC533EB0AE38}"/>
    <hyperlink ref="F16" r:id="rId4" xr:uid="{745BB5B9-0D6D-42B6-B022-9CF4F8B82A45}"/>
    <hyperlink ref="F34" r:id="rId5" xr:uid="{24A51C5D-9245-4652-B9A3-E51B9CD7C47D}"/>
    <hyperlink ref="E7" r:id="rId6" display="https://lenovobeijing.sharepoint.com/sites/SSGSSCLogisticsHansonTeam/Shared%20Documents/Forms/AllItems.aspx?id=/sites/SSGSSCLogisticsHansonTeam/Shared%20Documents/Notice%20Archive%20of%20AI/5.1%20Automated%20Email%20for%20Inventory%20DB%20reports.pdf&amp;viewid=8f01aa75-ba60-48df-b62b-3a3bd521f953&amp;parent=/sites/SSGSSCLogisticsHansonTeam/Shared%20Documents/Notice%20Archive%20of%20AI" xr:uid="{839018B7-4B9B-4CB2-8EF3-BE03AA9A368F}"/>
    <hyperlink ref="E8" r:id="rId7" display="https://lenovobeijing.sharepoint.com/sites/SSGSSCLogisticsHansonTeam/Shared%20Documents/Forms/AllItems.aspx?id=%2Fsites%2FSSGSSCLogisticsHansonTeam%2FShared%20Documents%2FPMO%2FRecords%2F01%20Tier%201%20projects%2FAMS%20AI%20Projects%2FBattery%20Master%20Data%20Platform%20V1%20%28%E7%94%B5%E6%B1%A0%E4%B8%BB%E6%95%B0%E6%8D%AE%E5%B9%B3%E5%8F%B0%20V1%29%2Epdf&amp;parent=%2Fsites%2FSSGSSCLogisticsHansonTeam%2FShared%20Documents%2FPMO%2FRecords%2F01%20Tier%201%20projects%2FAMS%20AI%20Projects" xr:uid="{922C1D7A-9464-4F05-93C6-41D2B0C2D8BA}"/>
  </hyperlinks>
  <pageMargins left="0.7" right="0.7" top="0.75" bottom="0.75" header="0.3" footer="0.3"/>
  <pageSetup paperSize="9" orientation="portrait" r:id="rId8"/>
  <tableParts count="1">
    <tablePart r:id="rId9"/>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dff70ec-ef04-4b77-8252-b3b7649a3278" xsi:nil="true"/>
    <lcf76f155ced4ddcb4097134ff3c332f xmlns="45ba089d-036b-4a63-bbc5-dd28fe5b5a6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文档" ma:contentTypeID="0x0101000557448B20B28D49851E176740811C2A" ma:contentTypeVersion="11" ma:contentTypeDescription="新建文档。" ma:contentTypeScope="" ma:versionID="d1405b2381d5f443282d85be81051151">
  <xsd:schema xmlns:xsd="http://www.w3.org/2001/XMLSchema" xmlns:xs="http://www.w3.org/2001/XMLSchema" xmlns:p="http://schemas.microsoft.com/office/2006/metadata/properties" xmlns:ns2="45ba089d-036b-4a63-bbc5-dd28fe5b5a69" xmlns:ns3="2dff70ec-ef04-4b77-8252-b3b7649a3278" targetNamespace="http://schemas.microsoft.com/office/2006/metadata/properties" ma:root="true" ma:fieldsID="60e651c9944ac966063d3f80556cbd72" ns2:_="" ns3:_="">
    <xsd:import namespace="45ba089d-036b-4a63-bbc5-dd28fe5b5a69"/>
    <xsd:import namespace="2dff70ec-ef04-4b77-8252-b3b7649a327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ba089d-036b-4a63-bbc5-dd28fe5b5a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图像标记" ma:readOnly="false" ma:fieldId="{5cf76f15-5ced-4ddc-b409-7134ff3c332f}" ma:taxonomyMulti="true" ma:sspId="10b2ab70-381d-4de1-873d-678182fc596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dff70ec-ef04-4b77-8252-b3b7649a327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8e99345-0e2d-4386-82b1-11c47a97b339}" ma:internalName="TaxCatchAll" ma:showField="CatchAllData" ma:web="2dff70ec-ef04-4b77-8252-b3b7649a327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8CBC646-98A0-43E2-8076-AF6ED45A8CBA}">
  <ds:schemaRefs>
    <ds:schemaRef ds:uri="http://schemas.microsoft.com/office/2006/metadata/properties"/>
    <ds:schemaRef ds:uri="http://schemas.microsoft.com/office/infopath/2007/PartnerControls"/>
    <ds:schemaRef ds:uri="2dff70ec-ef04-4b77-8252-b3b7649a3278"/>
    <ds:schemaRef ds:uri="45ba089d-036b-4a63-bbc5-dd28fe5b5a69"/>
  </ds:schemaRefs>
</ds:datastoreItem>
</file>

<file path=customXml/itemProps2.xml><?xml version="1.0" encoding="utf-8"?>
<ds:datastoreItem xmlns:ds="http://schemas.openxmlformats.org/officeDocument/2006/customXml" ds:itemID="{C557518F-39C9-4CCD-BA99-9643F85C1531}">
  <ds:schemaRefs>
    <ds:schemaRef ds:uri="http://schemas.microsoft.com/sharepoint/v3/contenttype/forms"/>
  </ds:schemaRefs>
</ds:datastoreItem>
</file>

<file path=customXml/itemProps3.xml><?xml version="1.0" encoding="utf-8"?>
<ds:datastoreItem xmlns:ds="http://schemas.openxmlformats.org/officeDocument/2006/customXml" ds:itemID="{2964CE88-C544-4A76-B741-D21F0B664BA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5ba089d-036b-4a63-bbc5-dd28fe5b5a69"/>
    <ds:schemaRef ds:uri="2dff70ec-ef04-4b77-8252-b3b7649a327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需求评估</vt:lpstr>
      <vt:lpstr>2425财年需求时间安排</vt:lpstr>
      <vt:lpstr>Pivot</vt:lpstr>
      <vt:lpstr>Sheet1</vt:lpstr>
      <vt:lpstr>Cost</vt:lpstr>
      <vt:lpstr>Link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Jenny Yang10</dc:creator>
  <cp:keywords/>
  <dc:description/>
  <cp:lastModifiedBy>Fay Hui2 Wan | 万慧</cp:lastModifiedBy>
  <cp:revision/>
  <dcterms:created xsi:type="dcterms:W3CDTF">2024-07-22T10:41:50Z</dcterms:created>
  <dcterms:modified xsi:type="dcterms:W3CDTF">2026-08-18T07:16:37Z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0x0101000557448B20B28D49851E176740811C2A</vt:lpwstr>
  </property>
  <property fmtid="{D5CDD505-2E9C-101B-9397-08002B2CF9AE}" pid="3" name="MediaServiceImageTags">
    <vt:lpwstr/>
  </property>
</Properties>
</file>